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13_ncr:1_{D3A82C13-C591-4BBB-AD46-F404588AF744}" xr6:coauthVersionLast="47" xr6:coauthVersionMax="47" xr10:uidLastSave="{00000000-0000-0000-0000-000000000000}"/>
  <bookViews>
    <workbookView xWindow="-108" yWindow="-108" windowWidth="23256" windowHeight="14616" tabRatio="948" firstSheet="2" activeTab="14" xr2:uid="{00000000-000D-0000-FFFF-FFFF00000000}"/>
  </bookViews>
  <sheets>
    <sheet name="Threshold Reference" sheetId="1" r:id="rId1"/>
    <sheet name="Soil_Methodology" sheetId="2" r:id="rId2"/>
    <sheet name="INDEX" sheetId="3" r:id="rId3"/>
    <sheet name="Andhra Pradesh" sheetId="4" r:id="rId4"/>
    <sheet name="Arunachal Pradesh" sheetId="5" r:id="rId5"/>
    <sheet name="Assam" sheetId="6" r:id="rId6"/>
    <sheet name="Bihar" sheetId="7" r:id="rId7"/>
    <sheet name="Chhattisgarh" sheetId="8" r:id="rId8"/>
    <sheet name="Goa" sheetId="9" r:id="rId9"/>
    <sheet name="Gujarat" sheetId="10" r:id="rId10"/>
    <sheet name="Haryana" sheetId="11" r:id="rId11"/>
    <sheet name="Himachal Pradesh" sheetId="12" r:id="rId12"/>
    <sheet name="Jammu &amp; Kashmir" sheetId="13" r:id="rId13"/>
    <sheet name="Jharkhand" sheetId="14" r:id="rId14"/>
    <sheet name="Karnataka" sheetId="15" r:id="rId15"/>
    <sheet name="Kerala" sheetId="16" r:id="rId16"/>
    <sheet name="Madhya Pradesh" sheetId="17" r:id="rId17"/>
    <sheet name="Maharashtra" sheetId="18" r:id="rId18"/>
    <sheet name="Manipur" sheetId="19" r:id="rId19"/>
    <sheet name="Meghalaya" sheetId="20" r:id="rId20"/>
    <sheet name="Mizoram" sheetId="21" r:id="rId21"/>
    <sheet name="Nagaland" sheetId="22" r:id="rId22"/>
    <sheet name="Odisha" sheetId="23" r:id="rId23"/>
    <sheet name="Punjab" sheetId="24" r:id="rId24"/>
    <sheet name="Rajasthan" sheetId="25" r:id="rId25"/>
    <sheet name="Sikkim" sheetId="26" r:id="rId26"/>
    <sheet name="Tamil Nadu" sheetId="27" r:id="rId27"/>
    <sheet name="Telangana" sheetId="28" r:id="rId28"/>
    <sheet name="Tripura" sheetId="29" r:id="rId29"/>
    <sheet name="Uttar Pradesh" sheetId="30" r:id="rId30"/>
    <sheet name="Uttarakhand" sheetId="31" r:id="rId31"/>
    <sheet name="West Bengal" sheetId="32" r:id="rId3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7" i="32" l="1"/>
  <c r="M87" i="32" s="1"/>
  <c r="H87" i="32"/>
  <c r="J87" i="32" s="1"/>
  <c r="K87" i="32" s="1"/>
  <c r="G87" i="32"/>
  <c r="L87" i="32" s="1"/>
  <c r="I86" i="32"/>
  <c r="M86" i="32" s="1"/>
  <c r="H86" i="32"/>
  <c r="J86" i="32" s="1"/>
  <c r="K86" i="32" s="1"/>
  <c r="G86" i="32"/>
  <c r="L86" i="32" s="1"/>
  <c r="I85" i="32"/>
  <c r="M85" i="32" s="1"/>
  <c r="H85" i="32"/>
  <c r="J85" i="32" s="1"/>
  <c r="K85" i="32" s="1"/>
  <c r="G85" i="32"/>
  <c r="L85" i="32" s="1"/>
  <c r="I84" i="32"/>
  <c r="M84" i="32" s="1"/>
  <c r="H84" i="32"/>
  <c r="J84" i="32" s="1"/>
  <c r="K84" i="32" s="1"/>
  <c r="G84" i="32"/>
  <c r="L84" i="32" s="1"/>
  <c r="I83" i="32"/>
  <c r="M83" i="32" s="1"/>
  <c r="H83" i="32"/>
  <c r="J83" i="32" s="1"/>
  <c r="K83" i="32" s="1"/>
  <c r="G83" i="32"/>
  <c r="L83" i="32" s="1"/>
  <c r="I82" i="32"/>
  <c r="M82" i="32" s="1"/>
  <c r="H82" i="32"/>
  <c r="J82" i="32" s="1"/>
  <c r="K82" i="32" s="1"/>
  <c r="G82" i="32"/>
  <c r="L82" i="32" s="1"/>
  <c r="I81" i="32"/>
  <c r="M81" i="32" s="1"/>
  <c r="H81" i="32"/>
  <c r="J81" i="32" s="1"/>
  <c r="K81" i="32" s="1"/>
  <c r="G81" i="32"/>
  <c r="L81" i="32" s="1"/>
  <c r="I80" i="32"/>
  <c r="M80" i="32" s="1"/>
  <c r="H80" i="32"/>
  <c r="J80" i="32" s="1"/>
  <c r="K80" i="32" s="1"/>
  <c r="G80" i="32"/>
  <c r="L80" i="32" s="1"/>
  <c r="I79" i="32"/>
  <c r="M79" i="32" s="1"/>
  <c r="H79" i="32"/>
  <c r="J79" i="32" s="1"/>
  <c r="K79" i="32" s="1"/>
  <c r="G79" i="32"/>
  <c r="L79" i="32" s="1"/>
  <c r="I78" i="32"/>
  <c r="M78" i="32" s="1"/>
  <c r="H78" i="32"/>
  <c r="J78" i="32" s="1"/>
  <c r="K78" i="32" s="1"/>
  <c r="G78" i="32"/>
  <c r="L78" i="32" s="1"/>
  <c r="I77" i="32"/>
  <c r="M77" i="32" s="1"/>
  <c r="H77" i="32"/>
  <c r="J77" i="32" s="1"/>
  <c r="K77" i="32" s="1"/>
  <c r="G77" i="32"/>
  <c r="L77" i="32" s="1"/>
  <c r="I76" i="32"/>
  <c r="M76" i="32" s="1"/>
  <c r="H76" i="32"/>
  <c r="J76" i="32" s="1"/>
  <c r="K76" i="32" s="1"/>
  <c r="G76" i="32"/>
  <c r="L76" i="32" s="1"/>
  <c r="I75" i="32"/>
  <c r="M75" i="32" s="1"/>
  <c r="H75" i="32"/>
  <c r="J75" i="32" s="1"/>
  <c r="K75" i="32" s="1"/>
  <c r="G75" i="32"/>
  <c r="L75" i="32" s="1"/>
  <c r="I74" i="32"/>
  <c r="M74" i="32" s="1"/>
  <c r="H74" i="32"/>
  <c r="J74" i="32" s="1"/>
  <c r="K74" i="32" s="1"/>
  <c r="G74" i="32"/>
  <c r="L74" i="32" s="1"/>
  <c r="I73" i="32"/>
  <c r="M73" i="32" s="1"/>
  <c r="H73" i="32"/>
  <c r="J73" i="32" s="1"/>
  <c r="K73" i="32" s="1"/>
  <c r="G73" i="32"/>
  <c r="L73" i="32" s="1"/>
  <c r="I72" i="32"/>
  <c r="M72" i="32" s="1"/>
  <c r="H72" i="32"/>
  <c r="J72" i="32" s="1"/>
  <c r="K72" i="32" s="1"/>
  <c r="G72" i="32"/>
  <c r="L72" i="32" s="1"/>
  <c r="I71" i="32"/>
  <c r="M71" i="32" s="1"/>
  <c r="H71" i="32"/>
  <c r="J71" i="32" s="1"/>
  <c r="K71" i="32" s="1"/>
  <c r="G71" i="32"/>
  <c r="L71" i="32" s="1"/>
  <c r="I70" i="32"/>
  <c r="M70" i="32" s="1"/>
  <c r="H70" i="32"/>
  <c r="J70" i="32" s="1"/>
  <c r="K70" i="32" s="1"/>
  <c r="G70" i="32"/>
  <c r="L70" i="32" s="1"/>
  <c r="I69" i="32"/>
  <c r="M69" i="32" s="1"/>
  <c r="H69" i="32"/>
  <c r="J69" i="32" s="1"/>
  <c r="K69" i="32" s="1"/>
  <c r="G69" i="32"/>
  <c r="L69" i="32" s="1"/>
  <c r="I68" i="32"/>
  <c r="M68" i="32" s="1"/>
  <c r="H68" i="32"/>
  <c r="J68" i="32" s="1"/>
  <c r="K68" i="32" s="1"/>
  <c r="G68" i="32"/>
  <c r="L68" i="32" s="1"/>
  <c r="I67" i="32"/>
  <c r="M67" i="32" s="1"/>
  <c r="H67" i="32"/>
  <c r="J67" i="32" s="1"/>
  <c r="K67" i="32" s="1"/>
  <c r="G67" i="32"/>
  <c r="L67" i="32" s="1"/>
  <c r="I66" i="32"/>
  <c r="M66" i="32" s="1"/>
  <c r="H66" i="32"/>
  <c r="J66" i="32" s="1"/>
  <c r="K66" i="32" s="1"/>
  <c r="G66" i="32"/>
  <c r="L66" i="32" s="1"/>
  <c r="I65" i="32"/>
  <c r="M65" i="32" s="1"/>
  <c r="H65" i="32"/>
  <c r="J65" i="32" s="1"/>
  <c r="K65" i="32" s="1"/>
  <c r="G65" i="32"/>
  <c r="L65" i="32" s="1"/>
  <c r="I64" i="32"/>
  <c r="M64" i="32" s="1"/>
  <c r="H64" i="32"/>
  <c r="J64" i="32" s="1"/>
  <c r="K64" i="32" s="1"/>
  <c r="G64" i="32"/>
  <c r="L64" i="32" s="1"/>
  <c r="I63" i="32"/>
  <c r="M63" i="32" s="1"/>
  <c r="H63" i="32"/>
  <c r="J63" i="32" s="1"/>
  <c r="K63" i="32" s="1"/>
  <c r="G63" i="32"/>
  <c r="L63" i="32" s="1"/>
  <c r="I62" i="32"/>
  <c r="M62" i="32" s="1"/>
  <c r="H62" i="32"/>
  <c r="J62" i="32" s="1"/>
  <c r="K62" i="32" s="1"/>
  <c r="G62" i="32"/>
  <c r="L62" i="32" s="1"/>
  <c r="I61" i="32"/>
  <c r="M61" i="32" s="1"/>
  <c r="H61" i="32"/>
  <c r="J61" i="32" s="1"/>
  <c r="K61" i="32" s="1"/>
  <c r="G61" i="32"/>
  <c r="L61" i="32" s="1"/>
  <c r="I60" i="32"/>
  <c r="M60" i="32" s="1"/>
  <c r="H60" i="32"/>
  <c r="J60" i="32" s="1"/>
  <c r="K60" i="32" s="1"/>
  <c r="G60" i="32"/>
  <c r="L60" i="32" s="1"/>
  <c r="I59" i="32"/>
  <c r="M59" i="32" s="1"/>
  <c r="H59" i="32"/>
  <c r="J59" i="32" s="1"/>
  <c r="K59" i="32" s="1"/>
  <c r="G59" i="32"/>
  <c r="L59" i="32" s="1"/>
  <c r="I58" i="32"/>
  <c r="M58" i="32" s="1"/>
  <c r="H58" i="32"/>
  <c r="J58" i="32" s="1"/>
  <c r="K58" i="32" s="1"/>
  <c r="G58" i="32"/>
  <c r="L58" i="32" s="1"/>
  <c r="I57" i="32"/>
  <c r="M57" i="32" s="1"/>
  <c r="H57" i="32"/>
  <c r="J57" i="32" s="1"/>
  <c r="K57" i="32" s="1"/>
  <c r="G57" i="32"/>
  <c r="L57" i="32" s="1"/>
  <c r="I56" i="32"/>
  <c r="M56" i="32" s="1"/>
  <c r="H56" i="32"/>
  <c r="J56" i="32" s="1"/>
  <c r="K56" i="32" s="1"/>
  <c r="G56" i="32"/>
  <c r="L56" i="32" s="1"/>
  <c r="I55" i="32"/>
  <c r="M55" i="32" s="1"/>
  <c r="H55" i="32"/>
  <c r="J55" i="32" s="1"/>
  <c r="K55" i="32" s="1"/>
  <c r="G55" i="32"/>
  <c r="L55" i="32" s="1"/>
  <c r="I54" i="32"/>
  <c r="M54" i="32" s="1"/>
  <c r="H54" i="32"/>
  <c r="J54" i="32" s="1"/>
  <c r="K54" i="32" s="1"/>
  <c r="G54" i="32"/>
  <c r="L54" i="32" s="1"/>
  <c r="I53" i="32"/>
  <c r="M53" i="32" s="1"/>
  <c r="H53" i="32"/>
  <c r="J53" i="32" s="1"/>
  <c r="K53" i="32" s="1"/>
  <c r="G53" i="32"/>
  <c r="L53" i="32" s="1"/>
  <c r="I52" i="32"/>
  <c r="M52" i="32" s="1"/>
  <c r="H52" i="32"/>
  <c r="J52" i="32" s="1"/>
  <c r="K52" i="32" s="1"/>
  <c r="G52" i="32"/>
  <c r="L52" i="32" s="1"/>
  <c r="I51" i="32"/>
  <c r="M51" i="32" s="1"/>
  <c r="H51" i="32"/>
  <c r="J51" i="32" s="1"/>
  <c r="K51" i="32" s="1"/>
  <c r="G51" i="32"/>
  <c r="L51" i="32" s="1"/>
  <c r="I50" i="32"/>
  <c r="M50" i="32" s="1"/>
  <c r="H50" i="32"/>
  <c r="J50" i="32" s="1"/>
  <c r="K50" i="32" s="1"/>
  <c r="G50" i="32"/>
  <c r="L50" i="32" s="1"/>
  <c r="I49" i="32"/>
  <c r="M49" i="32" s="1"/>
  <c r="H49" i="32"/>
  <c r="J49" i="32" s="1"/>
  <c r="K49" i="32" s="1"/>
  <c r="G49" i="32"/>
  <c r="L49" i="32" s="1"/>
  <c r="I48" i="32"/>
  <c r="M48" i="32" s="1"/>
  <c r="H48" i="32"/>
  <c r="J48" i="32" s="1"/>
  <c r="K48" i="32" s="1"/>
  <c r="G48" i="32"/>
  <c r="L48" i="32" s="1"/>
  <c r="I47" i="32"/>
  <c r="M47" i="32" s="1"/>
  <c r="H47" i="32"/>
  <c r="J47" i="32" s="1"/>
  <c r="K47" i="32" s="1"/>
  <c r="G47" i="32"/>
  <c r="L47" i="32" s="1"/>
  <c r="I46" i="32"/>
  <c r="M46" i="32" s="1"/>
  <c r="H46" i="32"/>
  <c r="J46" i="32" s="1"/>
  <c r="K46" i="32" s="1"/>
  <c r="G46" i="32"/>
  <c r="L46" i="32" s="1"/>
  <c r="I45" i="32"/>
  <c r="M45" i="32" s="1"/>
  <c r="H45" i="32"/>
  <c r="J45" i="32" s="1"/>
  <c r="K45" i="32" s="1"/>
  <c r="G45" i="32"/>
  <c r="L45" i="32" s="1"/>
  <c r="I44" i="32"/>
  <c r="M44" i="32" s="1"/>
  <c r="H44" i="32"/>
  <c r="J44" i="32" s="1"/>
  <c r="K44" i="32" s="1"/>
  <c r="G44" i="32"/>
  <c r="L44" i="32" s="1"/>
  <c r="I43" i="32"/>
  <c r="M43" i="32" s="1"/>
  <c r="H43" i="32"/>
  <c r="J43" i="32" s="1"/>
  <c r="K43" i="32" s="1"/>
  <c r="G43" i="32"/>
  <c r="L43" i="32" s="1"/>
  <c r="I42" i="32"/>
  <c r="M42" i="32" s="1"/>
  <c r="H42" i="32"/>
  <c r="J42" i="32" s="1"/>
  <c r="K42" i="32" s="1"/>
  <c r="G42" i="32"/>
  <c r="L42" i="32" s="1"/>
  <c r="I41" i="32"/>
  <c r="M41" i="32" s="1"/>
  <c r="H41" i="32"/>
  <c r="J41" i="32" s="1"/>
  <c r="K41" i="32" s="1"/>
  <c r="G41" i="32"/>
  <c r="L41" i="32" s="1"/>
  <c r="I40" i="32"/>
  <c r="M40" i="32" s="1"/>
  <c r="H40" i="32"/>
  <c r="J40" i="32" s="1"/>
  <c r="K40" i="32" s="1"/>
  <c r="G40" i="32"/>
  <c r="L40" i="32" s="1"/>
  <c r="I39" i="32"/>
  <c r="M39" i="32" s="1"/>
  <c r="H39" i="32"/>
  <c r="J39" i="32" s="1"/>
  <c r="K39" i="32" s="1"/>
  <c r="G39" i="32"/>
  <c r="L39" i="32" s="1"/>
  <c r="I38" i="32"/>
  <c r="M38" i="32" s="1"/>
  <c r="H38" i="32"/>
  <c r="J38" i="32" s="1"/>
  <c r="K38" i="32" s="1"/>
  <c r="G38" i="32"/>
  <c r="L38" i="32" s="1"/>
  <c r="I37" i="32"/>
  <c r="M37" i="32" s="1"/>
  <c r="H37" i="32"/>
  <c r="J37" i="32" s="1"/>
  <c r="K37" i="32" s="1"/>
  <c r="G37" i="32"/>
  <c r="L37" i="32" s="1"/>
  <c r="I36" i="32"/>
  <c r="M36" i="32" s="1"/>
  <c r="H36" i="32"/>
  <c r="J36" i="32" s="1"/>
  <c r="K36" i="32" s="1"/>
  <c r="G36" i="32"/>
  <c r="L36" i="32" s="1"/>
  <c r="I35" i="32"/>
  <c r="M35" i="32" s="1"/>
  <c r="H35" i="32"/>
  <c r="J35" i="32" s="1"/>
  <c r="K35" i="32" s="1"/>
  <c r="G35" i="32"/>
  <c r="L35" i="32" s="1"/>
  <c r="I34" i="32"/>
  <c r="M34" i="32" s="1"/>
  <c r="H34" i="32"/>
  <c r="J34" i="32" s="1"/>
  <c r="K34" i="32" s="1"/>
  <c r="G34" i="32"/>
  <c r="L34" i="32" s="1"/>
  <c r="I33" i="32"/>
  <c r="M33" i="32" s="1"/>
  <c r="H33" i="32"/>
  <c r="J33" i="32" s="1"/>
  <c r="K33" i="32" s="1"/>
  <c r="G33" i="32"/>
  <c r="L33" i="32" s="1"/>
  <c r="I32" i="32"/>
  <c r="M32" i="32" s="1"/>
  <c r="H32" i="32"/>
  <c r="J32" i="32" s="1"/>
  <c r="K32" i="32" s="1"/>
  <c r="G32" i="32"/>
  <c r="L32" i="32" s="1"/>
  <c r="I31" i="32"/>
  <c r="M31" i="32" s="1"/>
  <c r="H31" i="32"/>
  <c r="J31" i="32" s="1"/>
  <c r="K31" i="32" s="1"/>
  <c r="G31" i="32"/>
  <c r="L31" i="32" s="1"/>
  <c r="I30" i="32"/>
  <c r="M30" i="32" s="1"/>
  <c r="H30" i="32"/>
  <c r="J30" i="32" s="1"/>
  <c r="K30" i="32" s="1"/>
  <c r="G30" i="32"/>
  <c r="L30" i="32" s="1"/>
  <c r="I29" i="32"/>
  <c r="M29" i="32" s="1"/>
  <c r="H29" i="32"/>
  <c r="J29" i="32" s="1"/>
  <c r="K29" i="32" s="1"/>
  <c r="G29" i="32"/>
  <c r="L29" i="32" s="1"/>
  <c r="I28" i="32"/>
  <c r="M28" i="32" s="1"/>
  <c r="H28" i="32"/>
  <c r="J28" i="32" s="1"/>
  <c r="K28" i="32" s="1"/>
  <c r="G28" i="32"/>
  <c r="L28" i="32" s="1"/>
  <c r="I27" i="32"/>
  <c r="M27" i="32" s="1"/>
  <c r="H27" i="32"/>
  <c r="J27" i="32" s="1"/>
  <c r="K27" i="32" s="1"/>
  <c r="G27" i="32"/>
  <c r="L27" i="32" s="1"/>
  <c r="I26" i="32"/>
  <c r="M26" i="32" s="1"/>
  <c r="H26" i="32"/>
  <c r="J26" i="32" s="1"/>
  <c r="K26" i="32" s="1"/>
  <c r="G26" i="32"/>
  <c r="L26" i="32" s="1"/>
  <c r="I25" i="32"/>
  <c r="M25" i="32" s="1"/>
  <c r="H25" i="32"/>
  <c r="J25" i="32" s="1"/>
  <c r="K25" i="32" s="1"/>
  <c r="G25" i="32"/>
  <c r="L25" i="32" s="1"/>
  <c r="I24" i="32"/>
  <c r="M24" i="32" s="1"/>
  <c r="H24" i="32"/>
  <c r="J24" i="32" s="1"/>
  <c r="K24" i="32" s="1"/>
  <c r="G24" i="32"/>
  <c r="L24" i="32" s="1"/>
  <c r="I23" i="32"/>
  <c r="M23" i="32" s="1"/>
  <c r="H23" i="32"/>
  <c r="J23" i="32" s="1"/>
  <c r="K23" i="32" s="1"/>
  <c r="G23" i="32"/>
  <c r="L23" i="32" s="1"/>
  <c r="I22" i="32"/>
  <c r="M22" i="32" s="1"/>
  <c r="H22" i="32"/>
  <c r="J22" i="32" s="1"/>
  <c r="K22" i="32" s="1"/>
  <c r="G22" i="32"/>
  <c r="L22" i="32" s="1"/>
  <c r="I21" i="32"/>
  <c r="M21" i="32" s="1"/>
  <c r="H21" i="32"/>
  <c r="J21" i="32" s="1"/>
  <c r="K21" i="32" s="1"/>
  <c r="G21" i="32"/>
  <c r="L21" i="32" s="1"/>
  <c r="I20" i="32"/>
  <c r="M20" i="32" s="1"/>
  <c r="H20" i="32"/>
  <c r="J20" i="32" s="1"/>
  <c r="K20" i="32" s="1"/>
  <c r="G20" i="32"/>
  <c r="L20" i="32" s="1"/>
  <c r="I19" i="32"/>
  <c r="M19" i="32" s="1"/>
  <c r="H19" i="32"/>
  <c r="J19" i="32" s="1"/>
  <c r="K19" i="32" s="1"/>
  <c r="G19" i="32"/>
  <c r="L19" i="32" s="1"/>
  <c r="I18" i="32"/>
  <c r="M18" i="32" s="1"/>
  <c r="H18" i="32"/>
  <c r="J18" i="32" s="1"/>
  <c r="K18" i="32" s="1"/>
  <c r="G18" i="32"/>
  <c r="L18" i="32" s="1"/>
  <c r="I17" i="32"/>
  <c r="M17" i="32" s="1"/>
  <c r="H17" i="32"/>
  <c r="J17" i="32" s="1"/>
  <c r="K17" i="32" s="1"/>
  <c r="G17" i="32"/>
  <c r="L17" i="32" s="1"/>
  <c r="I16" i="32"/>
  <c r="M16" i="32" s="1"/>
  <c r="H16" i="32"/>
  <c r="J16" i="32" s="1"/>
  <c r="K16" i="32" s="1"/>
  <c r="G16" i="32"/>
  <c r="L16" i="32" s="1"/>
  <c r="I15" i="32"/>
  <c r="M15" i="32" s="1"/>
  <c r="H15" i="32"/>
  <c r="J15" i="32" s="1"/>
  <c r="K15" i="32" s="1"/>
  <c r="G15" i="32"/>
  <c r="L15" i="32" s="1"/>
  <c r="I14" i="32"/>
  <c r="M14" i="32" s="1"/>
  <c r="H14" i="32"/>
  <c r="J14" i="32" s="1"/>
  <c r="K14" i="32" s="1"/>
  <c r="G14" i="32"/>
  <c r="L14" i="32" s="1"/>
  <c r="I13" i="32"/>
  <c r="M13" i="32" s="1"/>
  <c r="H13" i="32"/>
  <c r="J13" i="32" s="1"/>
  <c r="K13" i="32" s="1"/>
  <c r="G13" i="32"/>
  <c r="L13" i="32" s="1"/>
  <c r="I12" i="32"/>
  <c r="M12" i="32" s="1"/>
  <c r="H12" i="32"/>
  <c r="J12" i="32" s="1"/>
  <c r="K12" i="32" s="1"/>
  <c r="G12" i="32"/>
  <c r="L12" i="32" s="1"/>
  <c r="I11" i="32"/>
  <c r="M11" i="32" s="1"/>
  <c r="H11" i="32"/>
  <c r="J11" i="32" s="1"/>
  <c r="K11" i="32" s="1"/>
  <c r="G11" i="32"/>
  <c r="L11" i="32" s="1"/>
  <c r="I10" i="32"/>
  <c r="M10" i="32" s="1"/>
  <c r="H10" i="32"/>
  <c r="J10" i="32" s="1"/>
  <c r="K10" i="32" s="1"/>
  <c r="G10" i="32"/>
  <c r="L10" i="32" s="1"/>
  <c r="I9" i="32"/>
  <c r="M9" i="32" s="1"/>
  <c r="H9" i="32"/>
  <c r="J9" i="32" s="1"/>
  <c r="K9" i="32" s="1"/>
  <c r="G9" i="32"/>
  <c r="L9" i="32" s="1"/>
  <c r="I8" i="32"/>
  <c r="M8" i="32" s="1"/>
  <c r="H8" i="32"/>
  <c r="J8" i="32" s="1"/>
  <c r="K8" i="32" s="1"/>
  <c r="G8" i="32"/>
  <c r="L8" i="32" s="1"/>
  <c r="I7" i="32"/>
  <c r="M7" i="32" s="1"/>
  <c r="H7" i="32"/>
  <c r="J7" i="32" s="1"/>
  <c r="K7" i="32" s="1"/>
  <c r="G7" i="32"/>
  <c r="L7" i="32" s="1"/>
  <c r="I84" i="31"/>
  <c r="M84" i="31" s="1"/>
  <c r="H84" i="31"/>
  <c r="J84" i="31" s="1"/>
  <c r="K84" i="31" s="1"/>
  <c r="G84" i="31"/>
  <c r="L84" i="31" s="1"/>
  <c r="I83" i="31"/>
  <c r="M83" i="31" s="1"/>
  <c r="H83" i="31"/>
  <c r="J83" i="31" s="1"/>
  <c r="K83" i="31" s="1"/>
  <c r="G83" i="31"/>
  <c r="L83" i="31" s="1"/>
  <c r="I82" i="31"/>
  <c r="M82" i="31" s="1"/>
  <c r="H82" i="31"/>
  <c r="J82" i="31" s="1"/>
  <c r="K82" i="31" s="1"/>
  <c r="G82" i="31"/>
  <c r="L82" i="31" s="1"/>
  <c r="I81" i="31"/>
  <c r="M81" i="31" s="1"/>
  <c r="H81" i="31"/>
  <c r="J81" i="31" s="1"/>
  <c r="K81" i="31" s="1"/>
  <c r="G81" i="31"/>
  <c r="L81" i="31" s="1"/>
  <c r="I80" i="31"/>
  <c r="M80" i="31" s="1"/>
  <c r="H80" i="31"/>
  <c r="J80" i="31" s="1"/>
  <c r="K80" i="31" s="1"/>
  <c r="G80" i="31"/>
  <c r="L80" i="31" s="1"/>
  <c r="I79" i="31"/>
  <c r="M79" i="31" s="1"/>
  <c r="H79" i="31"/>
  <c r="J79" i="31" s="1"/>
  <c r="K79" i="31" s="1"/>
  <c r="G79" i="31"/>
  <c r="L79" i="31" s="1"/>
  <c r="I78" i="31"/>
  <c r="M78" i="31" s="1"/>
  <c r="H78" i="31"/>
  <c r="J78" i="31" s="1"/>
  <c r="K78" i="31" s="1"/>
  <c r="G78" i="31"/>
  <c r="L78" i="31" s="1"/>
  <c r="I77" i="31"/>
  <c r="M77" i="31" s="1"/>
  <c r="H77" i="31"/>
  <c r="J77" i="31" s="1"/>
  <c r="K77" i="31" s="1"/>
  <c r="G77" i="31"/>
  <c r="L77" i="31" s="1"/>
  <c r="I76" i="31"/>
  <c r="M76" i="31" s="1"/>
  <c r="H76" i="31"/>
  <c r="J76" i="31" s="1"/>
  <c r="K76" i="31" s="1"/>
  <c r="G76" i="31"/>
  <c r="L76" i="31" s="1"/>
  <c r="I75" i="31"/>
  <c r="M75" i="31" s="1"/>
  <c r="H75" i="31"/>
  <c r="J75" i="31" s="1"/>
  <c r="K75" i="31" s="1"/>
  <c r="G75" i="31"/>
  <c r="L75" i="31" s="1"/>
  <c r="I74" i="31"/>
  <c r="M74" i="31" s="1"/>
  <c r="H74" i="31"/>
  <c r="J74" i="31" s="1"/>
  <c r="K74" i="31" s="1"/>
  <c r="G74" i="31"/>
  <c r="L74" i="31" s="1"/>
  <c r="I73" i="31"/>
  <c r="M73" i="31" s="1"/>
  <c r="H73" i="31"/>
  <c r="J73" i="31" s="1"/>
  <c r="K73" i="31" s="1"/>
  <c r="G73" i="31"/>
  <c r="L73" i="31" s="1"/>
  <c r="I72" i="31"/>
  <c r="M72" i="31" s="1"/>
  <c r="H72" i="31"/>
  <c r="J72" i="31" s="1"/>
  <c r="K72" i="31" s="1"/>
  <c r="G72" i="31"/>
  <c r="L72" i="31" s="1"/>
  <c r="I71" i="31"/>
  <c r="M71" i="31" s="1"/>
  <c r="H71" i="31"/>
  <c r="J71" i="31" s="1"/>
  <c r="K71" i="31" s="1"/>
  <c r="G71" i="31"/>
  <c r="L71" i="31" s="1"/>
  <c r="I70" i="31"/>
  <c r="M70" i="31" s="1"/>
  <c r="H70" i="31"/>
  <c r="J70" i="31" s="1"/>
  <c r="K70" i="31" s="1"/>
  <c r="G70" i="31"/>
  <c r="L70" i="31" s="1"/>
  <c r="I69" i="31"/>
  <c r="M69" i="31" s="1"/>
  <c r="H69" i="31"/>
  <c r="J69" i="31" s="1"/>
  <c r="K69" i="31" s="1"/>
  <c r="G69" i="31"/>
  <c r="L69" i="31" s="1"/>
  <c r="I68" i="31"/>
  <c r="M68" i="31" s="1"/>
  <c r="H68" i="31"/>
  <c r="J68" i="31" s="1"/>
  <c r="K68" i="31" s="1"/>
  <c r="G68" i="31"/>
  <c r="L68" i="31" s="1"/>
  <c r="I67" i="31"/>
  <c r="M67" i="31" s="1"/>
  <c r="H67" i="31"/>
  <c r="J67" i="31" s="1"/>
  <c r="K67" i="31" s="1"/>
  <c r="G67" i="31"/>
  <c r="L67" i="31" s="1"/>
  <c r="I66" i="31"/>
  <c r="M66" i="31" s="1"/>
  <c r="H66" i="31"/>
  <c r="J66" i="31" s="1"/>
  <c r="K66" i="31" s="1"/>
  <c r="G66" i="31"/>
  <c r="L66" i="31" s="1"/>
  <c r="I65" i="31"/>
  <c r="M65" i="31" s="1"/>
  <c r="H65" i="31"/>
  <c r="J65" i="31" s="1"/>
  <c r="K65" i="31" s="1"/>
  <c r="G65" i="31"/>
  <c r="L65" i="31" s="1"/>
  <c r="I64" i="31"/>
  <c r="M64" i="31" s="1"/>
  <c r="H64" i="31"/>
  <c r="J64" i="31" s="1"/>
  <c r="K64" i="31" s="1"/>
  <c r="G64" i="31"/>
  <c r="L64" i="31" s="1"/>
  <c r="I63" i="31"/>
  <c r="M63" i="31" s="1"/>
  <c r="H63" i="31"/>
  <c r="J63" i="31" s="1"/>
  <c r="K63" i="31" s="1"/>
  <c r="G63" i="31"/>
  <c r="L63" i="31" s="1"/>
  <c r="I62" i="31"/>
  <c r="M62" i="31" s="1"/>
  <c r="H62" i="31"/>
  <c r="J62" i="31" s="1"/>
  <c r="K62" i="31" s="1"/>
  <c r="G62" i="31"/>
  <c r="L62" i="31" s="1"/>
  <c r="I61" i="31"/>
  <c r="M61" i="31" s="1"/>
  <c r="H61" i="31"/>
  <c r="J61" i="31" s="1"/>
  <c r="K61" i="31" s="1"/>
  <c r="G61" i="31"/>
  <c r="L61" i="31" s="1"/>
  <c r="I60" i="31"/>
  <c r="M60" i="31" s="1"/>
  <c r="H60" i="31"/>
  <c r="J60" i="31" s="1"/>
  <c r="K60" i="31" s="1"/>
  <c r="G60" i="31"/>
  <c r="L60" i="31" s="1"/>
  <c r="I59" i="31"/>
  <c r="M59" i="31" s="1"/>
  <c r="H59" i="31"/>
  <c r="J59" i="31" s="1"/>
  <c r="K59" i="31" s="1"/>
  <c r="G59" i="31"/>
  <c r="L59" i="31" s="1"/>
  <c r="I58" i="31"/>
  <c r="M58" i="31" s="1"/>
  <c r="H58" i="31"/>
  <c r="J58" i="31" s="1"/>
  <c r="K58" i="31" s="1"/>
  <c r="G58" i="31"/>
  <c r="L58" i="31" s="1"/>
  <c r="I57" i="31"/>
  <c r="M57" i="31" s="1"/>
  <c r="H57" i="31"/>
  <c r="J57" i="31" s="1"/>
  <c r="K57" i="31" s="1"/>
  <c r="G57" i="31"/>
  <c r="L57" i="31" s="1"/>
  <c r="I56" i="31"/>
  <c r="M56" i="31" s="1"/>
  <c r="H56" i="31"/>
  <c r="J56" i="31" s="1"/>
  <c r="K56" i="31" s="1"/>
  <c r="G56" i="31"/>
  <c r="L56" i="31" s="1"/>
  <c r="I55" i="31"/>
  <c r="M55" i="31" s="1"/>
  <c r="H55" i="31"/>
  <c r="J55" i="31" s="1"/>
  <c r="K55" i="31" s="1"/>
  <c r="G55" i="31"/>
  <c r="L55" i="31" s="1"/>
  <c r="I54" i="31"/>
  <c r="M54" i="31" s="1"/>
  <c r="H54" i="31"/>
  <c r="J54" i="31" s="1"/>
  <c r="K54" i="31" s="1"/>
  <c r="G54" i="31"/>
  <c r="L54" i="31" s="1"/>
  <c r="I53" i="31"/>
  <c r="M53" i="31" s="1"/>
  <c r="H53" i="31"/>
  <c r="J53" i="31" s="1"/>
  <c r="K53" i="31" s="1"/>
  <c r="G53" i="31"/>
  <c r="L53" i="31" s="1"/>
  <c r="I52" i="31"/>
  <c r="M52" i="31" s="1"/>
  <c r="H52" i="31"/>
  <c r="J52" i="31" s="1"/>
  <c r="K52" i="31" s="1"/>
  <c r="G52" i="31"/>
  <c r="L52" i="31" s="1"/>
  <c r="I51" i="31"/>
  <c r="M51" i="31" s="1"/>
  <c r="H51" i="31"/>
  <c r="J51" i="31" s="1"/>
  <c r="K51" i="31" s="1"/>
  <c r="G51" i="31"/>
  <c r="L51" i="31" s="1"/>
  <c r="I50" i="31"/>
  <c r="M50" i="31" s="1"/>
  <c r="H50" i="31"/>
  <c r="J50" i="31" s="1"/>
  <c r="K50" i="31" s="1"/>
  <c r="G50" i="31"/>
  <c r="L50" i="31" s="1"/>
  <c r="I49" i="31"/>
  <c r="M49" i="31" s="1"/>
  <c r="H49" i="31"/>
  <c r="J49" i="31" s="1"/>
  <c r="K49" i="31" s="1"/>
  <c r="G49" i="31"/>
  <c r="L49" i="31" s="1"/>
  <c r="I48" i="31"/>
  <c r="M48" i="31" s="1"/>
  <c r="H48" i="31"/>
  <c r="J48" i="31" s="1"/>
  <c r="K48" i="31" s="1"/>
  <c r="G48" i="31"/>
  <c r="L48" i="31" s="1"/>
  <c r="I47" i="31"/>
  <c r="M47" i="31" s="1"/>
  <c r="H47" i="31"/>
  <c r="J47" i="31" s="1"/>
  <c r="K47" i="31" s="1"/>
  <c r="G47" i="31"/>
  <c r="L47" i="31" s="1"/>
  <c r="I46" i="31"/>
  <c r="M46" i="31" s="1"/>
  <c r="H46" i="31"/>
  <c r="J46" i="31" s="1"/>
  <c r="K46" i="31" s="1"/>
  <c r="G46" i="31"/>
  <c r="L46" i="31" s="1"/>
  <c r="I45" i="31"/>
  <c r="M45" i="31" s="1"/>
  <c r="H45" i="31"/>
  <c r="J45" i="31" s="1"/>
  <c r="K45" i="31" s="1"/>
  <c r="G45" i="31"/>
  <c r="L45" i="31" s="1"/>
  <c r="I44" i="31"/>
  <c r="M44" i="31" s="1"/>
  <c r="H44" i="31"/>
  <c r="J44" i="31" s="1"/>
  <c r="K44" i="31" s="1"/>
  <c r="G44" i="31"/>
  <c r="L44" i="31" s="1"/>
  <c r="I43" i="31"/>
  <c r="M43" i="31" s="1"/>
  <c r="H43" i="31"/>
  <c r="J43" i="31" s="1"/>
  <c r="K43" i="31" s="1"/>
  <c r="G43" i="31"/>
  <c r="L43" i="31" s="1"/>
  <c r="I42" i="31"/>
  <c r="M42" i="31" s="1"/>
  <c r="H42" i="31"/>
  <c r="J42" i="31" s="1"/>
  <c r="K42" i="31" s="1"/>
  <c r="G42" i="31"/>
  <c r="L42" i="31" s="1"/>
  <c r="I41" i="31"/>
  <c r="M41" i="31" s="1"/>
  <c r="H41" i="31"/>
  <c r="J41" i="31" s="1"/>
  <c r="K41" i="31" s="1"/>
  <c r="G41" i="31"/>
  <c r="L41" i="31" s="1"/>
  <c r="I40" i="31"/>
  <c r="M40" i="31" s="1"/>
  <c r="H40" i="31"/>
  <c r="J40" i="31" s="1"/>
  <c r="K40" i="31" s="1"/>
  <c r="G40" i="31"/>
  <c r="L40" i="31" s="1"/>
  <c r="I39" i="31"/>
  <c r="M39" i="31" s="1"/>
  <c r="H39" i="31"/>
  <c r="J39" i="31" s="1"/>
  <c r="K39" i="31" s="1"/>
  <c r="G39" i="31"/>
  <c r="L39" i="31" s="1"/>
  <c r="I38" i="31"/>
  <c r="M38" i="31" s="1"/>
  <c r="H38" i="31"/>
  <c r="J38" i="31" s="1"/>
  <c r="K38" i="31" s="1"/>
  <c r="G38" i="31"/>
  <c r="L38" i="31" s="1"/>
  <c r="I37" i="31"/>
  <c r="M37" i="31" s="1"/>
  <c r="H37" i="31"/>
  <c r="J37" i="31" s="1"/>
  <c r="K37" i="31" s="1"/>
  <c r="G37" i="31"/>
  <c r="L37" i="31" s="1"/>
  <c r="I36" i="31"/>
  <c r="M36" i="31" s="1"/>
  <c r="H36" i="31"/>
  <c r="J36" i="31" s="1"/>
  <c r="K36" i="31" s="1"/>
  <c r="G36" i="31"/>
  <c r="L36" i="31" s="1"/>
  <c r="I35" i="31"/>
  <c r="M35" i="31" s="1"/>
  <c r="H35" i="31"/>
  <c r="J35" i="31" s="1"/>
  <c r="K35" i="31" s="1"/>
  <c r="G35" i="31"/>
  <c r="L35" i="31" s="1"/>
  <c r="I34" i="31"/>
  <c r="M34" i="31" s="1"/>
  <c r="H34" i="31"/>
  <c r="J34" i="31" s="1"/>
  <c r="K34" i="31" s="1"/>
  <c r="G34" i="31"/>
  <c r="L34" i="31" s="1"/>
  <c r="M33" i="31"/>
  <c r="I33" i="31"/>
  <c r="H33" i="31"/>
  <c r="J33" i="31" s="1"/>
  <c r="K33" i="31" s="1"/>
  <c r="L33" i="31" s="1"/>
  <c r="G33" i="31"/>
  <c r="I32" i="31"/>
  <c r="M32" i="31" s="1"/>
  <c r="H32" i="31"/>
  <c r="J32" i="31" s="1"/>
  <c r="K32" i="31" s="1"/>
  <c r="G32" i="31"/>
  <c r="L32" i="31" s="1"/>
  <c r="I31" i="31"/>
  <c r="M31" i="31" s="1"/>
  <c r="H31" i="31"/>
  <c r="J31" i="31" s="1"/>
  <c r="K31" i="31" s="1"/>
  <c r="G31" i="31"/>
  <c r="L31" i="31" s="1"/>
  <c r="I30" i="31"/>
  <c r="M30" i="31" s="1"/>
  <c r="H30" i="31"/>
  <c r="J30" i="31" s="1"/>
  <c r="K30" i="31" s="1"/>
  <c r="G30" i="31"/>
  <c r="L30" i="31" s="1"/>
  <c r="I29" i="31"/>
  <c r="M29" i="31" s="1"/>
  <c r="H29" i="31"/>
  <c r="J29" i="31" s="1"/>
  <c r="K29" i="31" s="1"/>
  <c r="G29" i="31"/>
  <c r="L29" i="31" s="1"/>
  <c r="I28" i="31"/>
  <c r="M28" i="31" s="1"/>
  <c r="H28" i="31"/>
  <c r="J28" i="31" s="1"/>
  <c r="K28" i="31" s="1"/>
  <c r="G28" i="31"/>
  <c r="L28" i="31" s="1"/>
  <c r="I27" i="31"/>
  <c r="M27" i="31" s="1"/>
  <c r="H27" i="31"/>
  <c r="J27" i="31" s="1"/>
  <c r="K27" i="31" s="1"/>
  <c r="G27" i="31"/>
  <c r="L27" i="31" s="1"/>
  <c r="I26" i="31"/>
  <c r="M26" i="31" s="1"/>
  <c r="H26" i="31"/>
  <c r="J26" i="31" s="1"/>
  <c r="K26" i="31" s="1"/>
  <c r="G26" i="31"/>
  <c r="L26" i="31" s="1"/>
  <c r="I25" i="31"/>
  <c r="M25" i="31" s="1"/>
  <c r="H25" i="31"/>
  <c r="J25" i="31" s="1"/>
  <c r="K25" i="31" s="1"/>
  <c r="G25" i="31"/>
  <c r="L25" i="31" s="1"/>
  <c r="I24" i="31"/>
  <c r="M24" i="31" s="1"/>
  <c r="H24" i="31"/>
  <c r="J24" i="31" s="1"/>
  <c r="K24" i="31" s="1"/>
  <c r="G24" i="31"/>
  <c r="L24" i="31" s="1"/>
  <c r="I23" i="31"/>
  <c r="M23" i="31" s="1"/>
  <c r="H23" i="31"/>
  <c r="J23" i="31" s="1"/>
  <c r="K23" i="31" s="1"/>
  <c r="G23" i="31"/>
  <c r="L23" i="31" s="1"/>
  <c r="I22" i="31"/>
  <c r="M22" i="31" s="1"/>
  <c r="H22" i="31"/>
  <c r="J22" i="31" s="1"/>
  <c r="K22" i="31" s="1"/>
  <c r="G22" i="31"/>
  <c r="L22" i="31" s="1"/>
  <c r="I21" i="31"/>
  <c r="M21" i="31" s="1"/>
  <c r="H21" i="31"/>
  <c r="J21" i="31" s="1"/>
  <c r="K21" i="31" s="1"/>
  <c r="G21" i="31"/>
  <c r="L21" i="31" s="1"/>
  <c r="I20" i="31"/>
  <c r="M20" i="31" s="1"/>
  <c r="H20" i="31"/>
  <c r="J20" i="31" s="1"/>
  <c r="K20" i="31" s="1"/>
  <c r="G20" i="31"/>
  <c r="L20" i="31" s="1"/>
  <c r="I19" i="31"/>
  <c r="M19" i="31" s="1"/>
  <c r="H19" i="31"/>
  <c r="J19" i="31" s="1"/>
  <c r="K19" i="31" s="1"/>
  <c r="G19" i="31"/>
  <c r="L19" i="31" s="1"/>
  <c r="I18" i="31"/>
  <c r="M18" i="31" s="1"/>
  <c r="H18" i="31"/>
  <c r="J18" i="31" s="1"/>
  <c r="K18" i="31" s="1"/>
  <c r="G18" i="31"/>
  <c r="L18" i="31" s="1"/>
  <c r="I17" i="31"/>
  <c r="M17" i="31" s="1"/>
  <c r="H17" i="31"/>
  <c r="J17" i="31" s="1"/>
  <c r="K17" i="31" s="1"/>
  <c r="G17" i="31"/>
  <c r="L17" i="31" s="1"/>
  <c r="I16" i="31"/>
  <c r="M16" i="31" s="1"/>
  <c r="H16" i="31"/>
  <c r="J16" i="31" s="1"/>
  <c r="K16" i="31" s="1"/>
  <c r="G16" i="31"/>
  <c r="L16" i="31" s="1"/>
  <c r="I15" i="31"/>
  <c r="M15" i="31" s="1"/>
  <c r="H15" i="31"/>
  <c r="J15" i="31" s="1"/>
  <c r="K15" i="31" s="1"/>
  <c r="G15" i="31"/>
  <c r="L15" i="31" s="1"/>
  <c r="I14" i="31"/>
  <c r="M14" i="31" s="1"/>
  <c r="H14" i="31"/>
  <c r="J14" i="31" s="1"/>
  <c r="K14" i="31" s="1"/>
  <c r="G14" i="31"/>
  <c r="L14" i="31" s="1"/>
  <c r="I13" i="31"/>
  <c r="M13" i="31" s="1"/>
  <c r="H13" i="31"/>
  <c r="J13" i="31" s="1"/>
  <c r="K13" i="31" s="1"/>
  <c r="G13" i="31"/>
  <c r="L13" i="31" s="1"/>
  <c r="I12" i="31"/>
  <c r="M12" i="31" s="1"/>
  <c r="H12" i="31"/>
  <c r="J12" i="31" s="1"/>
  <c r="K12" i="31" s="1"/>
  <c r="G12" i="31"/>
  <c r="L12" i="31" s="1"/>
  <c r="I11" i="31"/>
  <c r="M11" i="31" s="1"/>
  <c r="H11" i="31"/>
  <c r="J11" i="31" s="1"/>
  <c r="K11" i="31" s="1"/>
  <c r="G11" i="31"/>
  <c r="L11" i="31" s="1"/>
  <c r="I10" i="31"/>
  <c r="M10" i="31" s="1"/>
  <c r="H10" i="31"/>
  <c r="J10" i="31" s="1"/>
  <c r="K10" i="31" s="1"/>
  <c r="G10" i="31"/>
  <c r="L10" i="31" s="1"/>
  <c r="I9" i="31"/>
  <c r="M9" i="31" s="1"/>
  <c r="H9" i="31"/>
  <c r="J9" i="31" s="1"/>
  <c r="K9" i="31" s="1"/>
  <c r="G9" i="31"/>
  <c r="L9" i="31" s="1"/>
  <c r="I8" i="31"/>
  <c r="M8" i="31" s="1"/>
  <c r="H8" i="31"/>
  <c r="J8" i="31" s="1"/>
  <c r="K8" i="31" s="1"/>
  <c r="G8" i="31"/>
  <c r="L8" i="31" s="1"/>
  <c r="I7" i="31"/>
  <c r="M7" i="31" s="1"/>
  <c r="H7" i="31"/>
  <c r="J7" i="31" s="1"/>
  <c r="K7" i="31" s="1"/>
  <c r="G7" i="31"/>
  <c r="L7" i="31" s="1"/>
  <c r="I89" i="30"/>
  <c r="M89" i="30" s="1"/>
  <c r="H89" i="30"/>
  <c r="J89" i="30" s="1"/>
  <c r="K89" i="30" s="1"/>
  <c r="G89" i="30"/>
  <c r="L89" i="30" s="1"/>
  <c r="I88" i="30"/>
  <c r="M88" i="30" s="1"/>
  <c r="H88" i="30"/>
  <c r="J88" i="30" s="1"/>
  <c r="K88" i="30" s="1"/>
  <c r="G88" i="30"/>
  <c r="L88" i="30" s="1"/>
  <c r="I87" i="30"/>
  <c r="M87" i="30" s="1"/>
  <c r="H87" i="30"/>
  <c r="J87" i="30" s="1"/>
  <c r="K87" i="30" s="1"/>
  <c r="G87" i="30"/>
  <c r="L87" i="30" s="1"/>
  <c r="I86" i="30"/>
  <c r="M86" i="30" s="1"/>
  <c r="H86" i="30"/>
  <c r="J86" i="30" s="1"/>
  <c r="K86" i="30" s="1"/>
  <c r="G86" i="30"/>
  <c r="L86" i="30" s="1"/>
  <c r="I85" i="30"/>
  <c r="M85" i="30" s="1"/>
  <c r="H85" i="30"/>
  <c r="J85" i="30" s="1"/>
  <c r="K85" i="30" s="1"/>
  <c r="G85" i="30"/>
  <c r="L85" i="30" s="1"/>
  <c r="I84" i="30"/>
  <c r="M84" i="30" s="1"/>
  <c r="H84" i="30"/>
  <c r="J84" i="30" s="1"/>
  <c r="K84" i="30" s="1"/>
  <c r="G84" i="30"/>
  <c r="L84" i="30" s="1"/>
  <c r="I83" i="30"/>
  <c r="M83" i="30" s="1"/>
  <c r="H83" i="30"/>
  <c r="J83" i="30" s="1"/>
  <c r="K83" i="30" s="1"/>
  <c r="G83" i="30"/>
  <c r="L83" i="30" s="1"/>
  <c r="I82" i="30"/>
  <c r="M82" i="30" s="1"/>
  <c r="H82" i="30"/>
  <c r="J82" i="30" s="1"/>
  <c r="K82" i="30" s="1"/>
  <c r="G82" i="30"/>
  <c r="L82" i="30" s="1"/>
  <c r="I81" i="30"/>
  <c r="M81" i="30" s="1"/>
  <c r="H81" i="30"/>
  <c r="J81" i="30" s="1"/>
  <c r="K81" i="30" s="1"/>
  <c r="G81" i="30"/>
  <c r="L81" i="30" s="1"/>
  <c r="I80" i="30"/>
  <c r="M80" i="30" s="1"/>
  <c r="H80" i="30"/>
  <c r="J80" i="30" s="1"/>
  <c r="K80" i="30" s="1"/>
  <c r="G80" i="30"/>
  <c r="L80" i="30" s="1"/>
  <c r="I79" i="30"/>
  <c r="M79" i="30" s="1"/>
  <c r="H79" i="30"/>
  <c r="J79" i="30" s="1"/>
  <c r="K79" i="30" s="1"/>
  <c r="G79" i="30"/>
  <c r="L79" i="30" s="1"/>
  <c r="I78" i="30"/>
  <c r="M78" i="30" s="1"/>
  <c r="H78" i="30"/>
  <c r="J78" i="30" s="1"/>
  <c r="K78" i="30" s="1"/>
  <c r="G78" i="30"/>
  <c r="L78" i="30" s="1"/>
  <c r="I77" i="30"/>
  <c r="M77" i="30" s="1"/>
  <c r="H77" i="30"/>
  <c r="J77" i="30" s="1"/>
  <c r="K77" i="30" s="1"/>
  <c r="G77" i="30"/>
  <c r="L77" i="30" s="1"/>
  <c r="I76" i="30"/>
  <c r="M76" i="30" s="1"/>
  <c r="H76" i="30"/>
  <c r="J76" i="30" s="1"/>
  <c r="K76" i="30" s="1"/>
  <c r="G76" i="30"/>
  <c r="L76" i="30" s="1"/>
  <c r="I75" i="30"/>
  <c r="M75" i="30" s="1"/>
  <c r="H75" i="30"/>
  <c r="J75" i="30" s="1"/>
  <c r="K75" i="30" s="1"/>
  <c r="G75" i="30"/>
  <c r="L75" i="30" s="1"/>
  <c r="I74" i="30"/>
  <c r="M74" i="30" s="1"/>
  <c r="H74" i="30"/>
  <c r="J74" i="30" s="1"/>
  <c r="K74" i="30" s="1"/>
  <c r="G74" i="30"/>
  <c r="L74" i="30" s="1"/>
  <c r="I73" i="30"/>
  <c r="M73" i="30" s="1"/>
  <c r="H73" i="30"/>
  <c r="J73" i="30" s="1"/>
  <c r="K73" i="30" s="1"/>
  <c r="G73" i="30"/>
  <c r="L73" i="30" s="1"/>
  <c r="I72" i="30"/>
  <c r="M72" i="30" s="1"/>
  <c r="H72" i="30"/>
  <c r="J72" i="30" s="1"/>
  <c r="K72" i="30" s="1"/>
  <c r="G72" i="30"/>
  <c r="L72" i="30" s="1"/>
  <c r="I71" i="30"/>
  <c r="M71" i="30" s="1"/>
  <c r="H71" i="30"/>
  <c r="J71" i="30" s="1"/>
  <c r="K71" i="30" s="1"/>
  <c r="G71" i="30"/>
  <c r="L71" i="30" s="1"/>
  <c r="I70" i="30"/>
  <c r="M70" i="30" s="1"/>
  <c r="H70" i="30"/>
  <c r="J70" i="30" s="1"/>
  <c r="K70" i="30" s="1"/>
  <c r="G70" i="30"/>
  <c r="L70" i="30" s="1"/>
  <c r="I69" i="30"/>
  <c r="M69" i="30" s="1"/>
  <c r="H69" i="30"/>
  <c r="J69" i="30" s="1"/>
  <c r="K69" i="30" s="1"/>
  <c r="G69" i="30"/>
  <c r="L69" i="30" s="1"/>
  <c r="I68" i="30"/>
  <c r="M68" i="30" s="1"/>
  <c r="H68" i="30"/>
  <c r="J68" i="30" s="1"/>
  <c r="K68" i="30" s="1"/>
  <c r="G68" i="30"/>
  <c r="L68" i="30" s="1"/>
  <c r="I67" i="30"/>
  <c r="M67" i="30" s="1"/>
  <c r="H67" i="30"/>
  <c r="J67" i="30" s="1"/>
  <c r="K67" i="30" s="1"/>
  <c r="G67" i="30"/>
  <c r="L67" i="30" s="1"/>
  <c r="I66" i="30"/>
  <c r="M66" i="30" s="1"/>
  <c r="H66" i="30"/>
  <c r="J66" i="30" s="1"/>
  <c r="K66" i="30" s="1"/>
  <c r="G66" i="30"/>
  <c r="L66" i="30" s="1"/>
  <c r="I65" i="30"/>
  <c r="M65" i="30" s="1"/>
  <c r="H65" i="30"/>
  <c r="J65" i="30" s="1"/>
  <c r="K65" i="30" s="1"/>
  <c r="G65" i="30"/>
  <c r="L65" i="30" s="1"/>
  <c r="I64" i="30"/>
  <c r="M64" i="30" s="1"/>
  <c r="H64" i="30"/>
  <c r="J64" i="30" s="1"/>
  <c r="K64" i="30" s="1"/>
  <c r="G64" i="30"/>
  <c r="L64" i="30" s="1"/>
  <c r="I63" i="30"/>
  <c r="M63" i="30" s="1"/>
  <c r="H63" i="30"/>
  <c r="J63" i="30" s="1"/>
  <c r="K63" i="30" s="1"/>
  <c r="G63" i="30"/>
  <c r="L63" i="30" s="1"/>
  <c r="I62" i="30"/>
  <c r="M62" i="30" s="1"/>
  <c r="H62" i="30"/>
  <c r="J62" i="30" s="1"/>
  <c r="K62" i="30" s="1"/>
  <c r="G62" i="30"/>
  <c r="L62" i="30" s="1"/>
  <c r="I61" i="30"/>
  <c r="M61" i="30" s="1"/>
  <c r="H61" i="30"/>
  <c r="J61" i="30" s="1"/>
  <c r="K61" i="30" s="1"/>
  <c r="G61" i="30"/>
  <c r="L61" i="30" s="1"/>
  <c r="I60" i="30"/>
  <c r="M60" i="30" s="1"/>
  <c r="H60" i="30"/>
  <c r="J60" i="30" s="1"/>
  <c r="K60" i="30" s="1"/>
  <c r="G60" i="30"/>
  <c r="L60" i="30" s="1"/>
  <c r="I59" i="30"/>
  <c r="M59" i="30" s="1"/>
  <c r="H59" i="30"/>
  <c r="J59" i="30" s="1"/>
  <c r="K59" i="30" s="1"/>
  <c r="G59" i="30"/>
  <c r="L59" i="30" s="1"/>
  <c r="I58" i="30"/>
  <c r="M58" i="30" s="1"/>
  <c r="H58" i="30"/>
  <c r="J58" i="30" s="1"/>
  <c r="K58" i="30" s="1"/>
  <c r="G58" i="30"/>
  <c r="L58" i="30" s="1"/>
  <c r="I57" i="30"/>
  <c r="M57" i="30" s="1"/>
  <c r="H57" i="30"/>
  <c r="J57" i="30" s="1"/>
  <c r="K57" i="30" s="1"/>
  <c r="G57" i="30"/>
  <c r="L57" i="30" s="1"/>
  <c r="I56" i="30"/>
  <c r="M56" i="30" s="1"/>
  <c r="H56" i="30"/>
  <c r="J56" i="30" s="1"/>
  <c r="K56" i="30" s="1"/>
  <c r="G56" i="30"/>
  <c r="L56" i="30" s="1"/>
  <c r="I55" i="30"/>
  <c r="M55" i="30" s="1"/>
  <c r="H55" i="30"/>
  <c r="J55" i="30" s="1"/>
  <c r="K55" i="30" s="1"/>
  <c r="G55" i="30"/>
  <c r="L55" i="30" s="1"/>
  <c r="I54" i="30"/>
  <c r="M54" i="30" s="1"/>
  <c r="H54" i="30"/>
  <c r="J54" i="30" s="1"/>
  <c r="K54" i="30" s="1"/>
  <c r="G54" i="30"/>
  <c r="L54" i="30" s="1"/>
  <c r="I53" i="30"/>
  <c r="M53" i="30" s="1"/>
  <c r="H53" i="30"/>
  <c r="J53" i="30" s="1"/>
  <c r="K53" i="30" s="1"/>
  <c r="G53" i="30"/>
  <c r="L53" i="30" s="1"/>
  <c r="I52" i="30"/>
  <c r="M52" i="30" s="1"/>
  <c r="H52" i="30"/>
  <c r="J52" i="30" s="1"/>
  <c r="K52" i="30" s="1"/>
  <c r="G52" i="30"/>
  <c r="L52" i="30" s="1"/>
  <c r="I51" i="30"/>
  <c r="M51" i="30" s="1"/>
  <c r="H51" i="30"/>
  <c r="J51" i="30" s="1"/>
  <c r="K51" i="30" s="1"/>
  <c r="G51" i="30"/>
  <c r="L51" i="30" s="1"/>
  <c r="I50" i="30"/>
  <c r="M50" i="30" s="1"/>
  <c r="H50" i="30"/>
  <c r="J50" i="30" s="1"/>
  <c r="K50" i="30" s="1"/>
  <c r="G50" i="30"/>
  <c r="L50" i="30" s="1"/>
  <c r="I49" i="30"/>
  <c r="M49" i="30" s="1"/>
  <c r="H49" i="30"/>
  <c r="J49" i="30" s="1"/>
  <c r="K49" i="30" s="1"/>
  <c r="G49" i="30"/>
  <c r="L49" i="30" s="1"/>
  <c r="I48" i="30"/>
  <c r="M48" i="30" s="1"/>
  <c r="H48" i="30"/>
  <c r="J48" i="30" s="1"/>
  <c r="K48" i="30" s="1"/>
  <c r="G48" i="30"/>
  <c r="L48" i="30" s="1"/>
  <c r="I47" i="30"/>
  <c r="M47" i="30" s="1"/>
  <c r="H47" i="30"/>
  <c r="J47" i="30" s="1"/>
  <c r="K47" i="30" s="1"/>
  <c r="G47" i="30"/>
  <c r="L47" i="30" s="1"/>
  <c r="I46" i="30"/>
  <c r="M46" i="30" s="1"/>
  <c r="H46" i="30"/>
  <c r="J46" i="30" s="1"/>
  <c r="K46" i="30" s="1"/>
  <c r="G46" i="30"/>
  <c r="L46" i="30" s="1"/>
  <c r="I45" i="30"/>
  <c r="M45" i="30" s="1"/>
  <c r="H45" i="30"/>
  <c r="J45" i="30" s="1"/>
  <c r="K45" i="30" s="1"/>
  <c r="G45" i="30"/>
  <c r="L45" i="30" s="1"/>
  <c r="I44" i="30"/>
  <c r="M44" i="30" s="1"/>
  <c r="H44" i="30"/>
  <c r="J44" i="30" s="1"/>
  <c r="K44" i="30" s="1"/>
  <c r="G44" i="30"/>
  <c r="L44" i="30" s="1"/>
  <c r="I43" i="30"/>
  <c r="M43" i="30" s="1"/>
  <c r="H43" i="30"/>
  <c r="J43" i="30" s="1"/>
  <c r="K43" i="30" s="1"/>
  <c r="G43" i="30"/>
  <c r="L43" i="30" s="1"/>
  <c r="I42" i="30"/>
  <c r="M42" i="30" s="1"/>
  <c r="H42" i="30"/>
  <c r="J42" i="30" s="1"/>
  <c r="K42" i="30" s="1"/>
  <c r="G42" i="30"/>
  <c r="L42" i="30" s="1"/>
  <c r="I41" i="30"/>
  <c r="M41" i="30" s="1"/>
  <c r="H41" i="30"/>
  <c r="J41" i="30" s="1"/>
  <c r="K41" i="30" s="1"/>
  <c r="G41" i="30"/>
  <c r="L41" i="30" s="1"/>
  <c r="I40" i="30"/>
  <c r="M40" i="30" s="1"/>
  <c r="H40" i="30"/>
  <c r="J40" i="30" s="1"/>
  <c r="K40" i="30" s="1"/>
  <c r="G40" i="30"/>
  <c r="L40" i="30" s="1"/>
  <c r="I39" i="30"/>
  <c r="M39" i="30" s="1"/>
  <c r="H39" i="30"/>
  <c r="J39" i="30" s="1"/>
  <c r="K39" i="30" s="1"/>
  <c r="G39" i="30"/>
  <c r="L39" i="30" s="1"/>
  <c r="I38" i="30"/>
  <c r="M38" i="30" s="1"/>
  <c r="H38" i="30"/>
  <c r="J38" i="30" s="1"/>
  <c r="K38" i="30" s="1"/>
  <c r="G38" i="30"/>
  <c r="L38" i="30" s="1"/>
  <c r="I37" i="30"/>
  <c r="M37" i="30" s="1"/>
  <c r="H37" i="30"/>
  <c r="J37" i="30" s="1"/>
  <c r="K37" i="30" s="1"/>
  <c r="G37" i="30"/>
  <c r="L37" i="30" s="1"/>
  <c r="I36" i="30"/>
  <c r="M36" i="30" s="1"/>
  <c r="H36" i="30"/>
  <c r="J36" i="30" s="1"/>
  <c r="K36" i="30" s="1"/>
  <c r="G36" i="30"/>
  <c r="L36" i="30" s="1"/>
  <c r="I35" i="30"/>
  <c r="M35" i="30" s="1"/>
  <c r="H35" i="30"/>
  <c r="J35" i="30" s="1"/>
  <c r="K35" i="30" s="1"/>
  <c r="G35" i="30"/>
  <c r="L35" i="30" s="1"/>
  <c r="I34" i="30"/>
  <c r="M34" i="30" s="1"/>
  <c r="H34" i="30"/>
  <c r="J34" i="30" s="1"/>
  <c r="K34" i="30" s="1"/>
  <c r="G34" i="30"/>
  <c r="L34" i="30" s="1"/>
  <c r="I33" i="30"/>
  <c r="M33" i="30" s="1"/>
  <c r="H33" i="30"/>
  <c r="J33" i="30" s="1"/>
  <c r="K33" i="30" s="1"/>
  <c r="G33" i="30"/>
  <c r="L33" i="30" s="1"/>
  <c r="I32" i="30"/>
  <c r="M32" i="30" s="1"/>
  <c r="H32" i="30"/>
  <c r="J32" i="30" s="1"/>
  <c r="K32" i="30" s="1"/>
  <c r="G32" i="30"/>
  <c r="L32" i="30" s="1"/>
  <c r="I31" i="30"/>
  <c r="M31" i="30" s="1"/>
  <c r="H31" i="30"/>
  <c r="J31" i="30" s="1"/>
  <c r="K31" i="30" s="1"/>
  <c r="G31" i="30"/>
  <c r="L31" i="30" s="1"/>
  <c r="I30" i="30"/>
  <c r="M30" i="30" s="1"/>
  <c r="H30" i="30"/>
  <c r="J30" i="30" s="1"/>
  <c r="K30" i="30" s="1"/>
  <c r="G30" i="30"/>
  <c r="L30" i="30" s="1"/>
  <c r="I29" i="30"/>
  <c r="M29" i="30" s="1"/>
  <c r="H29" i="30"/>
  <c r="J29" i="30" s="1"/>
  <c r="K29" i="30" s="1"/>
  <c r="G29" i="30"/>
  <c r="L29" i="30" s="1"/>
  <c r="I28" i="30"/>
  <c r="M28" i="30" s="1"/>
  <c r="H28" i="30"/>
  <c r="J28" i="30" s="1"/>
  <c r="K28" i="30" s="1"/>
  <c r="G28" i="30"/>
  <c r="L28" i="30" s="1"/>
  <c r="I27" i="30"/>
  <c r="M27" i="30" s="1"/>
  <c r="H27" i="30"/>
  <c r="J27" i="30" s="1"/>
  <c r="K27" i="30" s="1"/>
  <c r="G27" i="30"/>
  <c r="L27" i="30" s="1"/>
  <c r="I26" i="30"/>
  <c r="M26" i="30" s="1"/>
  <c r="H26" i="30"/>
  <c r="J26" i="30" s="1"/>
  <c r="K26" i="30" s="1"/>
  <c r="G26" i="30"/>
  <c r="L26" i="30" s="1"/>
  <c r="I25" i="30"/>
  <c r="M25" i="30" s="1"/>
  <c r="H25" i="30"/>
  <c r="J25" i="30" s="1"/>
  <c r="K25" i="30" s="1"/>
  <c r="G25" i="30"/>
  <c r="L25" i="30" s="1"/>
  <c r="I24" i="30"/>
  <c r="M24" i="30" s="1"/>
  <c r="H24" i="30"/>
  <c r="J24" i="30" s="1"/>
  <c r="K24" i="30" s="1"/>
  <c r="G24" i="30"/>
  <c r="L24" i="30" s="1"/>
  <c r="I23" i="30"/>
  <c r="M23" i="30" s="1"/>
  <c r="H23" i="30"/>
  <c r="J23" i="30" s="1"/>
  <c r="K23" i="30" s="1"/>
  <c r="G23" i="30"/>
  <c r="L23" i="30" s="1"/>
  <c r="I22" i="30"/>
  <c r="M22" i="30" s="1"/>
  <c r="H22" i="30"/>
  <c r="J22" i="30" s="1"/>
  <c r="K22" i="30" s="1"/>
  <c r="G22" i="30"/>
  <c r="L22" i="30" s="1"/>
  <c r="I21" i="30"/>
  <c r="M21" i="30" s="1"/>
  <c r="H21" i="30"/>
  <c r="J21" i="30" s="1"/>
  <c r="K21" i="30" s="1"/>
  <c r="G21" i="30"/>
  <c r="L21" i="30" s="1"/>
  <c r="I20" i="30"/>
  <c r="M20" i="30" s="1"/>
  <c r="H20" i="30"/>
  <c r="J20" i="30" s="1"/>
  <c r="K20" i="30" s="1"/>
  <c r="G20" i="30"/>
  <c r="L20" i="30" s="1"/>
  <c r="I19" i="30"/>
  <c r="M19" i="30" s="1"/>
  <c r="H19" i="30"/>
  <c r="J19" i="30" s="1"/>
  <c r="K19" i="30" s="1"/>
  <c r="G19" i="30"/>
  <c r="L19" i="30" s="1"/>
  <c r="I18" i="30"/>
  <c r="M18" i="30" s="1"/>
  <c r="H18" i="30"/>
  <c r="J18" i="30" s="1"/>
  <c r="K18" i="30" s="1"/>
  <c r="G18" i="30"/>
  <c r="L18" i="30" s="1"/>
  <c r="I17" i="30"/>
  <c r="M17" i="30" s="1"/>
  <c r="H17" i="30"/>
  <c r="J17" i="30" s="1"/>
  <c r="K17" i="30" s="1"/>
  <c r="G17" i="30"/>
  <c r="L17" i="30" s="1"/>
  <c r="I16" i="30"/>
  <c r="M16" i="30" s="1"/>
  <c r="H16" i="30"/>
  <c r="J16" i="30" s="1"/>
  <c r="K16" i="30" s="1"/>
  <c r="G16" i="30"/>
  <c r="L16" i="30" s="1"/>
  <c r="I15" i="30"/>
  <c r="M15" i="30" s="1"/>
  <c r="H15" i="30"/>
  <c r="J15" i="30" s="1"/>
  <c r="K15" i="30" s="1"/>
  <c r="G15" i="30"/>
  <c r="L15" i="30" s="1"/>
  <c r="I14" i="30"/>
  <c r="M14" i="30" s="1"/>
  <c r="H14" i="30"/>
  <c r="J14" i="30" s="1"/>
  <c r="K14" i="30" s="1"/>
  <c r="G14" i="30"/>
  <c r="L14" i="30" s="1"/>
  <c r="I13" i="30"/>
  <c r="M13" i="30" s="1"/>
  <c r="H13" i="30"/>
  <c r="J13" i="30" s="1"/>
  <c r="K13" i="30" s="1"/>
  <c r="G13" i="30"/>
  <c r="L13" i="30" s="1"/>
  <c r="I12" i="30"/>
  <c r="M12" i="30" s="1"/>
  <c r="H12" i="30"/>
  <c r="J12" i="30" s="1"/>
  <c r="K12" i="30" s="1"/>
  <c r="G12" i="30"/>
  <c r="L12" i="30" s="1"/>
  <c r="I11" i="30"/>
  <c r="M11" i="30" s="1"/>
  <c r="H11" i="30"/>
  <c r="J11" i="30" s="1"/>
  <c r="K11" i="30" s="1"/>
  <c r="G11" i="30"/>
  <c r="L11" i="30" s="1"/>
  <c r="I10" i="30"/>
  <c r="M10" i="30" s="1"/>
  <c r="H10" i="30"/>
  <c r="J10" i="30" s="1"/>
  <c r="K10" i="30" s="1"/>
  <c r="G10" i="30"/>
  <c r="L10" i="30" s="1"/>
  <c r="I9" i="30"/>
  <c r="M9" i="30" s="1"/>
  <c r="H9" i="30"/>
  <c r="J9" i="30" s="1"/>
  <c r="K9" i="30" s="1"/>
  <c r="G9" i="30"/>
  <c r="L9" i="30" s="1"/>
  <c r="I8" i="30"/>
  <c r="M8" i="30" s="1"/>
  <c r="H8" i="30"/>
  <c r="J8" i="30" s="1"/>
  <c r="K8" i="30" s="1"/>
  <c r="G8" i="30"/>
  <c r="L8" i="30" s="1"/>
  <c r="I7" i="30"/>
  <c r="M7" i="30" s="1"/>
  <c r="H7" i="30"/>
  <c r="J7" i="30" s="1"/>
  <c r="K7" i="30" s="1"/>
  <c r="G7" i="30"/>
  <c r="L7" i="30" s="1"/>
  <c r="I71" i="29"/>
  <c r="M71" i="29" s="1"/>
  <c r="H71" i="29"/>
  <c r="J71" i="29" s="1"/>
  <c r="K71" i="29" s="1"/>
  <c r="G71" i="29"/>
  <c r="L71" i="29" s="1"/>
  <c r="I70" i="29"/>
  <c r="M70" i="29" s="1"/>
  <c r="H70" i="29"/>
  <c r="J70" i="29" s="1"/>
  <c r="K70" i="29" s="1"/>
  <c r="G70" i="29"/>
  <c r="L70" i="29" s="1"/>
  <c r="I69" i="29"/>
  <c r="M69" i="29" s="1"/>
  <c r="H69" i="29"/>
  <c r="J69" i="29" s="1"/>
  <c r="K69" i="29" s="1"/>
  <c r="G69" i="29"/>
  <c r="L69" i="29" s="1"/>
  <c r="I68" i="29"/>
  <c r="M68" i="29" s="1"/>
  <c r="H68" i="29"/>
  <c r="J68" i="29" s="1"/>
  <c r="K68" i="29" s="1"/>
  <c r="G68" i="29"/>
  <c r="L68" i="29" s="1"/>
  <c r="I67" i="29"/>
  <c r="M67" i="29" s="1"/>
  <c r="H67" i="29"/>
  <c r="J67" i="29" s="1"/>
  <c r="K67" i="29" s="1"/>
  <c r="G67" i="29"/>
  <c r="L67" i="29" s="1"/>
  <c r="I66" i="29"/>
  <c r="M66" i="29" s="1"/>
  <c r="H66" i="29"/>
  <c r="J66" i="29" s="1"/>
  <c r="K66" i="29" s="1"/>
  <c r="G66" i="29"/>
  <c r="L66" i="29" s="1"/>
  <c r="I65" i="29"/>
  <c r="M65" i="29" s="1"/>
  <c r="H65" i="29"/>
  <c r="J65" i="29" s="1"/>
  <c r="K65" i="29" s="1"/>
  <c r="G65" i="29"/>
  <c r="L65" i="29" s="1"/>
  <c r="I64" i="29"/>
  <c r="M64" i="29" s="1"/>
  <c r="H64" i="29"/>
  <c r="J64" i="29" s="1"/>
  <c r="K64" i="29" s="1"/>
  <c r="G64" i="29"/>
  <c r="L64" i="29" s="1"/>
  <c r="I63" i="29"/>
  <c r="M63" i="29" s="1"/>
  <c r="H63" i="29"/>
  <c r="J63" i="29" s="1"/>
  <c r="K63" i="29" s="1"/>
  <c r="G63" i="29"/>
  <c r="L63" i="29" s="1"/>
  <c r="I62" i="29"/>
  <c r="M62" i="29" s="1"/>
  <c r="H62" i="29"/>
  <c r="J62" i="29" s="1"/>
  <c r="K62" i="29" s="1"/>
  <c r="G62" i="29"/>
  <c r="L62" i="29" s="1"/>
  <c r="I61" i="29"/>
  <c r="M61" i="29" s="1"/>
  <c r="H61" i="29"/>
  <c r="J61" i="29" s="1"/>
  <c r="K61" i="29" s="1"/>
  <c r="G61" i="29"/>
  <c r="L61" i="29" s="1"/>
  <c r="I60" i="29"/>
  <c r="M60" i="29" s="1"/>
  <c r="H60" i="29"/>
  <c r="J60" i="29" s="1"/>
  <c r="K60" i="29" s="1"/>
  <c r="G60" i="29"/>
  <c r="L60" i="29" s="1"/>
  <c r="I59" i="29"/>
  <c r="M59" i="29" s="1"/>
  <c r="H59" i="29"/>
  <c r="J59" i="29" s="1"/>
  <c r="K59" i="29" s="1"/>
  <c r="G59" i="29"/>
  <c r="L59" i="29" s="1"/>
  <c r="J58" i="29"/>
  <c r="K58" i="29" s="1"/>
  <c r="I58" i="29"/>
  <c r="M58" i="29" s="1"/>
  <c r="H58" i="29"/>
  <c r="G58" i="29"/>
  <c r="L58" i="29" s="1"/>
  <c r="I57" i="29"/>
  <c r="M57" i="29" s="1"/>
  <c r="H57" i="29"/>
  <c r="J57" i="29" s="1"/>
  <c r="K57" i="29" s="1"/>
  <c r="G57" i="29"/>
  <c r="L57" i="29" s="1"/>
  <c r="I56" i="29"/>
  <c r="M56" i="29" s="1"/>
  <c r="H56" i="29"/>
  <c r="J56" i="29" s="1"/>
  <c r="K56" i="29" s="1"/>
  <c r="G56" i="29"/>
  <c r="L56" i="29" s="1"/>
  <c r="I55" i="29"/>
  <c r="M55" i="29" s="1"/>
  <c r="H55" i="29"/>
  <c r="J55" i="29" s="1"/>
  <c r="K55" i="29" s="1"/>
  <c r="G55" i="29"/>
  <c r="L55" i="29" s="1"/>
  <c r="I54" i="29"/>
  <c r="M54" i="29" s="1"/>
  <c r="H54" i="29"/>
  <c r="J54" i="29" s="1"/>
  <c r="K54" i="29" s="1"/>
  <c r="G54" i="29"/>
  <c r="L54" i="29" s="1"/>
  <c r="I53" i="29"/>
  <c r="M53" i="29" s="1"/>
  <c r="H53" i="29"/>
  <c r="J53" i="29" s="1"/>
  <c r="K53" i="29" s="1"/>
  <c r="G53" i="29"/>
  <c r="L53" i="29" s="1"/>
  <c r="I52" i="29"/>
  <c r="M52" i="29" s="1"/>
  <c r="H52" i="29"/>
  <c r="J52" i="29" s="1"/>
  <c r="K52" i="29" s="1"/>
  <c r="G52" i="29"/>
  <c r="L52" i="29" s="1"/>
  <c r="I51" i="29"/>
  <c r="M51" i="29" s="1"/>
  <c r="H51" i="29"/>
  <c r="J51" i="29" s="1"/>
  <c r="K51" i="29" s="1"/>
  <c r="G51" i="29"/>
  <c r="L51" i="29" s="1"/>
  <c r="I50" i="29"/>
  <c r="M50" i="29" s="1"/>
  <c r="H50" i="29"/>
  <c r="J50" i="29" s="1"/>
  <c r="K50" i="29" s="1"/>
  <c r="G50" i="29"/>
  <c r="L50" i="29" s="1"/>
  <c r="J49" i="29"/>
  <c r="K49" i="29" s="1"/>
  <c r="L49" i="29" s="1"/>
  <c r="I49" i="29"/>
  <c r="M49" i="29" s="1"/>
  <c r="H49" i="29"/>
  <c r="G49" i="29"/>
  <c r="I48" i="29"/>
  <c r="M48" i="29" s="1"/>
  <c r="H48" i="29"/>
  <c r="J48" i="29" s="1"/>
  <c r="K48" i="29" s="1"/>
  <c r="G48" i="29"/>
  <c r="L48" i="29" s="1"/>
  <c r="I47" i="29"/>
  <c r="M47" i="29" s="1"/>
  <c r="H47" i="29"/>
  <c r="J47" i="29" s="1"/>
  <c r="K47" i="29" s="1"/>
  <c r="G47" i="29"/>
  <c r="L47" i="29" s="1"/>
  <c r="I46" i="29"/>
  <c r="M46" i="29" s="1"/>
  <c r="H46" i="29"/>
  <c r="J46" i="29" s="1"/>
  <c r="K46" i="29" s="1"/>
  <c r="G46" i="29"/>
  <c r="L46" i="29" s="1"/>
  <c r="I45" i="29"/>
  <c r="M45" i="29" s="1"/>
  <c r="H45" i="29"/>
  <c r="J45" i="29" s="1"/>
  <c r="K45" i="29" s="1"/>
  <c r="G45" i="29"/>
  <c r="L45" i="29" s="1"/>
  <c r="I44" i="29"/>
  <c r="M44" i="29" s="1"/>
  <c r="H44" i="29"/>
  <c r="J44" i="29" s="1"/>
  <c r="K44" i="29" s="1"/>
  <c r="G44" i="29"/>
  <c r="L44" i="29" s="1"/>
  <c r="I43" i="29"/>
  <c r="M43" i="29" s="1"/>
  <c r="H43" i="29"/>
  <c r="J43" i="29" s="1"/>
  <c r="K43" i="29" s="1"/>
  <c r="G43" i="29"/>
  <c r="L43" i="29" s="1"/>
  <c r="I42" i="29"/>
  <c r="M42" i="29" s="1"/>
  <c r="H42" i="29"/>
  <c r="J42" i="29" s="1"/>
  <c r="K42" i="29" s="1"/>
  <c r="G42" i="29"/>
  <c r="L42" i="29" s="1"/>
  <c r="I41" i="29"/>
  <c r="M41" i="29" s="1"/>
  <c r="H41" i="29"/>
  <c r="J41" i="29" s="1"/>
  <c r="K41" i="29" s="1"/>
  <c r="G41" i="29"/>
  <c r="L41" i="29" s="1"/>
  <c r="I40" i="29"/>
  <c r="M40" i="29" s="1"/>
  <c r="H40" i="29"/>
  <c r="J40" i="29" s="1"/>
  <c r="K40" i="29" s="1"/>
  <c r="G40" i="29"/>
  <c r="L40" i="29" s="1"/>
  <c r="I39" i="29"/>
  <c r="M39" i="29" s="1"/>
  <c r="H39" i="29"/>
  <c r="J39" i="29" s="1"/>
  <c r="K39" i="29" s="1"/>
  <c r="G39" i="29"/>
  <c r="L39" i="29" s="1"/>
  <c r="I38" i="29"/>
  <c r="M38" i="29" s="1"/>
  <c r="H38" i="29"/>
  <c r="J38" i="29" s="1"/>
  <c r="K38" i="29" s="1"/>
  <c r="G38" i="29"/>
  <c r="L38" i="29" s="1"/>
  <c r="I37" i="29"/>
  <c r="M37" i="29" s="1"/>
  <c r="H37" i="29"/>
  <c r="J37" i="29" s="1"/>
  <c r="K37" i="29" s="1"/>
  <c r="G37" i="29"/>
  <c r="L37" i="29" s="1"/>
  <c r="I36" i="29"/>
  <c r="M36" i="29" s="1"/>
  <c r="H36" i="29"/>
  <c r="J36" i="29" s="1"/>
  <c r="K36" i="29" s="1"/>
  <c r="G36" i="29"/>
  <c r="L36" i="29" s="1"/>
  <c r="I35" i="29"/>
  <c r="M35" i="29" s="1"/>
  <c r="H35" i="29"/>
  <c r="J35" i="29" s="1"/>
  <c r="K35" i="29" s="1"/>
  <c r="G35" i="29"/>
  <c r="L35" i="29" s="1"/>
  <c r="I34" i="29"/>
  <c r="M34" i="29" s="1"/>
  <c r="H34" i="29"/>
  <c r="J34" i="29" s="1"/>
  <c r="K34" i="29" s="1"/>
  <c r="G34" i="29"/>
  <c r="L34" i="29" s="1"/>
  <c r="I33" i="29"/>
  <c r="M33" i="29" s="1"/>
  <c r="H33" i="29"/>
  <c r="J33" i="29" s="1"/>
  <c r="K33" i="29" s="1"/>
  <c r="G33" i="29"/>
  <c r="L33" i="29" s="1"/>
  <c r="I32" i="29"/>
  <c r="M32" i="29" s="1"/>
  <c r="H32" i="29"/>
  <c r="J32" i="29" s="1"/>
  <c r="K32" i="29" s="1"/>
  <c r="G32" i="29"/>
  <c r="L32" i="29" s="1"/>
  <c r="I31" i="29"/>
  <c r="M31" i="29" s="1"/>
  <c r="H31" i="29"/>
  <c r="J31" i="29" s="1"/>
  <c r="K31" i="29" s="1"/>
  <c r="G31" i="29"/>
  <c r="L31" i="29" s="1"/>
  <c r="I30" i="29"/>
  <c r="M30" i="29" s="1"/>
  <c r="H30" i="29"/>
  <c r="J30" i="29" s="1"/>
  <c r="K30" i="29" s="1"/>
  <c r="G30" i="29"/>
  <c r="L30" i="29" s="1"/>
  <c r="I29" i="29"/>
  <c r="M29" i="29" s="1"/>
  <c r="H29" i="29"/>
  <c r="J29" i="29" s="1"/>
  <c r="K29" i="29" s="1"/>
  <c r="G29" i="29"/>
  <c r="L29" i="29" s="1"/>
  <c r="I28" i="29"/>
  <c r="M28" i="29" s="1"/>
  <c r="H28" i="29"/>
  <c r="J28" i="29" s="1"/>
  <c r="K28" i="29" s="1"/>
  <c r="G28" i="29"/>
  <c r="L28" i="29" s="1"/>
  <c r="I27" i="29"/>
  <c r="M27" i="29" s="1"/>
  <c r="H27" i="29"/>
  <c r="J27" i="29" s="1"/>
  <c r="K27" i="29" s="1"/>
  <c r="G27" i="29"/>
  <c r="L27" i="29" s="1"/>
  <c r="I26" i="29"/>
  <c r="M26" i="29" s="1"/>
  <c r="H26" i="29"/>
  <c r="J26" i="29" s="1"/>
  <c r="K26" i="29" s="1"/>
  <c r="G26" i="29"/>
  <c r="L26" i="29" s="1"/>
  <c r="I25" i="29"/>
  <c r="M25" i="29" s="1"/>
  <c r="H25" i="29"/>
  <c r="J25" i="29" s="1"/>
  <c r="K25" i="29" s="1"/>
  <c r="G25" i="29"/>
  <c r="L25" i="29" s="1"/>
  <c r="I24" i="29"/>
  <c r="M24" i="29" s="1"/>
  <c r="H24" i="29"/>
  <c r="J24" i="29" s="1"/>
  <c r="K24" i="29" s="1"/>
  <c r="G24" i="29"/>
  <c r="L24" i="29" s="1"/>
  <c r="I23" i="29"/>
  <c r="M23" i="29" s="1"/>
  <c r="H23" i="29"/>
  <c r="J23" i="29" s="1"/>
  <c r="K23" i="29" s="1"/>
  <c r="G23" i="29"/>
  <c r="L23" i="29" s="1"/>
  <c r="I22" i="29"/>
  <c r="M22" i="29" s="1"/>
  <c r="H22" i="29"/>
  <c r="J22" i="29" s="1"/>
  <c r="K22" i="29" s="1"/>
  <c r="G22" i="29"/>
  <c r="L22" i="29" s="1"/>
  <c r="I21" i="29"/>
  <c r="M21" i="29" s="1"/>
  <c r="H21" i="29"/>
  <c r="J21" i="29" s="1"/>
  <c r="K21" i="29" s="1"/>
  <c r="G21" i="29"/>
  <c r="L21" i="29" s="1"/>
  <c r="I20" i="29"/>
  <c r="M20" i="29" s="1"/>
  <c r="H20" i="29"/>
  <c r="J20" i="29" s="1"/>
  <c r="K20" i="29" s="1"/>
  <c r="G20" i="29"/>
  <c r="L20" i="29" s="1"/>
  <c r="I19" i="29"/>
  <c r="M19" i="29" s="1"/>
  <c r="H19" i="29"/>
  <c r="J19" i="29" s="1"/>
  <c r="K19" i="29" s="1"/>
  <c r="G19" i="29"/>
  <c r="L19" i="29" s="1"/>
  <c r="I18" i="29"/>
  <c r="M18" i="29" s="1"/>
  <c r="H18" i="29"/>
  <c r="J18" i="29" s="1"/>
  <c r="K18" i="29" s="1"/>
  <c r="G18" i="29"/>
  <c r="L18" i="29" s="1"/>
  <c r="I17" i="29"/>
  <c r="M17" i="29" s="1"/>
  <c r="H17" i="29"/>
  <c r="J17" i="29" s="1"/>
  <c r="K17" i="29" s="1"/>
  <c r="G17" i="29"/>
  <c r="L17" i="29" s="1"/>
  <c r="I16" i="29"/>
  <c r="M16" i="29" s="1"/>
  <c r="H16" i="29"/>
  <c r="J16" i="29" s="1"/>
  <c r="K16" i="29" s="1"/>
  <c r="G16" i="29"/>
  <c r="L16" i="29" s="1"/>
  <c r="I15" i="29"/>
  <c r="M15" i="29" s="1"/>
  <c r="H15" i="29"/>
  <c r="J15" i="29" s="1"/>
  <c r="K15" i="29" s="1"/>
  <c r="G15" i="29"/>
  <c r="L15" i="29" s="1"/>
  <c r="I14" i="29"/>
  <c r="M14" i="29" s="1"/>
  <c r="H14" i="29"/>
  <c r="J14" i="29" s="1"/>
  <c r="K14" i="29" s="1"/>
  <c r="G14" i="29"/>
  <c r="L14" i="29" s="1"/>
  <c r="I13" i="29"/>
  <c r="M13" i="29" s="1"/>
  <c r="H13" i="29"/>
  <c r="J13" i="29" s="1"/>
  <c r="K13" i="29" s="1"/>
  <c r="G13" i="29"/>
  <c r="L13" i="29" s="1"/>
  <c r="I12" i="29"/>
  <c r="M12" i="29" s="1"/>
  <c r="H12" i="29"/>
  <c r="J12" i="29" s="1"/>
  <c r="K12" i="29" s="1"/>
  <c r="G12" i="29"/>
  <c r="L12" i="29" s="1"/>
  <c r="I11" i="29"/>
  <c r="M11" i="29" s="1"/>
  <c r="H11" i="29"/>
  <c r="J11" i="29" s="1"/>
  <c r="K11" i="29" s="1"/>
  <c r="G11" i="29"/>
  <c r="L11" i="29" s="1"/>
  <c r="I10" i="29"/>
  <c r="M10" i="29" s="1"/>
  <c r="H10" i="29"/>
  <c r="J10" i="29" s="1"/>
  <c r="K10" i="29" s="1"/>
  <c r="G10" i="29"/>
  <c r="L10" i="29" s="1"/>
  <c r="I9" i="29"/>
  <c r="M9" i="29" s="1"/>
  <c r="H9" i="29"/>
  <c r="J9" i="29" s="1"/>
  <c r="K9" i="29" s="1"/>
  <c r="G9" i="29"/>
  <c r="L9" i="29" s="1"/>
  <c r="I8" i="29"/>
  <c r="M8" i="29" s="1"/>
  <c r="H8" i="29"/>
  <c r="J8" i="29" s="1"/>
  <c r="K8" i="29" s="1"/>
  <c r="G8" i="29"/>
  <c r="L8" i="29" s="1"/>
  <c r="I7" i="29"/>
  <c r="M7" i="29" s="1"/>
  <c r="H7" i="29"/>
  <c r="J7" i="29" s="1"/>
  <c r="K7" i="29" s="1"/>
  <c r="G7" i="29"/>
  <c r="L7" i="29" s="1"/>
  <c r="I83" i="28"/>
  <c r="M83" i="28" s="1"/>
  <c r="H83" i="28"/>
  <c r="J83" i="28" s="1"/>
  <c r="K83" i="28" s="1"/>
  <c r="G83" i="28"/>
  <c r="L83" i="28" s="1"/>
  <c r="I82" i="28"/>
  <c r="M82" i="28" s="1"/>
  <c r="H82" i="28"/>
  <c r="J82" i="28" s="1"/>
  <c r="K82" i="28" s="1"/>
  <c r="G82" i="28"/>
  <c r="L82" i="28" s="1"/>
  <c r="I81" i="28"/>
  <c r="M81" i="28" s="1"/>
  <c r="H81" i="28"/>
  <c r="J81" i="28" s="1"/>
  <c r="K81" i="28" s="1"/>
  <c r="G81" i="28"/>
  <c r="L81" i="28" s="1"/>
  <c r="I80" i="28"/>
  <c r="M80" i="28" s="1"/>
  <c r="H80" i="28"/>
  <c r="J80" i="28" s="1"/>
  <c r="K80" i="28" s="1"/>
  <c r="G80" i="28"/>
  <c r="L80" i="28" s="1"/>
  <c r="I79" i="28"/>
  <c r="M79" i="28" s="1"/>
  <c r="H79" i="28"/>
  <c r="J79" i="28" s="1"/>
  <c r="K79" i="28" s="1"/>
  <c r="G79" i="28"/>
  <c r="L79" i="28" s="1"/>
  <c r="I78" i="28"/>
  <c r="M78" i="28" s="1"/>
  <c r="H78" i="28"/>
  <c r="J78" i="28" s="1"/>
  <c r="K78" i="28" s="1"/>
  <c r="G78" i="28"/>
  <c r="L78" i="28" s="1"/>
  <c r="I77" i="28"/>
  <c r="M77" i="28" s="1"/>
  <c r="H77" i="28"/>
  <c r="J77" i="28" s="1"/>
  <c r="K77" i="28" s="1"/>
  <c r="G77" i="28"/>
  <c r="L77" i="28" s="1"/>
  <c r="I76" i="28"/>
  <c r="M76" i="28" s="1"/>
  <c r="H76" i="28"/>
  <c r="J76" i="28" s="1"/>
  <c r="K76" i="28" s="1"/>
  <c r="G76" i="28"/>
  <c r="L76" i="28" s="1"/>
  <c r="I75" i="28"/>
  <c r="M75" i="28" s="1"/>
  <c r="H75" i="28"/>
  <c r="J75" i="28" s="1"/>
  <c r="K75" i="28" s="1"/>
  <c r="G75" i="28"/>
  <c r="L75" i="28" s="1"/>
  <c r="I74" i="28"/>
  <c r="M74" i="28" s="1"/>
  <c r="H74" i="28"/>
  <c r="J74" i="28" s="1"/>
  <c r="K74" i="28" s="1"/>
  <c r="G74" i="28"/>
  <c r="L74" i="28" s="1"/>
  <c r="I73" i="28"/>
  <c r="M73" i="28" s="1"/>
  <c r="H73" i="28"/>
  <c r="J73" i="28" s="1"/>
  <c r="K73" i="28" s="1"/>
  <c r="G73" i="28"/>
  <c r="L73" i="28" s="1"/>
  <c r="I72" i="28"/>
  <c r="M72" i="28" s="1"/>
  <c r="H72" i="28"/>
  <c r="J72" i="28" s="1"/>
  <c r="K72" i="28" s="1"/>
  <c r="G72" i="28"/>
  <c r="L72" i="28" s="1"/>
  <c r="I71" i="28"/>
  <c r="M71" i="28" s="1"/>
  <c r="H71" i="28"/>
  <c r="J71" i="28" s="1"/>
  <c r="K71" i="28" s="1"/>
  <c r="G71" i="28"/>
  <c r="L71" i="28" s="1"/>
  <c r="I70" i="28"/>
  <c r="M70" i="28" s="1"/>
  <c r="H70" i="28"/>
  <c r="J70" i="28" s="1"/>
  <c r="K70" i="28" s="1"/>
  <c r="G70" i="28"/>
  <c r="L70" i="28" s="1"/>
  <c r="I69" i="28"/>
  <c r="M69" i="28" s="1"/>
  <c r="H69" i="28"/>
  <c r="J69" i="28" s="1"/>
  <c r="K69" i="28" s="1"/>
  <c r="G69" i="28"/>
  <c r="L69" i="28" s="1"/>
  <c r="I68" i="28"/>
  <c r="M68" i="28" s="1"/>
  <c r="H68" i="28"/>
  <c r="J68" i="28" s="1"/>
  <c r="K68" i="28" s="1"/>
  <c r="G68" i="28"/>
  <c r="L68" i="28" s="1"/>
  <c r="I67" i="28"/>
  <c r="M67" i="28" s="1"/>
  <c r="H67" i="28"/>
  <c r="J67" i="28" s="1"/>
  <c r="K67" i="28" s="1"/>
  <c r="G67" i="28"/>
  <c r="L67" i="28" s="1"/>
  <c r="I66" i="28"/>
  <c r="M66" i="28" s="1"/>
  <c r="H66" i="28"/>
  <c r="J66" i="28" s="1"/>
  <c r="K66" i="28" s="1"/>
  <c r="G66" i="28"/>
  <c r="L66" i="28" s="1"/>
  <c r="I65" i="28"/>
  <c r="M65" i="28" s="1"/>
  <c r="H65" i="28"/>
  <c r="J65" i="28" s="1"/>
  <c r="K65" i="28" s="1"/>
  <c r="G65" i="28"/>
  <c r="L65" i="28" s="1"/>
  <c r="I64" i="28"/>
  <c r="M64" i="28" s="1"/>
  <c r="H64" i="28"/>
  <c r="J64" i="28" s="1"/>
  <c r="K64" i="28" s="1"/>
  <c r="G64" i="28"/>
  <c r="L64" i="28" s="1"/>
  <c r="I63" i="28"/>
  <c r="M63" i="28" s="1"/>
  <c r="H63" i="28"/>
  <c r="J63" i="28" s="1"/>
  <c r="K63" i="28" s="1"/>
  <c r="G63" i="28"/>
  <c r="L63" i="28" s="1"/>
  <c r="I62" i="28"/>
  <c r="M62" i="28" s="1"/>
  <c r="H62" i="28"/>
  <c r="J62" i="28" s="1"/>
  <c r="K62" i="28" s="1"/>
  <c r="G62" i="28"/>
  <c r="L62" i="28" s="1"/>
  <c r="I61" i="28"/>
  <c r="M61" i="28" s="1"/>
  <c r="H61" i="28"/>
  <c r="J61" i="28" s="1"/>
  <c r="K61" i="28" s="1"/>
  <c r="G61" i="28"/>
  <c r="L61" i="28" s="1"/>
  <c r="I60" i="28"/>
  <c r="M60" i="28" s="1"/>
  <c r="H60" i="28"/>
  <c r="J60" i="28" s="1"/>
  <c r="K60" i="28" s="1"/>
  <c r="G60" i="28"/>
  <c r="L60" i="28" s="1"/>
  <c r="I59" i="28"/>
  <c r="M59" i="28" s="1"/>
  <c r="H59" i="28"/>
  <c r="J59" i="28" s="1"/>
  <c r="K59" i="28" s="1"/>
  <c r="G59" i="28"/>
  <c r="L59" i="28" s="1"/>
  <c r="I58" i="28"/>
  <c r="M58" i="28" s="1"/>
  <c r="H58" i="28"/>
  <c r="J58" i="28" s="1"/>
  <c r="K58" i="28" s="1"/>
  <c r="G58" i="28"/>
  <c r="L58" i="28" s="1"/>
  <c r="I57" i="28"/>
  <c r="M57" i="28" s="1"/>
  <c r="H57" i="28"/>
  <c r="J57" i="28" s="1"/>
  <c r="K57" i="28" s="1"/>
  <c r="G57" i="28"/>
  <c r="L57" i="28" s="1"/>
  <c r="I56" i="28"/>
  <c r="M56" i="28" s="1"/>
  <c r="H56" i="28"/>
  <c r="J56" i="28" s="1"/>
  <c r="K56" i="28" s="1"/>
  <c r="G56" i="28"/>
  <c r="L56" i="28" s="1"/>
  <c r="I55" i="28"/>
  <c r="M55" i="28" s="1"/>
  <c r="H55" i="28"/>
  <c r="J55" i="28" s="1"/>
  <c r="K55" i="28" s="1"/>
  <c r="G55" i="28"/>
  <c r="L55" i="28" s="1"/>
  <c r="I54" i="28"/>
  <c r="M54" i="28" s="1"/>
  <c r="H54" i="28"/>
  <c r="J54" i="28" s="1"/>
  <c r="K54" i="28" s="1"/>
  <c r="G54" i="28"/>
  <c r="L54" i="28" s="1"/>
  <c r="I53" i="28"/>
  <c r="M53" i="28" s="1"/>
  <c r="H53" i="28"/>
  <c r="J53" i="28" s="1"/>
  <c r="K53" i="28" s="1"/>
  <c r="G53" i="28"/>
  <c r="L53" i="28" s="1"/>
  <c r="I52" i="28"/>
  <c r="M52" i="28" s="1"/>
  <c r="H52" i="28"/>
  <c r="J52" i="28" s="1"/>
  <c r="K52" i="28" s="1"/>
  <c r="G52" i="28"/>
  <c r="L52" i="28" s="1"/>
  <c r="I51" i="28"/>
  <c r="M51" i="28" s="1"/>
  <c r="H51" i="28"/>
  <c r="J51" i="28" s="1"/>
  <c r="K51" i="28" s="1"/>
  <c r="G51" i="28"/>
  <c r="L51" i="28" s="1"/>
  <c r="I50" i="28"/>
  <c r="M50" i="28" s="1"/>
  <c r="H50" i="28"/>
  <c r="J50" i="28" s="1"/>
  <c r="K50" i="28" s="1"/>
  <c r="G50" i="28"/>
  <c r="L50" i="28" s="1"/>
  <c r="I49" i="28"/>
  <c r="M49" i="28" s="1"/>
  <c r="H49" i="28"/>
  <c r="J49" i="28" s="1"/>
  <c r="K49" i="28" s="1"/>
  <c r="G49" i="28"/>
  <c r="L49" i="28" s="1"/>
  <c r="I48" i="28"/>
  <c r="M48" i="28" s="1"/>
  <c r="H48" i="28"/>
  <c r="J48" i="28" s="1"/>
  <c r="K48" i="28" s="1"/>
  <c r="G48" i="28"/>
  <c r="L48" i="28" s="1"/>
  <c r="I47" i="28"/>
  <c r="M47" i="28" s="1"/>
  <c r="H47" i="28"/>
  <c r="J47" i="28" s="1"/>
  <c r="K47" i="28" s="1"/>
  <c r="G47" i="28"/>
  <c r="L47" i="28" s="1"/>
  <c r="I46" i="28"/>
  <c r="M46" i="28" s="1"/>
  <c r="H46" i="28"/>
  <c r="J46" i="28" s="1"/>
  <c r="K46" i="28" s="1"/>
  <c r="G46" i="28"/>
  <c r="L46" i="28" s="1"/>
  <c r="I45" i="28"/>
  <c r="M45" i="28" s="1"/>
  <c r="H45" i="28"/>
  <c r="J45" i="28" s="1"/>
  <c r="K45" i="28" s="1"/>
  <c r="G45" i="28"/>
  <c r="L45" i="28" s="1"/>
  <c r="I44" i="28"/>
  <c r="M44" i="28" s="1"/>
  <c r="H44" i="28"/>
  <c r="J44" i="28" s="1"/>
  <c r="K44" i="28" s="1"/>
  <c r="G44" i="28"/>
  <c r="L44" i="28" s="1"/>
  <c r="I43" i="28"/>
  <c r="M43" i="28" s="1"/>
  <c r="H43" i="28"/>
  <c r="J43" i="28" s="1"/>
  <c r="K43" i="28" s="1"/>
  <c r="G43" i="28"/>
  <c r="L43" i="28" s="1"/>
  <c r="I42" i="28"/>
  <c r="M42" i="28" s="1"/>
  <c r="H42" i="28"/>
  <c r="J42" i="28" s="1"/>
  <c r="K42" i="28" s="1"/>
  <c r="G42" i="28"/>
  <c r="L42" i="28" s="1"/>
  <c r="I41" i="28"/>
  <c r="M41" i="28" s="1"/>
  <c r="H41" i="28"/>
  <c r="J41" i="28" s="1"/>
  <c r="K41" i="28" s="1"/>
  <c r="G41" i="28"/>
  <c r="L41" i="28" s="1"/>
  <c r="I40" i="28"/>
  <c r="M40" i="28" s="1"/>
  <c r="H40" i="28"/>
  <c r="J40" i="28" s="1"/>
  <c r="K40" i="28" s="1"/>
  <c r="G40" i="28"/>
  <c r="L40" i="28" s="1"/>
  <c r="I39" i="28"/>
  <c r="M39" i="28" s="1"/>
  <c r="H39" i="28"/>
  <c r="J39" i="28" s="1"/>
  <c r="K39" i="28" s="1"/>
  <c r="G39" i="28"/>
  <c r="L39" i="28" s="1"/>
  <c r="I38" i="28"/>
  <c r="M38" i="28" s="1"/>
  <c r="H38" i="28"/>
  <c r="J38" i="28" s="1"/>
  <c r="K38" i="28" s="1"/>
  <c r="G38" i="28"/>
  <c r="L38" i="28" s="1"/>
  <c r="I37" i="28"/>
  <c r="M37" i="28" s="1"/>
  <c r="H37" i="28"/>
  <c r="J37" i="28" s="1"/>
  <c r="K37" i="28" s="1"/>
  <c r="G37" i="28"/>
  <c r="L37" i="28" s="1"/>
  <c r="I36" i="28"/>
  <c r="M36" i="28" s="1"/>
  <c r="H36" i="28"/>
  <c r="J36" i="28" s="1"/>
  <c r="K36" i="28" s="1"/>
  <c r="G36" i="28"/>
  <c r="I35" i="28"/>
  <c r="M35" i="28" s="1"/>
  <c r="H35" i="28"/>
  <c r="J35" i="28" s="1"/>
  <c r="K35" i="28" s="1"/>
  <c r="G35" i="28"/>
  <c r="L35" i="28" s="1"/>
  <c r="I34" i="28"/>
  <c r="M34" i="28" s="1"/>
  <c r="H34" i="28"/>
  <c r="J34" i="28" s="1"/>
  <c r="K34" i="28" s="1"/>
  <c r="G34" i="28"/>
  <c r="L34" i="28" s="1"/>
  <c r="I33" i="28"/>
  <c r="M33" i="28" s="1"/>
  <c r="H33" i="28"/>
  <c r="J33" i="28" s="1"/>
  <c r="K33" i="28" s="1"/>
  <c r="G33" i="28"/>
  <c r="I32" i="28"/>
  <c r="M32" i="28" s="1"/>
  <c r="H32" i="28"/>
  <c r="J32" i="28" s="1"/>
  <c r="K32" i="28" s="1"/>
  <c r="G32" i="28"/>
  <c r="I31" i="28"/>
  <c r="M31" i="28" s="1"/>
  <c r="H31" i="28"/>
  <c r="J31" i="28" s="1"/>
  <c r="K31" i="28" s="1"/>
  <c r="G31" i="28"/>
  <c r="L31" i="28" s="1"/>
  <c r="I30" i="28"/>
  <c r="M30" i="28" s="1"/>
  <c r="H30" i="28"/>
  <c r="J30" i="28" s="1"/>
  <c r="K30" i="28" s="1"/>
  <c r="G30" i="28"/>
  <c r="I29" i="28"/>
  <c r="M29" i="28" s="1"/>
  <c r="H29" i="28"/>
  <c r="J29" i="28" s="1"/>
  <c r="K29" i="28" s="1"/>
  <c r="G29" i="28"/>
  <c r="I28" i="28"/>
  <c r="M28" i="28" s="1"/>
  <c r="H28" i="28"/>
  <c r="J28" i="28" s="1"/>
  <c r="K28" i="28" s="1"/>
  <c r="G28" i="28"/>
  <c r="I27" i="28"/>
  <c r="M27" i="28" s="1"/>
  <c r="H27" i="28"/>
  <c r="J27" i="28" s="1"/>
  <c r="K27" i="28" s="1"/>
  <c r="G27" i="28"/>
  <c r="L27" i="28" s="1"/>
  <c r="I26" i="28"/>
  <c r="M26" i="28" s="1"/>
  <c r="H26" i="28"/>
  <c r="J26" i="28" s="1"/>
  <c r="K26" i="28" s="1"/>
  <c r="G26" i="28"/>
  <c r="I25" i="28"/>
  <c r="M25" i="28" s="1"/>
  <c r="H25" i="28"/>
  <c r="J25" i="28" s="1"/>
  <c r="K25" i="28" s="1"/>
  <c r="G25" i="28"/>
  <c r="I24" i="28"/>
  <c r="M24" i="28" s="1"/>
  <c r="H24" i="28"/>
  <c r="J24" i="28" s="1"/>
  <c r="K24" i="28" s="1"/>
  <c r="G24" i="28"/>
  <c r="I23" i="28"/>
  <c r="M23" i="28" s="1"/>
  <c r="H23" i="28"/>
  <c r="J23" i="28" s="1"/>
  <c r="K23" i="28" s="1"/>
  <c r="G23" i="28"/>
  <c r="I22" i="28"/>
  <c r="M22" i="28" s="1"/>
  <c r="H22" i="28"/>
  <c r="J22" i="28" s="1"/>
  <c r="K22" i="28" s="1"/>
  <c r="G22" i="28"/>
  <c r="I21" i="28"/>
  <c r="M21" i="28" s="1"/>
  <c r="H21" i="28"/>
  <c r="J21" i="28" s="1"/>
  <c r="K21" i="28" s="1"/>
  <c r="G21" i="28"/>
  <c r="I20" i="28"/>
  <c r="M20" i="28" s="1"/>
  <c r="H20" i="28"/>
  <c r="J20" i="28" s="1"/>
  <c r="K20" i="28" s="1"/>
  <c r="G20" i="28"/>
  <c r="I19" i="28"/>
  <c r="M19" i="28" s="1"/>
  <c r="H19" i="28"/>
  <c r="J19" i="28" s="1"/>
  <c r="K19" i="28" s="1"/>
  <c r="G19" i="28"/>
  <c r="L19" i="28" s="1"/>
  <c r="I18" i="28"/>
  <c r="M18" i="28" s="1"/>
  <c r="H18" i="28"/>
  <c r="J18" i="28" s="1"/>
  <c r="K18" i="28" s="1"/>
  <c r="G18" i="28"/>
  <c r="I17" i="28"/>
  <c r="M17" i="28" s="1"/>
  <c r="H17" i="28"/>
  <c r="J17" i="28" s="1"/>
  <c r="K17" i="28" s="1"/>
  <c r="G17" i="28"/>
  <c r="L17" i="28" s="1"/>
  <c r="I16" i="28"/>
  <c r="M16" i="28" s="1"/>
  <c r="H16" i="28"/>
  <c r="J16" i="28" s="1"/>
  <c r="K16" i="28" s="1"/>
  <c r="G16" i="28"/>
  <c r="L16" i="28" s="1"/>
  <c r="I15" i="28"/>
  <c r="M15" i="28" s="1"/>
  <c r="H15" i="28"/>
  <c r="J15" i="28" s="1"/>
  <c r="K15" i="28" s="1"/>
  <c r="G15" i="28"/>
  <c r="I14" i="28"/>
  <c r="M14" i="28" s="1"/>
  <c r="H14" i="28"/>
  <c r="J14" i="28" s="1"/>
  <c r="K14" i="28" s="1"/>
  <c r="G14" i="28"/>
  <c r="L14" i="28" s="1"/>
  <c r="I13" i="28"/>
  <c r="M13" i="28" s="1"/>
  <c r="H13" i="28"/>
  <c r="J13" i="28" s="1"/>
  <c r="K13" i="28" s="1"/>
  <c r="G13" i="28"/>
  <c r="I12" i="28"/>
  <c r="M12" i="28" s="1"/>
  <c r="H12" i="28"/>
  <c r="J12" i="28" s="1"/>
  <c r="K12" i="28" s="1"/>
  <c r="G12" i="28"/>
  <c r="L12" i="28" s="1"/>
  <c r="I11" i="28"/>
  <c r="M11" i="28" s="1"/>
  <c r="H11" i="28"/>
  <c r="J11" i="28" s="1"/>
  <c r="K11" i="28" s="1"/>
  <c r="G11" i="28"/>
  <c r="I10" i="28"/>
  <c r="M10" i="28" s="1"/>
  <c r="H10" i="28"/>
  <c r="J10" i="28" s="1"/>
  <c r="K10" i="28" s="1"/>
  <c r="G10" i="28"/>
  <c r="L10" i="28" s="1"/>
  <c r="I9" i="28"/>
  <c r="M9" i="28" s="1"/>
  <c r="H9" i="28"/>
  <c r="J9" i="28" s="1"/>
  <c r="K9" i="28" s="1"/>
  <c r="G9" i="28"/>
  <c r="I8" i="28"/>
  <c r="M8" i="28" s="1"/>
  <c r="H8" i="28"/>
  <c r="J8" i="28" s="1"/>
  <c r="K8" i="28" s="1"/>
  <c r="G8" i="28"/>
  <c r="L8" i="28" s="1"/>
  <c r="I7" i="28"/>
  <c r="M7" i="28" s="1"/>
  <c r="H7" i="28"/>
  <c r="J7" i="28" s="1"/>
  <c r="K7" i="28" s="1"/>
  <c r="G7" i="28"/>
  <c r="I103" i="27"/>
  <c r="M103" i="27" s="1"/>
  <c r="H103" i="27"/>
  <c r="J103" i="27" s="1"/>
  <c r="K103" i="27" s="1"/>
  <c r="G103" i="27"/>
  <c r="L103" i="27" s="1"/>
  <c r="I102" i="27"/>
  <c r="M102" i="27" s="1"/>
  <c r="H102" i="27"/>
  <c r="J102" i="27" s="1"/>
  <c r="K102" i="27" s="1"/>
  <c r="G102" i="27"/>
  <c r="I101" i="27"/>
  <c r="M101" i="27" s="1"/>
  <c r="H101" i="27"/>
  <c r="J101" i="27" s="1"/>
  <c r="K101" i="27" s="1"/>
  <c r="G101" i="27"/>
  <c r="L101" i="27" s="1"/>
  <c r="I100" i="27"/>
  <c r="M100" i="27" s="1"/>
  <c r="H100" i="27"/>
  <c r="J100" i="27" s="1"/>
  <c r="K100" i="27" s="1"/>
  <c r="G100" i="27"/>
  <c r="I99" i="27"/>
  <c r="M99" i="27" s="1"/>
  <c r="H99" i="27"/>
  <c r="J99" i="27" s="1"/>
  <c r="K99" i="27" s="1"/>
  <c r="G99" i="27"/>
  <c r="L99" i="27" s="1"/>
  <c r="I98" i="27"/>
  <c r="M98" i="27" s="1"/>
  <c r="H98" i="27"/>
  <c r="J98" i="27" s="1"/>
  <c r="K98" i="27" s="1"/>
  <c r="G98" i="27"/>
  <c r="I97" i="27"/>
  <c r="M97" i="27" s="1"/>
  <c r="H97" i="27"/>
  <c r="J97" i="27" s="1"/>
  <c r="K97" i="27" s="1"/>
  <c r="G97" i="27"/>
  <c r="L97" i="27" s="1"/>
  <c r="I96" i="27"/>
  <c r="M96" i="27" s="1"/>
  <c r="H96" i="27"/>
  <c r="J96" i="27" s="1"/>
  <c r="K96" i="27" s="1"/>
  <c r="G96" i="27"/>
  <c r="I95" i="27"/>
  <c r="M95" i="27" s="1"/>
  <c r="H95" i="27"/>
  <c r="J95" i="27" s="1"/>
  <c r="K95" i="27" s="1"/>
  <c r="G95" i="27"/>
  <c r="I94" i="27"/>
  <c r="M94" i="27" s="1"/>
  <c r="H94" i="27"/>
  <c r="J94" i="27" s="1"/>
  <c r="K94" i="27" s="1"/>
  <c r="G94" i="27"/>
  <c r="I93" i="27"/>
  <c r="M93" i="27" s="1"/>
  <c r="H93" i="27"/>
  <c r="J93" i="27" s="1"/>
  <c r="K93" i="27" s="1"/>
  <c r="G93" i="27"/>
  <c r="L93" i="27" s="1"/>
  <c r="I92" i="27"/>
  <c r="M92" i="27" s="1"/>
  <c r="H92" i="27"/>
  <c r="J92" i="27" s="1"/>
  <c r="K92" i="27" s="1"/>
  <c r="G92" i="27"/>
  <c r="I91" i="27"/>
  <c r="M91" i="27" s="1"/>
  <c r="H91" i="27"/>
  <c r="J91" i="27" s="1"/>
  <c r="K91" i="27" s="1"/>
  <c r="G91" i="27"/>
  <c r="L91" i="27" s="1"/>
  <c r="I90" i="27"/>
  <c r="M90" i="27" s="1"/>
  <c r="H90" i="27"/>
  <c r="J90" i="27" s="1"/>
  <c r="K90" i="27" s="1"/>
  <c r="G90" i="27"/>
  <c r="I89" i="27"/>
  <c r="M89" i="27" s="1"/>
  <c r="H89" i="27"/>
  <c r="J89" i="27" s="1"/>
  <c r="K89" i="27" s="1"/>
  <c r="G89" i="27"/>
  <c r="I88" i="27"/>
  <c r="M88" i="27" s="1"/>
  <c r="H88" i="27"/>
  <c r="J88" i="27" s="1"/>
  <c r="K88" i="27" s="1"/>
  <c r="G88" i="27"/>
  <c r="I87" i="27"/>
  <c r="M87" i="27" s="1"/>
  <c r="H87" i="27"/>
  <c r="J87" i="27" s="1"/>
  <c r="K87" i="27" s="1"/>
  <c r="G87" i="27"/>
  <c r="I86" i="27"/>
  <c r="M86" i="27" s="1"/>
  <c r="H86" i="27"/>
  <c r="J86" i="27" s="1"/>
  <c r="K86" i="27" s="1"/>
  <c r="G86" i="27"/>
  <c r="I85" i="27"/>
  <c r="M85" i="27" s="1"/>
  <c r="H85" i="27"/>
  <c r="J85" i="27" s="1"/>
  <c r="K85" i="27" s="1"/>
  <c r="G85" i="27"/>
  <c r="I84" i="27"/>
  <c r="M84" i="27" s="1"/>
  <c r="H84" i="27"/>
  <c r="J84" i="27" s="1"/>
  <c r="K84" i="27" s="1"/>
  <c r="G84" i="27"/>
  <c r="I83" i="27"/>
  <c r="M83" i="27" s="1"/>
  <c r="H83" i="27"/>
  <c r="J83" i="27" s="1"/>
  <c r="K83" i="27" s="1"/>
  <c r="G83" i="27"/>
  <c r="I82" i="27"/>
  <c r="M82" i="27" s="1"/>
  <c r="H82" i="27"/>
  <c r="J82" i="27" s="1"/>
  <c r="K82" i="27" s="1"/>
  <c r="G82" i="27"/>
  <c r="I81" i="27"/>
  <c r="M81" i="27" s="1"/>
  <c r="H81" i="27"/>
  <c r="J81" i="27" s="1"/>
  <c r="K81" i="27" s="1"/>
  <c r="G81" i="27"/>
  <c r="I80" i="27"/>
  <c r="M80" i="27" s="1"/>
  <c r="H80" i="27"/>
  <c r="J80" i="27" s="1"/>
  <c r="K80" i="27" s="1"/>
  <c r="G80" i="27"/>
  <c r="I79" i="27"/>
  <c r="M79" i="27" s="1"/>
  <c r="H79" i="27"/>
  <c r="J79" i="27" s="1"/>
  <c r="K79" i="27" s="1"/>
  <c r="G79" i="27"/>
  <c r="I78" i="27"/>
  <c r="M78" i="27" s="1"/>
  <c r="H78" i="27"/>
  <c r="J78" i="27" s="1"/>
  <c r="K78" i="27" s="1"/>
  <c r="G78" i="27"/>
  <c r="I77" i="27"/>
  <c r="M77" i="27" s="1"/>
  <c r="H77" i="27"/>
  <c r="J77" i="27" s="1"/>
  <c r="K77" i="27" s="1"/>
  <c r="G77" i="27"/>
  <c r="I76" i="27"/>
  <c r="M76" i="27" s="1"/>
  <c r="H76" i="27"/>
  <c r="J76" i="27" s="1"/>
  <c r="K76" i="27" s="1"/>
  <c r="G76" i="27"/>
  <c r="I75" i="27"/>
  <c r="M75" i="27" s="1"/>
  <c r="H75" i="27"/>
  <c r="J75" i="27" s="1"/>
  <c r="K75" i="27" s="1"/>
  <c r="G75" i="27"/>
  <c r="I74" i="27"/>
  <c r="M74" i="27" s="1"/>
  <c r="H74" i="27"/>
  <c r="J74" i="27" s="1"/>
  <c r="K74" i="27" s="1"/>
  <c r="G74" i="27"/>
  <c r="I73" i="27"/>
  <c r="M73" i="27" s="1"/>
  <c r="H73" i="27"/>
  <c r="J73" i="27" s="1"/>
  <c r="K73" i="27" s="1"/>
  <c r="G73" i="27"/>
  <c r="I72" i="27"/>
  <c r="M72" i="27" s="1"/>
  <c r="H72" i="27"/>
  <c r="J72" i="27" s="1"/>
  <c r="K72" i="27" s="1"/>
  <c r="G72" i="27"/>
  <c r="I71" i="27"/>
  <c r="M71" i="27" s="1"/>
  <c r="H71" i="27"/>
  <c r="J71" i="27" s="1"/>
  <c r="K71" i="27" s="1"/>
  <c r="G71" i="27"/>
  <c r="I70" i="27"/>
  <c r="M70" i="27" s="1"/>
  <c r="H70" i="27"/>
  <c r="J70" i="27" s="1"/>
  <c r="K70" i="27" s="1"/>
  <c r="G70" i="27"/>
  <c r="I69" i="27"/>
  <c r="M69" i="27" s="1"/>
  <c r="H69" i="27"/>
  <c r="J69" i="27" s="1"/>
  <c r="K69" i="27" s="1"/>
  <c r="G69" i="27"/>
  <c r="I68" i="27"/>
  <c r="M68" i="27" s="1"/>
  <c r="H68" i="27"/>
  <c r="J68" i="27" s="1"/>
  <c r="K68" i="27" s="1"/>
  <c r="G68" i="27"/>
  <c r="I67" i="27"/>
  <c r="M67" i="27" s="1"/>
  <c r="H67" i="27"/>
  <c r="J67" i="27" s="1"/>
  <c r="K67" i="27" s="1"/>
  <c r="G67" i="27"/>
  <c r="I66" i="27"/>
  <c r="M66" i="27" s="1"/>
  <c r="H66" i="27"/>
  <c r="J66" i="27" s="1"/>
  <c r="K66" i="27" s="1"/>
  <c r="G66" i="27"/>
  <c r="I65" i="27"/>
  <c r="M65" i="27" s="1"/>
  <c r="H65" i="27"/>
  <c r="J65" i="27" s="1"/>
  <c r="K65" i="27" s="1"/>
  <c r="G65" i="27"/>
  <c r="I64" i="27"/>
  <c r="M64" i="27" s="1"/>
  <c r="H64" i="27"/>
  <c r="J64" i="27" s="1"/>
  <c r="K64" i="27" s="1"/>
  <c r="G64" i="27"/>
  <c r="I63" i="27"/>
  <c r="M63" i="27" s="1"/>
  <c r="H63" i="27"/>
  <c r="J63" i="27" s="1"/>
  <c r="K63" i="27" s="1"/>
  <c r="G63" i="27"/>
  <c r="L63" i="27" s="1"/>
  <c r="I62" i="27"/>
  <c r="M62" i="27" s="1"/>
  <c r="H62" i="27"/>
  <c r="J62" i="27" s="1"/>
  <c r="K62" i="27" s="1"/>
  <c r="G62" i="27"/>
  <c r="L62" i="27" s="1"/>
  <c r="I61" i="27"/>
  <c r="M61" i="27" s="1"/>
  <c r="H61" i="27"/>
  <c r="J61" i="27" s="1"/>
  <c r="K61" i="27" s="1"/>
  <c r="G61" i="27"/>
  <c r="I60" i="27"/>
  <c r="M60" i="27" s="1"/>
  <c r="H60" i="27"/>
  <c r="J60" i="27" s="1"/>
  <c r="K60" i="27" s="1"/>
  <c r="G60" i="27"/>
  <c r="I59" i="27"/>
  <c r="M59" i="27" s="1"/>
  <c r="H59" i="27"/>
  <c r="J59" i="27" s="1"/>
  <c r="K59" i="27" s="1"/>
  <c r="G59" i="27"/>
  <c r="I58" i="27"/>
  <c r="M58" i="27" s="1"/>
  <c r="H58" i="27"/>
  <c r="J58" i="27" s="1"/>
  <c r="K58" i="27" s="1"/>
  <c r="G58" i="27"/>
  <c r="I57" i="27"/>
  <c r="M57" i="27" s="1"/>
  <c r="H57" i="27"/>
  <c r="J57" i="27" s="1"/>
  <c r="K57" i="27" s="1"/>
  <c r="G57" i="27"/>
  <c r="I56" i="27"/>
  <c r="M56" i="27" s="1"/>
  <c r="H56" i="27"/>
  <c r="J56" i="27" s="1"/>
  <c r="K56" i="27" s="1"/>
  <c r="G56" i="27"/>
  <c r="L56" i="27" s="1"/>
  <c r="I55" i="27"/>
  <c r="M55" i="27" s="1"/>
  <c r="H55" i="27"/>
  <c r="J55" i="27" s="1"/>
  <c r="K55" i="27" s="1"/>
  <c r="G55" i="27"/>
  <c r="L55" i="27" s="1"/>
  <c r="I54" i="27"/>
  <c r="M54" i="27" s="1"/>
  <c r="H54" i="27"/>
  <c r="J54" i="27" s="1"/>
  <c r="K54" i="27" s="1"/>
  <c r="G54" i="27"/>
  <c r="L54" i="27" s="1"/>
  <c r="I53" i="27"/>
  <c r="M53" i="27" s="1"/>
  <c r="H53" i="27"/>
  <c r="J53" i="27" s="1"/>
  <c r="K53" i="27" s="1"/>
  <c r="G53" i="27"/>
  <c r="I52" i="27"/>
  <c r="M52" i="27" s="1"/>
  <c r="H52" i="27"/>
  <c r="J52" i="27" s="1"/>
  <c r="K52" i="27" s="1"/>
  <c r="G52" i="27"/>
  <c r="I51" i="27"/>
  <c r="M51" i="27" s="1"/>
  <c r="H51" i="27"/>
  <c r="J51" i="27" s="1"/>
  <c r="K51" i="27" s="1"/>
  <c r="G51" i="27"/>
  <c r="I50" i="27"/>
  <c r="M50" i="27" s="1"/>
  <c r="H50" i="27"/>
  <c r="J50" i="27" s="1"/>
  <c r="K50" i="27" s="1"/>
  <c r="G50" i="27"/>
  <c r="I49" i="27"/>
  <c r="M49" i="27" s="1"/>
  <c r="H49" i="27"/>
  <c r="J49" i="27" s="1"/>
  <c r="K49" i="27" s="1"/>
  <c r="G49" i="27"/>
  <c r="I48" i="27"/>
  <c r="M48" i="27" s="1"/>
  <c r="H48" i="27"/>
  <c r="J48" i="27" s="1"/>
  <c r="K48" i="27" s="1"/>
  <c r="G48" i="27"/>
  <c r="I47" i="27"/>
  <c r="M47" i="27" s="1"/>
  <c r="H47" i="27"/>
  <c r="J47" i="27" s="1"/>
  <c r="K47" i="27" s="1"/>
  <c r="G47" i="27"/>
  <c r="I46" i="27"/>
  <c r="M46" i="27" s="1"/>
  <c r="H46" i="27"/>
  <c r="J46" i="27" s="1"/>
  <c r="K46" i="27" s="1"/>
  <c r="G46" i="27"/>
  <c r="I45" i="27"/>
  <c r="M45" i="27" s="1"/>
  <c r="H45" i="27"/>
  <c r="J45" i="27" s="1"/>
  <c r="K45" i="27" s="1"/>
  <c r="G45" i="27"/>
  <c r="I44" i="27"/>
  <c r="M44" i="27" s="1"/>
  <c r="H44" i="27"/>
  <c r="J44" i="27" s="1"/>
  <c r="K44" i="27" s="1"/>
  <c r="G44" i="27"/>
  <c r="I43" i="27"/>
  <c r="M43" i="27" s="1"/>
  <c r="H43" i="27"/>
  <c r="J43" i="27" s="1"/>
  <c r="K43" i="27" s="1"/>
  <c r="G43" i="27"/>
  <c r="I42" i="27"/>
  <c r="M42" i="27" s="1"/>
  <c r="H42" i="27"/>
  <c r="J42" i="27" s="1"/>
  <c r="K42" i="27" s="1"/>
  <c r="G42" i="27"/>
  <c r="I41" i="27"/>
  <c r="M41" i="27" s="1"/>
  <c r="H41" i="27"/>
  <c r="J41" i="27" s="1"/>
  <c r="K41" i="27" s="1"/>
  <c r="G41" i="27"/>
  <c r="I40" i="27"/>
  <c r="M40" i="27" s="1"/>
  <c r="H40" i="27"/>
  <c r="J40" i="27" s="1"/>
  <c r="K40" i="27" s="1"/>
  <c r="G40" i="27"/>
  <c r="I39" i="27"/>
  <c r="M39" i="27" s="1"/>
  <c r="H39" i="27"/>
  <c r="J39" i="27" s="1"/>
  <c r="K39" i="27" s="1"/>
  <c r="G39" i="27"/>
  <c r="I38" i="27"/>
  <c r="M38" i="27" s="1"/>
  <c r="H38" i="27"/>
  <c r="J38" i="27" s="1"/>
  <c r="K38" i="27" s="1"/>
  <c r="G38" i="27"/>
  <c r="I37" i="27"/>
  <c r="M37" i="27" s="1"/>
  <c r="H37" i="27"/>
  <c r="J37" i="27" s="1"/>
  <c r="K37" i="27" s="1"/>
  <c r="G37" i="27"/>
  <c r="I36" i="27"/>
  <c r="M36" i="27" s="1"/>
  <c r="H36" i="27"/>
  <c r="J36" i="27" s="1"/>
  <c r="K36" i="27" s="1"/>
  <c r="G36" i="27"/>
  <c r="L36" i="27" s="1"/>
  <c r="I35" i="27"/>
  <c r="M35" i="27" s="1"/>
  <c r="H35" i="27"/>
  <c r="J35" i="27" s="1"/>
  <c r="K35" i="27" s="1"/>
  <c r="G35" i="27"/>
  <c r="I34" i="27"/>
  <c r="M34" i="27" s="1"/>
  <c r="H34" i="27"/>
  <c r="J34" i="27" s="1"/>
  <c r="K34" i="27" s="1"/>
  <c r="G34" i="27"/>
  <c r="I33" i="27"/>
  <c r="M33" i="27" s="1"/>
  <c r="H33" i="27"/>
  <c r="J33" i="27" s="1"/>
  <c r="K33" i="27" s="1"/>
  <c r="G33" i="27"/>
  <c r="I32" i="27"/>
  <c r="M32" i="27" s="1"/>
  <c r="H32" i="27"/>
  <c r="J32" i="27" s="1"/>
  <c r="K32" i="27" s="1"/>
  <c r="G32" i="27"/>
  <c r="I31" i="27"/>
  <c r="M31" i="27" s="1"/>
  <c r="H31" i="27"/>
  <c r="J31" i="27" s="1"/>
  <c r="K31" i="27" s="1"/>
  <c r="G31" i="27"/>
  <c r="I30" i="27"/>
  <c r="M30" i="27" s="1"/>
  <c r="H30" i="27"/>
  <c r="J30" i="27" s="1"/>
  <c r="K30" i="27" s="1"/>
  <c r="G30" i="27"/>
  <c r="I29" i="27"/>
  <c r="M29" i="27" s="1"/>
  <c r="H29" i="27"/>
  <c r="J29" i="27" s="1"/>
  <c r="K29" i="27" s="1"/>
  <c r="G29" i="27"/>
  <c r="I28" i="27"/>
  <c r="M28" i="27" s="1"/>
  <c r="H28" i="27"/>
  <c r="J28" i="27" s="1"/>
  <c r="K28" i="27" s="1"/>
  <c r="G28" i="27"/>
  <c r="I27" i="27"/>
  <c r="M27" i="27" s="1"/>
  <c r="H27" i="27"/>
  <c r="J27" i="27" s="1"/>
  <c r="K27" i="27" s="1"/>
  <c r="G27" i="27"/>
  <c r="I26" i="27"/>
  <c r="M26" i="27" s="1"/>
  <c r="H26" i="27"/>
  <c r="J26" i="27" s="1"/>
  <c r="K26" i="27" s="1"/>
  <c r="G26" i="27"/>
  <c r="L26" i="27" s="1"/>
  <c r="I25" i="27"/>
  <c r="M25" i="27" s="1"/>
  <c r="H25" i="27"/>
  <c r="J25" i="27" s="1"/>
  <c r="K25" i="27" s="1"/>
  <c r="G25" i="27"/>
  <c r="L25" i="27" s="1"/>
  <c r="I24" i="27"/>
  <c r="M24" i="27" s="1"/>
  <c r="H24" i="27"/>
  <c r="J24" i="27" s="1"/>
  <c r="K24" i="27" s="1"/>
  <c r="G24" i="27"/>
  <c r="I23" i="27"/>
  <c r="M23" i="27" s="1"/>
  <c r="H23" i="27"/>
  <c r="J23" i="27" s="1"/>
  <c r="K23" i="27" s="1"/>
  <c r="G23" i="27"/>
  <c r="I22" i="27"/>
  <c r="M22" i="27" s="1"/>
  <c r="H22" i="27"/>
  <c r="J22" i="27" s="1"/>
  <c r="K22" i="27" s="1"/>
  <c r="G22" i="27"/>
  <c r="I21" i="27"/>
  <c r="M21" i="27" s="1"/>
  <c r="H21" i="27"/>
  <c r="J21" i="27" s="1"/>
  <c r="K21" i="27" s="1"/>
  <c r="G21" i="27"/>
  <c r="I20" i="27"/>
  <c r="M20" i="27" s="1"/>
  <c r="H20" i="27"/>
  <c r="J20" i="27" s="1"/>
  <c r="K20" i="27" s="1"/>
  <c r="G20" i="27"/>
  <c r="I19" i="27"/>
  <c r="M19" i="27" s="1"/>
  <c r="H19" i="27"/>
  <c r="J19" i="27" s="1"/>
  <c r="K19" i="27" s="1"/>
  <c r="G19" i="27"/>
  <c r="I18" i="27"/>
  <c r="M18" i="27" s="1"/>
  <c r="H18" i="27"/>
  <c r="J18" i="27" s="1"/>
  <c r="K18" i="27" s="1"/>
  <c r="G18" i="27"/>
  <c r="I17" i="27"/>
  <c r="M17" i="27" s="1"/>
  <c r="H17" i="27"/>
  <c r="J17" i="27" s="1"/>
  <c r="K17" i="27" s="1"/>
  <c r="G17" i="27"/>
  <c r="I16" i="27"/>
  <c r="M16" i="27" s="1"/>
  <c r="H16" i="27"/>
  <c r="J16" i="27" s="1"/>
  <c r="K16" i="27" s="1"/>
  <c r="G16" i="27"/>
  <c r="I15" i="27"/>
  <c r="M15" i="27" s="1"/>
  <c r="H15" i="27"/>
  <c r="J15" i="27" s="1"/>
  <c r="K15" i="27" s="1"/>
  <c r="G15" i="27"/>
  <c r="L15" i="27" s="1"/>
  <c r="I14" i="27"/>
  <c r="M14" i="27" s="1"/>
  <c r="H14" i="27"/>
  <c r="J14" i="27" s="1"/>
  <c r="K14" i="27" s="1"/>
  <c r="G14" i="27"/>
  <c r="I13" i="27"/>
  <c r="M13" i="27" s="1"/>
  <c r="H13" i="27"/>
  <c r="J13" i="27" s="1"/>
  <c r="K13" i="27" s="1"/>
  <c r="G13" i="27"/>
  <c r="I12" i="27"/>
  <c r="M12" i="27" s="1"/>
  <c r="H12" i="27"/>
  <c r="J12" i="27" s="1"/>
  <c r="K12" i="27" s="1"/>
  <c r="G12" i="27"/>
  <c r="I11" i="27"/>
  <c r="M11" i="27" s="1"/>
  <c r="H11" i="27"/>
  <c r="J11" i="27" s="1"/>
  <c r="K11" i="27" s="1"/>
  <c r="G11" i="27"/>
  <c r="I10" i="27"/>
  <c r="M10" i="27" s="1"/>
  <c r="H10" i="27"/>
  <c r="J10" i="27" s="1"/>
  <c r="K10" i="27" s="1"/>
  <c r="G10" i="27"/>
  <c r="I9" i="27"/>
  <c r="M9" i="27" s="1"/>
  <c r="H9" i="27"/>
  <c r="J9" i="27" s="1"/>
  <c r="K9" i="27" s="1"/>
  <c r="G9" i="27"/>
  <c r="I8" i="27"/>
  <c r="M8" i="27" s="1"/>
  <c r="H8" i="27"/>
  <c r="J8" i="27" s="1"/>
  <c r="K8" i="27" s="1"/>
  <c r="G8" i="27"/>
  <c r="L8" i="27" s="1"/>
  <c r="I7" i="27"/>
  <c r="M7" i="27" s="1"/>
  <c r="H7" i="27"/>
  <c r="J7" i="27" s="1"/>
  <c r="K7" i="27" s="1"/>
  <c r="G7" i="27"/>
  <c r="I72" i="26"/>
  <c r="M72" i="26" s="1"/>
  <c r="H72" i="26"/>
  <c r="J72" i="26" s="1"/>
  <c r="K72" i="26" s="1"/>
  <c r="G72" i="26"/>
  <c r="I71" i="26"/>
  <c r="M71" i="26" s="1"/>
  <c r="H71" i="26"/>
  <c r="J71" i="26" s="1"/>
  <c r="K71" i="26" s="1"/>
  <c r="G71" i="26"/>
  <c r="I70" i="26"/>
  <c r="M70" i="26" s="1"/>
  <c r="H70" i="26"/>
  <c r="J70" i="26" s="1"/>
  <c r="K70" i="26" s="1"/>
  <c r="G70" i="26"/>
  <c r="I69" i="26"/>
  <c r="M69" i="26" s="1"/>
  <c r="H69" i="26"/>
  <c r="J69" i="26" s="1"/>
  <c r="K69" i="26" s="1"/>
  <c r="G69" i="26"/>
  <c r="I68" i="26"/>
  <c r="M68" i="26" s="1"/>
  <c r="H68" i="26"/>
  <c r="J68" i="26" s="1"/>
  <c r="K68" i="26" s="1"/>
  <c r="G68" i="26"/>
  <c r="I67" i="26"/>
  <c r="M67" i="26" s="1"/>
  <c r="H67" i="26"/>
  <c r="J67" i="26" s="1"/>
  <c r="K67" i="26" s="1"/>
  <c r="G67" i="26"/>
  <c r="I66" i="26"/>
  <c r="M66" i="26" s="1"/>
  <c r="H66" i="26"/>
  <c r="J66" i="26" s="1"/>
  <c r="K66" i="26" s="1"/>
  <c r="G66" i="26"/>
  <c r="I65" i="26"/>
  <c r="M65" i="26" s="1"/>
  <c r="H65" i="26"/>
  <c r="J65" i="26" s="1"/>
  <c r="K65" i="26" s="1"/>
  <c r="G65" i="26"/>
  <c r="I64" i="26"/>
  <c r="M64" i="26" s="1"/>
  <c r="H64" i="26"/>
  <c r="J64" i="26" s="1"/>
  <c r="K64" i="26" s="1"/>
  <c r="G64" i="26"/>
  <c r="I63" i="26"/>
  <c r="M63" i="26" s="1"/>
  <c r="H63" i="26"/>
  <c r="J63" i="26" s="1"/>
  <c r="K63" i="26" s="1"/>
  <c r="G63" i="26"/>
  <c r="I62" i="26"/>
  <c r="M62" i="26" s="1"/>
  <c r="H62" i="26"/>
  <c r="J62" i="26" s="1"/>
  <c r="K62" i="26" s="1"/>
  <c r="G62" i="26"/>
  <c r="I61" i="26"/>
  <c r="M61" i="26" s="1"/>
  <c r="H61" i="26"/>
  <c r="J61" i="26" s="1"/>
  <c r="K61" i="26" s="1"/>
  <c r="G61" i="26"/>
  <c r="I60" i="26"/>
  <c r="M60" i="26" s="1"/>
  <c r="H60" i="26"/>
  <c r="J60" i="26" s="1"/>
  <c r="K60" i="26" s="1"/>
  <c r="G60" i="26"/>
  <c r="I59" i="26"/>
  <c r="M59" i="26" s="1"/>
  <c r="H59" i="26"/>
  <c r="J59" i="26" s="1"/>
  <c r="K59" i="26" s="1"/>
  <c r="G59" i="26"/>
  <c r="I58" i="26"/>
  <c r="M58" i="26" s="1"/>
  <c r="H58" i="26"/>
  <c r="J58" i="26" s="1"/>
  <c r="K58" i="26" s="1"/>
  <c r="G58" i="26"/>
  <c r="I57" i="26"/>
  <c r="M57" i="26" s="1"/>
  <c r="H57" i="26"/>
  <c r="J57" i="26" s="1"/>
  <c r="K57" i="26" s="1"/>
  <c r="G57" i="26"/>
  <c r="I56" i="26"/>
  <c r="M56" i="26" s="1"/>
  <c r="H56" i="26"/>
  <c r="J56" i="26" s="1"/>
  <c r="K56" i="26" s="1"/>
  <c r="G56" i="26"/>
  <c r="I55" i="26"/>
  <c r="M55" i="26" s="1"/>
  <c r="H55" i="26"/>
  <c r="J55" i="26" s="1"/>
  <c r="K55" i="26" s="1"/>
  <c r="G55" i="26"/>
  <c r="I54" i="26"/>
  <c r="M54" i="26" s="1"/>
  <c r="H54" i="26"/>
  <c r="J54" i="26" s="1"/>
  <c r="K54" i="26" s="1"/>
  <c r="G54" i="26"/>
  <c r="I53" i="26"/>
  <c r="M53" i="26" s="1"/>
  <c r="H53" i="26"/>
  <c r="J53" i="26" s="1"/>
  <c r="K53" i="26" s="1"/>
  <c r="G53" i="26"/>
  <c r="I52" i="26"/>
  <c r="M52" i="26" s="1"/>
  <c r="H52" i="26"/>
  <c r="J52" i="26" s="1"/>
  <c r="K52" i="26" s="1"/>
  <c r="G52" i="26"/>
  <c r="I51" i="26"/>
  <c r="M51" i="26" s="1"/>
  <c r="H51" i="26"/>
  <c r="J51" i="26" s="1"/>
  <c r="K51" i="26" s="1"/>
  <c r="G51" i="26"/>
  <c r="I50" i="26"/>
  <c r="M50" i="26" s="1"/>
  <c r="H50" i="26"/>
  <c r="J50" i="26" s="1"/>
  <c r="K50" i="26" s="1"/>
  <c r="G50" i="26"/>
  <c r="I49" i="26"/>
  <c r="M49" i="26" s="1"/>
  <c r="H49" i="26"/>
  <c r="J49" i="26" s="1"/>
  <c r="K49" i="26" s="1"/>
  <c r="G49" i="26"/>
  <c r="I48" i="26"/>
  <c r="M48" i="26" s="1"/>
  <c r="H48" i="26"/>
  <c r="J48" i="26" s="1"/>
  <c r="K48" i="26" s="1"/>
  <c r="G48" i="26"/>
  <c r="I47" i="26"/>
  <c r="M47" i="26" s="1"/>
  <c r="H47" i="26"/>
  <c r="J47" i="26" s="1"/>
  <c r="K47" i="26" s="1"/>
  <c r="G47" i="26"/>
  <c r="I46" i="26"/>
  <c r="M46" i="26" s="1"/>
  <c r="H46" i="26"/>
  <c r="J46" i="26" s="1"/>
  <c r="K46" i="26" s="1"/>
  <c r="G46" i="26"/>
  <c r="I45" i="26"/>
  <c r="M45" i="26" s="1"/>
  <c r="H45" i="26"/>
  <c r="J45" i="26" s="1"/>
  <c r="K45" i="26" s="1"/>
  <c r="G45" i="26"/>
  <c r="I44" i="26"/>
  <c r="M44" i="26" s="1"/>
  <c r="H44" i="26"/>
  <c r="J44" i="26" s="1"/>
  <c r="K44" i="26" s="1"/>
  <c r="G44" i="26"/>
  <c r="I43" i="26"/>
  <c r="M43" i="26" s="1"/>
  <c r="H43" i="26"/>
  <c r="J43" i="26" s="1"/>
  <c r="K43" i="26" s="1"/>
  <c r="G43" i="26"/>
  <c r="I42" i="26"/>
  <c r="M42" i="26" s="1"/>
  <c r="H42" i="26"/>
  <c r="J42" i="26" s="1"/>
  <c r="K42" i="26" s="1"/>
  <c r="G42" i="26"/>
  <c r="I41" i="26"/>
  <c r="M41" i="26" s="1"/>
  <c r="H41" i="26"/>
  <c r="J41" i="26" s="1"/>
  <c r="K41" i="26" s="1"/>
  <c r="G41" i="26"/>
  <c r="I40" i="26"/>
  <c r="M40" i="26" s="1"/>
  <c r="H40" i="26"/>
  <c r="J40" i="26" s="1"/>
  <c r="K40" i="26" s="1"/>
  <c r="G40" i="26"/>
  <c r="I39" i="26"/>
  <c r="M39" i="26" s="1"/>
  <c r="H39" i="26"/>
  <c r="J39" i="26" s="1"/>
  <c r="K39" i="26" s="1"/>
  <c r="G39" i="26"/>
  <c r="I38" i="26"/>
  <c r="M38" i="26" s="1"/>
  <c r="H38" i="26"/>
  <c r="J38" i="26" s="1"/>
  <c r="K38" i="26" s="1"/>
  <c r="G38" i="26"/>
  <c r="L38" i="26" s="1"/>
  <c r="I37" i="26"/>
  <c r="M37" i="26" s="1"/>
  <c r="H37" i="26"/>
  <c r="J37" i="26" s="1"/>
  <c r="K37" i="26" s="1"/>
  <c r="G37" i="26"/>
  <c r="I36" i="26"/>
  <c r="M36" i="26" s="1"/>
  <c r="H36" i="26"/>
  <c r="J36" i="26" s="1"/>
  <c r="K36" i="26" s="1"/>
  <c r="G36" i="26"/>
  <c r="I35" i="26"/>
  <c r="M35" i="26" s="1"/>
  <c r="H35" i="26"/>
  <c r="J35" i="26" s="1"/>
  <c r="K35" i="26" s="1"/>
  <c r="G35" i="26"/>
  <c r="I34" i="26"/>
  <c r="M34" i="26" s="1"/>
  <c r="H34" i="26"/>
  <c r="J34" i="26" s="1"/>
  <c r="K34" i="26" s="1"/>
  <c r="G34" i="26"/>
  <c r="I33" i="26"/>
  <c r="M33" i="26" s="1"/>
  <c r="H33" i="26"/>
  <c r="J33" i="26" s="1"/>
  <c r="K33" i="26" s="1"/>
  <c r="G33" i="26"/>
  <c r="I32" i="26"/>
  <c r="M32" i="26" s="1"/>
  <c r="H32" i="26"/>
  <c r="J32" i="26" s="1"/>
  <c r="K32" i="26" s="1"/>
  <c r="G32" i="26"/>
  <c r="I31" i="26"/>
  <c r="M31" i="26" s="1"/>
  <c r="H31" i="26"/>
  <c r="J31" i="26" s="1"/>
  <c r="K31" i="26" s="1"/>
  <c r="G31" i="26"/>
  <c r="I30" i="26"/>
  <c r="M30" i="26" s="1"/>
  <c r="H30" i="26"/>
  <c r="J30" i="26" s="1"/>
  <c r="K30" i="26" s="1"/>
  <c r="G30" i="26"/>
  <c r="I29" i="26"/>
  <c r="M29" i="26" s="1"/>
  <c r="H29" i="26"/>
  <c r="J29" i="26" s="1"/>
  <c r="K29" i="26" s="1"/>
  <c r="G29" i="26"/>
  <c r="I28" i="26"/>
  <c r="M28" i="26" s="1"/>
  <c r="H28" i="26"/>
  <c r="J28" i="26" s="1"/>
  <c r="K28" i="26" s="1"/>
  <c r="G28" i="26"/>
  <c r="I27" i="26"/>
  <c r="M27" i="26" s="1"/>
  <c r="H27" i="26"/>
  <c r="J27" i="26" s="1"/>
  <c r="K27" i="26" s="1"/>
  <c r="G27" i="26"/>
  <c r="I26" i="26"/>
  <c r="M26" i="26" s="1"/>
  <c r="H26" i="26"/>
  <c r="J26" i="26" s="1"/>
  <c r="K26" i="26" s="1"/>
  <c r="G26" i="26"/>
  <c r="I25" i="26"/>
  <c r="M25" i="26" s="1"/>
  <c r="H25" i="26"/>
  <c r="J25" i="26" s="1"/>
  <c r="K25" i="26" s="1"/>
  <c r="G25" i="26"/>
  <c r="M24" i="26"/>
  <c r="I24" i="26"/>
  <c r="H24" i="26"/>
  <c r="J24" i="26" s="1"/>
  <c r="K24" i="26" s="1"/>
  <c r="L24" i="26" s="1"/>
  <c r="G24" i="26"/>
  <c r="I23" i="26"/>
  <c r="M23" i="26" s="1"/>
  <c r="H23" i="26"/>
  <c r="J23" i="26" s="1"/>
  <c r="K23" i="26" s="1"/>
  <c r="G23" i="26"/>
  <c r="L23" i="26" s="1"/>
  <c r="I22" i="26"/>
  <c r="M22" i="26" s="1"/>
  <c r="H22" i="26"/>
  <c r="J22" i="26" s="1"/>
  <c r="K22" i="26" s="1"/>
  <c r="G22" i="26"/>
  <c r="L22" i="26" s="1"/>
  <c r="I21" i="26"/>
  <c r="M21" i="26" s="1"/>
  <c r="H21" i="26"/>
  <c r="J21" i="26" s="1"/>
  <c r="K21" i="26" s="1"/>
  <c r="G21" i="26"/>
  <c r="L21" i="26" s="1"/>
  <c r="I20" i="26"/>
  <c r="M20" i="26" s="1"/>
  <c r="H20" i="26"/>
  <c r="J20" i="26" s="1"/>
  <c r="K20" i="26" s="1"/>
  <c r="G20" i="26"/>
  <c r="L20" i="26" s="1"/>
  <c r="I19" i="26"/>
  <c r="M19" i="26" s="1"/>
  <c r="H19" i="26"/>
  <c r="J19" i="26" s="1"/>
  <c r="K19" i="26" s="1"/>
  <c r="G19" i="26"/>
  <c r="L19" i="26" s="1"/>
  <c r="I18" i="26"/>
  <c r="M18" i="26" s="1"/>
  <c r="H18" i="26"/>
  <c r="J18" i="26" s="1"/>
  <c r="K18" i="26" s="1"/>
  <c r="G18" i="26"/>
  <c r="L18" i="26" s="1"/>
  <c r="I17" i="26"/>
  <c r="M17" i="26" s="1"/>
  <c r="H17" i="26"/>
  <c r="J17" i="26" s="1"/>
  <c r="K17" i="26" s="1"/>
  <c r="G17" i="26"/>
  <c r="L17" i="26" s="1"/>
  <c r="I16" i="26"/>
  <c r="M16" i="26" s="1"/>
  <c r="H16" i="26"/>
  <c r="J16" i="26" s="1"/>
  <c r="K16" i="26" s="1"/>
  <c r="G16" i="26"/>
  <c r="L16" i="26" s="1"/>
  <c r="I15" i="26"/>
  <c r="M15" i="26" s="1"/>
  <c r="H15" i="26"/>
  <c r="J15" i="26" s="1"/>
  <c r="K15" i="26" s="1"/>
  <c r="G15" i="26"/>
  <c r="L15" i="26" s="1"/>
  <c r="I14" i="26"/>
  <c r="M14" i="26" s="1"/>
  <c r="H14" i="26"/>
  <c r="J14" i="26" s="1"/>
  <c r="K14" i="26" s="1"/>
  <c r="G14" i="26"/>
  <c r="L14" i="26" s="1"/>
  <c r="I13" i="26"/>
  <c r="M13" i="26" s="1"/>
  <c r="H13" i="26"/>
  <c r="J13" i="26" s="1"/>
  <c r="K13" i="26" s="1"/>
  <c r="G13" i="26"/>
  <c r="L13" i="26" s="1"/>
  <c r="I12" i="26"/>
  <c r="M12" i="26" s="1"/>
  <c r="H12" i="26"/>
  <c r="J12" i="26" s="1"/>
  <c r="K12" i="26" s="1"/>
  <c r="G12" i="26"/>
  <c r="L12" i="26" s="1"/>
  <c r="I11" i="26"/>
  <c r="M11" i="26" s="1"/>
  <c r="H11" i="26"/>
  <c r="J11" i="26" s="1"/>
  <c r="K11" i="26" s="1"/>
  <c r="G11" i="26"/>
  <c r="L11" i="26" s="1"/>
  <c r="I10" i="26"/>
  <c r="M10" i="26" s="1"/>
  <c r="H10" i="26"/>
  <c r="J10" i="26" s="1"/>
  <c r="K10" i="26" s="1"/>
  <c r="G10" i="26"/>
  <c r="L10" i="26" s="1"/>
  <c r="I9" i="26"/>
  <c r="M9" i="26" s="1"/>
  <c r="H9" i="26"/>
  <c r="J9" i="26" s="1"/>
  <c r="K9" i="26" s="1"/>
  <c r="G9" i="26"/>
  <c r="L9" i="26" s="1"/>
  <c r="I8" i="26"/>
  <c r="M8" i="26" s="1"/>
  <c r="H8" i="26"/>
  <c r="J8" i="26" s="1"/>
  <c r="K8" i="26" s="1"/>
  <c r="G8" i="26"/>
  <c r="L8" i="26" s="1"/>
  <c r="I7" i="26"/>
  <c r="M7" i="26" s="1"/>
  <c r="H7" i="26"/>
  <c r="J7" i="26" s="1"/>
  <c r="K7" i="26" s="1"/>
  <c r="G7" i="26"/>
  <c r="L7" i="26" s="1"/>
  <c r="I74" i="25"/>
  <c r="M74" i="25" s="1"/>
  <c r="H74" i="25"/>
  <c r="J74" i="25" s="1"/>
  <c r="K74" i="25" s="1"/>
  <c r="G74" i="25"/>
  <c r="L74" i="25" s="1"/>
  <c r="I73" i="25"/>
  <c r="M73" i="25" s="1"/>
  <c r="H73" i="25"/>
  <c r="J73" i="25" s="1"/>
  <c r="K73" i="25" s="1"/>
  <c r="G73" i="25"/>
  <c r="L73" i="25" s="1"/>
  <c r="I72" i="25"/>
  <c r="M72" i="25" s="1"/>
  <c r="H72" i="25"/>
  <c r="J72" i="25" s="1"/>
  <c r="K72" i="25" s="1"/>
  <c r="G72" i="25"/>
  <c r="L72" i="25" s="1"/>
  <c r="I71" i="25"/>
  <c r="M71" i="25" s="1"/>
  <c r="H71" i="25"/>
  <c r="J71" i="25" s="1"/>
  <c r="K71" i="25" s="1"/>
  <c r="G71" i="25"/>
  <c r="L71" i="25" s="1"/>
  <c r="I70" i="25"/>
  <c r="M70" i="25" s="1"/>
  <c r="H70" i="25"/>
  <c r="J70" i="25" s="1"/>
  <c r="K70" i="25" s="1"/>
  <c r="G70" i="25"/>
  <c r="L70" i="25" s="1"/>
  <c r="I69" i="25"/>
  <c r="M69" i="25" s="1"/>
  <c r="H69" i="25"/>
  <c r="J69" i="25" s="1"/>
  <c r="K69" i="25" s="1"/>
  <c r="G69" i="25"/>
  <c r="L69" i="25" s="1"/>
  <c r="I68" i="25"/>
  <c r="M68" i="25" s="1"/>
  <c r="H68" i="25"/>
  <c r="J68" i="25" s="1"/>
  <c r="K68" i="25" s="1"/>
  <c r="G68" i="25"/>
  <c r="L68" i="25" s="1"/>
  <c r="I67" i="25"/>
  <c r="M67" i="25" s="1"/>
  <c r="H67" i="25"/>
  <c r="J67" i="25" s="1"/>
  <c r="K67" i="25" s="1"/>
  <c r="G67" i="25"/>
  <c r="L67" i="25" s="1"/>
  <c r="I66" i="25"/>
  <c r="M66" i="25" s="1"/>
  <c r="H66" i="25"/>
  <c r="J66" i="25" s="1"/>
  <c r="K66" i="25" s="1"/>
  <c r="G66" i="25"/>
  <c r="L66" i="25" s="1"/>
  <c r="I65" i="25"/>
  <c r="M65" i="25" s="1"/>
  <c r="H65" i="25"/>
  <c r="J65" i="25" s="1"/>
  <c r="K65" i="25" s="1"/>
  <c r="G65" i="25"/>
  <c r="L65" i="25" s="1"/>
  <c r="I64" i="25"/>
  <c r="M64" i="25" s="1"/>
  <c r="H64" i="25"/>
  <c r="J64" i="25" s="1"/>
  <c r="K64" i="25" s="1"/>
  <c r="G64" i="25"/>
  <c r="L64" i="25" s="1"/>
  <c r="I63" i="25"/>
  <c r="M63" i="25" s="1"/>
  <c r="H63" i="25"/>
  <c r="J63" i="25" s="1"/>
  <c r="K63" i="25" s="1"/>
  <c r="G63" i="25"/>
  <c r="L63" i="25" s="1"/>
  <c r="I62" i="25"/>
  <c r="M62" i="25" s="1"/>
  <c r="H62" i="25"/>
  <c r="J62" i="25" s="1"/>
  <c r="K62" i="25" s="1"/>
  <c r="G62" i="25"/>
  <c r="L62" i="25" s="1"/>
  <c r="I61" i="25"/>
  <c r="M61" i="25" s="1"/>
  <c r="H61" i="25"/>
  <c r="J61" i="25" s="1"/>
  <c r="K61" i="25" s="1"/>
  <c r="G61" i="25"/>
  <c r="L61" i="25" s="1"/>
  <c r="I60" i="25"/>
  <c r="M60" i="25" s="1"/>
  <c r="H60" i="25"/>
  <c r="J60" i="25" s="1"/>
  <c r="K60" i="25" s="1"/>
  <c r="G60" i="25"/>
  <c r="L60" i="25" s="1"/>
  <c r="I59" i="25"/>
  <c r="M59" i="25" s="1"/>
  <c r="H59" i="25"/>
  <c r="J59" i="25" s="1"/>
  <c r="K59" i="25" s="1"/>
  <c r="G59" i="25"/>
  <c r="L59" i="25" s="1"/>
  <c r="I58" i="25"/>
  <c r="M58" i="25" s="1"/>
  <c r="H58" i="25"/>
  <c r="J58" i="25" s="1"/>
  <c r="K58" i="25" s="1"/>
  <c r="G58" i="25"/>
  <c r="L58" i="25" s="1"/>
  <c r="I57" i="25"/>
  <c r="M57" i="25" s="1"/>
  <c r="H57" i="25"/>
  <c r="J57" i="25" s="1"/>
  <c r="K57" i="25" s="1"/>
  <c r="G57" i="25"/>
  <c r="L57" i="25" s="1"/>
  <c r="I56" i="25"/>
  <c r="M56" i="25" s="1"/>
  <c r="H56" i="25"/>
  <c r="J56" i="25" s="1"/>
  <c r="K56" i="25" s="1"/>
  <c r="G56" i="25"/>
  <c r="L56" i="25" s="1"/>
  <c r="I55" i="25"/>
  <c r="M55" i="25" s="1"/>
  <c r="H55" i="25"/>
  <c r="J55" i="25" s="1"/>
  <c r="K55" i="25" s="1"/>
  <c r="G55" i="25"/>
  <c r="L55" i="25" s="1"/>
  <c r="I54" i="25"/>
  <c r="M54" i="25" s="1"/>
  <c r="H54" i="25"/>
  <c r="J54" i="25" s="1"/>
  <c r="K54" i="25" s="1"/>
  <c r="G54" i="25"/>
  <c r="L54" i="25" s="1"/>
  <c r="I53" i="25"/>
  <c r="M53" i="25" s="1"/>
  <c r="H53" i="25"/>
  <c r="J53" i="25" s="1"/>
  <c r="K53" i="25" s="1"/>
  <c r="G53" i="25"/>
  <c r="L53" i="25" s="1"/>
  <c r="I52" i="25"/>
  <c r="M52" i="25" s="1"/>
  <c r="H52" i="25"/>
  <c r="J52" i="25" s="1"/>
  <c r="K52" i="25" s="1"/>
  <c r="G52" i="25"/>
  <c r="L52" i="25" s="1"/>
  <c r="I51" i="25"/>
  <c r="M51" i="25" s="1"/>
  <c r="H51" i="25"/>
  <c r="J51" i="25" s="1"/>
  <c r="K51" i="25" s="1"/>
  <c r="G51" i="25"/>
  <c r="L51" i="25" s="1"/>
  <c r="I50" i="25"/>
  <c r="M50" i="25" s="1"/>
  <c r="H50" i="25"/>
  <c r="J50" i="25" s="1"/>
  <c r="K50" i="25" s="1"/>
  <c r="G50" i="25"/>
  <c r="L50" i="25" s="1"/>
  <c r="I49" i="25"/>
  <c r="M49" i="25" s="1"/>
  <c r="H49" i="25"/>
  <c r="J49" i="25" s="1"/>
  <c r="K49" i="25" s="1"/>
  <c r="G49" i="25"/>
  <c r="L49" i="25" s="1"/>
  <c r="I48" i="25"/>
  <c r="M48" i="25" s="1"/>
  <c r="H48" i="25"/>
  <c r="J48" i="25" s="1"/>
  <c r="K48" i="25" s="1"/>
  <c r="G48" i="25"/>
  <c r="L48" i="25" s="1"/>
  <c r="I47" i="25"/>
  <c r="M47" i="25" s="1"/>
  <c r="H47" i="25"/>
  <c r="J47" i="25" s="1"/>
  <c r="K47" i="25" s="1"/>
  <c r="G47" i="25"/>
  <c r="L47" i="25" s="1"/>
  <c r="I46" i="25"/>
  <c r="M46" i="25" s="1"/>
  <c r="H46" i="25"/>
  <c r="J46" i="25" s="1"/>
  <c r="K46" i="25" s="1"/>
  <c r="G46" i="25"/>
  <c r="L46" i="25" s="1"/>
  <c r="I45" i="25"/>
  <c r="M45" i="25" s="1"/>
  <c r="H45" i="25"/>
  <c r="J45" i="25" s="1"/>
  <c r="K45" i="25" s="1"/>
  <c r="G45" i="25"/>
  <c r="L45" i="25" s="1"/>
  <c r="I44" i="25"/>
  <c r="M44" i="25" s="1"/>
  <c r="H44" i="25"/>
  <c r="J44" i="25" s="1"/>
  <c r="K44" i="25" s="1"/>
  <c r="G44" i="25"/>
  <c r="L44" i="25" s="1"/>
  <c r="I43" i="25"/>
  <c r="M43" i="25" s="1"/>
  <c r="H43" i="25"/>
  <c r="J43" i="25" s="1"/>
  <c r="K43" i="25" s="1"/>
  <c r="G43" i="25"/>
  <c r="L43" i="25" s="1"/>
  <c r="I42" i="25"/>
  <c r="M42" i="25" s="1"/>
  <c r="H42" i="25"/>
  <c r="J42" i="25" s="1"/>
  <c r="K42" i="25" s="1"/>
  <c r="G42" i="25"/>
  <c r="L42" i="25" s="1"/>
  <c r="I41" i="25"/>
  <c r="M41" i="25" s="1"/>
  <c r="H41" i="25"/>
  <c r="J41" i="25" s="1"/>
  <c r="K41" i="25" s="1"/>
  <c r="G41" i="25"/>
  <c r="L41" i="25" s="1"/>
  <c r="I40" i="25"/>
  <c r="M40" i="25" s="1"/>
  <c r="H40" i="25"/>
  <c r="J40" i="25" s="1"/>
  <c r="K40" i="25" s="1"/>
  <c r="G40" i="25"/>
  <c r="L40" i="25" s="1"/>
  <c r="I39" i="25"/>
  <c r="M39" i="25" s="1"/>
  <c r="H39" i="25"/>
  <c r="J39" i="25" s="1"/>
  <c r="K39" i="25" s="1"/>
  <c r="G39" i="25"/>
  <c r="L39" i="25" s="1"/>
  <c r="I38" i="25"/>
  <c r="M38" i="25" s="1"/>
  <c r="H38" i="25"/>
  <c r="J38" i="25" s="1"/>
  <c r="K38" i="25" s="1"/>
  <c r="G38" i="25"/>
  <c r="L38" i="25" s="1"/>
  <c r="I37" i="25"/>
  <c r="M37" i="25" s="1"/>
  <c r="H37" i="25"/>
  <c r="J37" i="25" s="1"/>
  <c r="K37" i="25" s="1"/>
  <c r="G37" i="25"/>
  <c r="L37" i="25" s="1"/>
  <c r="I36" i="25"/>
  <c r="M36" i="25" s="1"/>
  <c r="H36" i="25"/>
  <c r="J36" i="25" s="1"/>
  <c r="K36" i="25" s="1"/>
  <c r="G36" i="25"/>
  <c r="L36" i="25" s="1"/>
  <c r="I35" i="25"/>
  <c r="M35" i="25" s="1"/>
  <c r="H35" i="25"/>
  <c r="J35" i="25" s="1"/>
  <c r="K35" i="25" s="1"/>
  <c r="G35" i="25"/>
  <c r="L35" i="25" s="1"/>
  <c r="I34" i="25"/>
  <c r="M34" i="25" s="1"/>
  <c r="H34" i="25"/>
  <c r="J34" i="25" s="1"/>
  <c r="K34" i="25" s="1"/>
  <c r="G34" i="25"/>
  <c r="L34" i="25" s="1"/>
  <c r="I33" i="25"/>
  <c r="M33" i="25" s="1"/>
  <c r="H33" i="25"/>
  <c r="J33" i="25" s="1"/>
  <c r="K33" i="25" s="1"/>
  <c r="G33" i="25"/>
  <c r="L33" i="25" s="1"/>
  <c r="I32" i="25"/>
  <c r="M32" i="25" s="1"/>
  <c r="H32" i="25"/>
  <c r="J32" i="25" s="1"/>
  <c r="K32" i="25" s="1"/>
  <c r="G32" i="25"/>
  <c r="L32" i="25" s="1"/>
  <c r="I31" i="25"/>
  <c r="M31" i="25" s="1"/>
  <c r="H31" i="25"/>
  <c r="J31" i="25" s="1"/>
  <c r="K31" i="25" s="1"/>
  <c r="G31" i="25"/>
  <c r="L31" i="25" s="1"/>
  <c r="I30" i="25"/>
  <c r="M30" i="25" s="1"/>
  <c r="H30" i="25"/>
  <c r="J30" i="25" s="1"/>
  <c r="K30" i="25" s="1"/>
  <c r="G30" i="25"/>
  <c r="L30" i="25" s="1"/>
  <c r="I29" i="25"/>
  <c r="M29" i="25" s="1"/>
  <c r="H29" i="25"/>
  <c r="J29" i="25" s="1"/>
  <c r="K29" i="25" s="1"/>
  <c r="G29" i="25"/>
  <c r="L29" i="25" s="1"/>
  <c r="I28" i="25"/>
  <c r="M28" i="25" s="1"/>
  <c r="H28" i="25"/>
  <c r="J28" i="25" s="1"/>
  <c r="K28" i="25" s="1"/>
  <c r="G28" i="25"/>
  <c r="L28" i="25" s="1"/>
  <c r="I27" i="25"/>
  <c r="M27" i="25" s="1"/>
  <c r="H27" i="25"/>
  <c r="J27" i="25" s="1"/>
  <c r="K27" i="25" s="1"/>
  <c r="G27" i="25"/>
  <c r="L27" i="25" s="1"/>
  <c r="I26" i="25"/>
  <c r="M26" i="25" s="1"/>
  <c r="H26" i="25"/>
  <c r="J26" i="25" s="1"/>
  <c r="K26" i="25" s="1"/>
  <c r="G26" i="25"/>
  <c r="L26" i="25" s="1"/>
  <c r="I25" i="25"/>
  <c r="M25" i="25" s="1"/>
  <c r="H25" i="25"/>
  <c r="J25" i="25" s="1"/>
  <c r="K25" i="25" s="1"/>
  <c r="G25" i="25"/>
  <c r="L25" i="25" s="1"/>
  <c r="I24" i="25"/>
  <c r="M24" i="25" s="1"/>
  <c r="H24" i="25"/>
  <c r="J24" i="25" s="1"/>
  <c r="K24" i="25" s="1"/>
  <c r="G24" i="25"/>
  <c r="L24" i="25" s="1"/>
  <c r="I23" i="25"/>
  <c r="M23" i="25" s="1"/>
  <c r="H23" i="25"/>
  <c r="J23" i="25" s="1"/>
  <c r="K23" i="25" s="1"/>
  <c r="G23" i="25"/>
  <c r="L23" i="25" s="1"/>
  <c r="I22" i="25"/>
  <c r="M22" i="25" s="1"/>
  <c r="H22" i="25"/>
  <c r="J22" i="25" s="1"/>
  <c r="K22" i="25" s="1"/>
  <c r="G22" i="25"/>
  <c r="L22" i="25" s="1"/>
  <c r="I21" i="25"/>
  <c r="M21" i="25" s="1"/>
  <c r="H21" i="25"/>
  <c r="J21" i="25" s="1"/>
  <c r="K21" i="25" s="1"/>
  <c r="G21" i="25"/>
  <c r="L21" i="25" s="1"/>
  <c r="I20" i="25"/>
  <c r="M20" i="25" s="1"/>
  <c r="H20" i="25"/>
  <c r="J20" i="25" s="1"/>
  <c r="K20" i="25" s="1"/>
  <c r="G20" i="25"/>
  <c r="L20" i="25" s="1"/>
  <c r="I19" i="25"/>
  <c r="M19" i="25" s="1"/>
  <c r="H19" i="25"/>
  <c r="J19" i="25" s="1"/>
  <c r="K19" i="25" s="1"/>
  <c r="G19" i="25"/>
  <c r="L19" i="25" s="1"/>
  <c r="I18" i="25"/>
  <c r="M18" i="25" s="1"/>
  <c r="H18" i="25"/>
  <c r="J18" i="25" s="1"/>
  <c r="K18" i="25" s="1"/>
  <c r="G18" i="25"/>
  <c r="L18" i="25" s="1"/>
  <c r="I17" i="25"/>
  <c r="M17" i="25" s="1"/>
  <c r="H17" i="25"/>
  <c r="J17" i="25" s="1"/>
  <c r="K17" i="25" s="1"/>
  <c r="G17" i="25"/>
  <c r="L17" i="25" s="1"/>
  <c r="I16" i="25"/>
  <c r="M16" i="25" s="1"/>
  <c r="H16" i="25"/>
  <c r="J16" i="25" s="1"/>
  <c r="K16" i="25" s="1"/>
  <c r="G16" i="25"/>
  <c r="L16" i="25" s="1"/>
  <c r="I15" i="25"/>
  <c r="M15" i="25" s="1"/>
  <c r="H15" i="25"/>
  <c r="J15" i="25" s="1"/>
  <c r="K15" i="25" s="1"/>
  <c r="G15" i="25"/>
  <c r="L15" i="25" s="1"/>
  <c r="I14" i="25"/>
  <c r="M14" i="25" s="1"/>
  <c r="H14" i="25"/>
  <c r="J14" i="25" s="1"/>
  <c r="K14" i="25" s="1"/>
  <c r="G14" i="25"/>
  <c r="L14" i="25" s="1"/>
  <c r="I13" i="25"/>
  <c r="M13" i="25" s="1"/>
  <c r="H13" i="25"/>
  <c r="J13" i="25" s="1"/>
  <c r="K13" i="25" s="1"/>
  <c r="G13" i="25"/>
  <c r="L13" i="25" s="1"/>
  <c r="I12" i="25"/>
  <c r="M12" i="25" s="1"/>
  <c r="H12" i="25"/>
  <c r="J12" i="25" s="1"/>
  <c r="K12" i="25" s="1"/>
  <c r="G12" i="25"/>
  <c r="L12" i="25" s="1"/>
  <c r="I11" i="25"/>
  <c r="M11" i="25" s="1"/>
  <c r="H11" i="25"/>
  <c r="J11" i="25" s="1"/>
  <c r="K11" i="25" s="1"/>
  <c r="G11" i="25"/>
  <c r="L11" i="25" s="1"/>
  <c r="I10" i="25"/>
  <c r="M10" i="25" s="1"/>
  <c r="H10" i="25"/>
  <c r="J10" i="25" s="1"/>
  <c r="K10" i="25" s="1"/>
  <c r="G10" i="25"/>
  <c r="L10" i="25" s="1"/>
  <c r="I9" i="25"/>
  <c r="M9" i="25" s="1"/>
  <c r="H9" i="25"/>
  <c r="J9" i="25" s="1"/>
  <c r="K9" i="25" s="1"/>
  <c r="G9" i="25"/>
  <c r="L9" i="25" s="1"/>
  <c r="I8" i="25"/>
  <c r="M8" i="25" s="1"/>
  <c r="H8" i="25"/>
  <c r="J8" i="25" s="1"/>
  <c r="K8" i="25" s="1"/>
  <c r="G8" i="25"/>
  <c r="L8" i="25" s="1"/>
  <c r="I7" i="25"/>
  <c r="M7" i="25" s="1"/>
  <c r="H7" i="25"/>
  <c r="J7" i="25" s="1"/>
  <c r="K7" i="25" s="1"/>
  <c r="G7" i="25"/>
  <c r="L7" i="25" s="1"/>
  <c r="I63" i="24"/>
  <c r="M63" i="24" s="1"/>
  <c r="H63" i="24"/>
  <c r="J63" i="24" s="1"/>
  <c r="K63" i="24" s="1"/>
  <c r="G63" i="24"/>
  <c r="L63" i="24" s="1"/>
  <c r="I62" i="24"/>
  <c r="M62" i="24" s="1"/>
  <c r="H62" i="24"/>
  <c r="J62" i="24" s="1"/>
  <c r="K62" i="24" s="1"/>
  <c r="G62" i="24"/>
  <c r="L62" i="24" s="1"/>
  <c r="I61" i="24"/>
  <c r="M61" i="24" s="1"/>
  <c r="H61" i="24"/>
  <c r="J61" i="24" s="1"/>
  <c r="K61" i="24" s="1"/>
  <c r="G61" i="24"/>
  <c r="L61" i="24" s="1"/>
  <c r="I60" i="24"/>
  <c r="M60" i="24" s="1"/>
  <c r="H60" i="24"/>
  <c r="J60" i="24" s="1"/>
  <c r="K60" i="24" s="1"/>
  <c r="G60" i="24"/>
  <c r="L60" i="24" s="1"/>
  <c r="I59" i="24"/>
  <c r="M59" i="24" s="1"/>
  <c r="H59" i="24"/>
  <c r="J59" i="24" s="1"/>
  <c r="K59" i="24" s="1"/>
  <c r="G59" i="24"/>
  <c r="L59" i="24" s="1"/>
  <c r="I58" i="24"/>
  <c r="M58" i="24" s="1"/>
  <c r="H58" i="24"/>
  <c r="J58" i="24" s="1"/>
  <c r="K58" i="24" s="1"/>
  <c r="G58" i="24"/>
  <c r="L58" i="24" s="1"/>
  <c r="I57" i="24"/>
  <c r="M57" i="24" s="1"/>
  <c r="H57" i="24"/>
  <c r="J57" i="24" s="1"/>
  <c r="K57" i="24" s="1"/>
  <c r="G57" i="24"/>
  <c r="L57" i="24" s="1"/>
  <c r="I56" i="24"/>
  <c r="M56" i="24" s="1"/>
  <c r="H56" i="24"/>
  <c r="J56" i="24" s="1"/>
  <c r="K56" i="24" s="1"/>
  <c r="G56" i="24"/>
  <c r="L56" i="24" s="1"/>
  <c r="I55" i="24"/>
  <c r="M55" i="24" s="1"/>
  <c r="H55" i="24"/>
  <c r="J55" i="24" s="1"/>
  <c r="K55" i="24" s="1"/>
  <c r="G55" i="24"/>
  <c r="L55" i="24" s="1"/>
  <c r="I54" i="24"/>
  <c r="M54" i="24" s="1"/>
  <c r="H54" i="24"/>
  <c r="J54" i="24" s="1"/>
  <c r="K54" i="24" s="1"/>
  <c r="G54" i="24"/>
  <c r="L54" i="24" s="1"/>
  <c r="I53" i="24"/>
  <c r="M53" i="24" s="1"/>
  <c r="H53" i="24"/>
  <c r="J53" i="24" s="1"/>
  <c r="K53" i="24" s="1"/>
  <c r="G53" i="24"/>
  <c r="L53" i="24" s="1"/>
  <c r="I52" i="24"/>
  <c r="M52" i="24" s="1"/>
  <c r="H52" i="24"/>
  <c r="J52" i="24" s="1"/>
  <c r="K52" i="24" s="1"/>
  <c r="G52" i="24"/>
  <c r="L52" i="24" s="1"/>
  <c r="I51" i="24"/>
  <c r="M51" i="24" s="1"/>
  <c r="H51" i="24"/>
  <c r="J51" i="24" s="1"/>
  <c r="K51" i="24" s="1"/>
  <c r="G51" i="24"/>
  <c r="L51" i="24" s="1"/>
  <c r="I50" i="24"/>
  <c r="M50" i="24" s="1"/>
  <c r="H50" i="24"/>
  <c r="J50" i="24" s="1"/>
  <c r="K50" i="24" s="1"/>
  <c r="G50" i="24"/>
  <c r="L50" i="24" s="1"/>
  <c r="I49" i="24"/>
  <c r="M49" i="24" s="1"/>
  <c r="H49" i="24"/>
  <c r="J49" i="24" s="1"/>
  <c r="K49" i="24" s="1"/>
  <c r="G49" i="24"/>
  <c r="L49" i="24" s="1"/>
  <c r="I48" i="24"/>
  <c r="M48" i="24" s="1"/>
  <c r="H48" i="24"/>
  <c r="J48" i="24" s="1"/>
  <c r="K48" i="24" s="1"/>
  <c r="G48" i="24"/>
  <c r="L48" i="24" s="1"/>
  <c r="I47" i="24"/>
  <c r="M47" i="24" s="1"/>
  <c r="H47" i="24"/>
  <c r="J47" i="24" s="1"/>
  <c r="K47" i="24" s="1"/>
  <c r="G47" i="24"/>
  <c r="L47" i="24" s="1"/>
  <c r="I46" i="24"/>
  <c r="M46" i="24" s="1"/>
  <c r="H46" i="24"/>
  <c r="J46" i="24" s="1"/>
  <c r="K46" i="24" s="1"/>
  <c r="G46" i="24"/>
  <c r="L46" i="24" s="1"/>
  <c r="I45" i="24"/>
  <c r="M45" i="24" s="1"/>
  <c r="H45" i="24"/>
  <c r="J45" i="24" s="1"/>
  <c r="K45" i="24" s="1"/>
  <c r="G45" i="24"/>
  <c r="L45" i="24" s="1"/>
  <c r="I44" i="24"/>
  <c r="M44" i="24" s="1"/>
  <c r="H44" i="24"/>
  <c r="J44" i="24" s="1"/>
  <c r="K44" i="24" s="1"/>
  <c r="G44" i="24"/>
  <c r="L44" i="24" s="1"/>
  <c r="I43" i="24"/>
  <c r="M43" i="24" s="1"/>
  <c r="H43" i="24"/>
  <c r="J43" i="24" s="1"/>
  <c r="K43" i="24" s="1"/>
  <c r="G43" i="24"/>
  <c r="L43" i="24" s="1"/>
  <c r="I42" i="24"/>
  <c r="M42" i="24" s="1"/>
  <c r="H42" i="24"/>
  <c r="J42" i="24" s="1"/>
  <c r="K42" i="24" s="1"/>
  <c r="G42" i="24"/>
  <c r="L42" i="24" s="1"/>
  <c r="I41" i="24"/>
  <c r="M41" i="24" s="1"/>
  <c r="H41" i="24"/>
  <c r="J41" i="24" s="1"/>
  <c r="K41" i="24" s="1"/>
  <c r="G41" i="24"/>
  <c r="L41" i="24" s="1"/>
  <c r="I40" i="24"/>
  <c r="M40" i="24" s="1"/>
  <c r="H40" i="24"/>
  <c r="J40" i="24" s="1"/>
  <c r="K40" i="24" s="1"/>
  <c r="G40" i="24"/>
  <c r="L40" i="24" s="1"/>
  <c r="I39" i="24"/>
  <c r="M39" i="24" s="1"/>
  <c r="H39" i="24"/>
  <c r="J39" i="24" s="1"/>
  <c r="K39" i="24" s="1"/>
  <c r="G39" i="24"/>
  <c r="L39" i="24" s="1"/>
  <c r="I38" i="24"/>
  <c r="M38" i="24" s="1"/>
  <c r="H38" i="24"/>
  <c r="J38" i="24" s="1"/>
  <c r="K38" i="24" s="1"/>
  <c r="G38" i="24"/>
  <c r="L38" i="24" s="1"/>
  <c r="I37" i="24"/>
  <c r="M37" i="24" s="1"/>
  <c r="H37" i="24"/>
  <c r="J37" i="24" s="1"/>
  <c r="K37" i="24" s="1"/>
  <c r="G37" i="24"/>
  <c r="L37" i="24" s="1"/>
  <c r="I36" i="24"/>
  <c r="M36" i="24" s="1"/>
  <c r="H36" i="24"/>
  <c r="J36" i="24" s="1"/>
  <c r="K36" i="24" s="1"/>
  <c r="G36" i="24"/>
  <c r="L36" i="24" s="1"/>
  <c r="I35" i="24"/>
  <c r="M35" i="24" s="1"/>
  <c r="H35" i="24"/>
  <c r="J35" i="24" s="1"/>
  <c r="K35" i="24" s="1"/>
  <c r="G35" i="24"/>
  <c r="L35" i="24" s="1"/>
  <c r="I34" i="24"/>
  <c r="M34" i="24" s="1"/>
  <c r="H34" i="24"/>
  <c r="J34" i="24" s="1"/>
  <c r="K34" i="24" s="1"/>
  <c r="G34" i="24"/>
  <c r="L34" i="24" s="1"/>
  <c r="I33" i="24"/>
  <c r="M33" i="24" s="1"/>
  <c r="H33" i="24"/>
  <c r="J33" i="24" s="1"/>
  <c r="K33" i="24" s="1"/>
  <c r="G33" i="24"/>
  <c r="L33" i="24" s="1"/>
  <c r="I32" i="24"/>
  <c r="M32" i="24" s="1"/>
  <c r="H32" i="24"/>
  <c r="J32" i="24" s="1"/>
  <c r="K32" i="24" s="1"/>
  <c r="G32" i="24"/>
  <c r="L32" i="24" s="1"/>
  <c r="I31" i="24"/>
  <c r="M31" i="24" s="1"/>
  <c r="H31" i="24"/>
  <c r="J31" i="24" s="1"/>
  <c r="K31" i="24" s="1"/>
  <c r="G31" i="24"/>
  <c r="L31" i="24" s="1"/>
  <c r="I30" i="24"/>
  <c r="M30" i="24" s="1"/>
  <c r="H30" i="24"/>
  <c r="J30" i="24" s="1"/>
  <c r="K30" i="24" s="1"/>
  <c r="G30" i="24"/>
  <c r="L30" i="24" s="1"/>
  <c r="I29" i="24"/>
  <c r="M29" i="24" s="1"/>
  <c r="H29" i="24"/>
  <c r="J29" i="24" s="1"/>
  <c r="K29" i="24" s="1"/>
  <c r="G29" i="24"/>
  <c r="L29" i="24" s="1"/>
  <c r="I28" i="24"/>
  <c r="M28" i="24" s="1"/>
  <c r="H28" i="24"/>
  <c r="J28" i="24" s="1"/>
  <c r="K28" i="24" s="1"/>
  <c r="G28" i="24"/>
  <c r="L28" i="24" s="1"/>
  <c r="I27" i="24"/>
  <c r="M27" i="24" s="1"/>
  <c r="H27" i="24"/>
  <c r="J27" i="24" s="1"/>
  <c r="K27" i="24" s="1"/>
  <c r="G27" i="24"/>
  <c r="L27" i="24" s="1"/>
  <c r="I26" i="24"/>
  <c r="M26" i="24" s="1"/>
  <c r="H26" i="24"/>
  <c r="J26" i="24" s="1"/>
  <c r="K26" i="24" s="1"/>
  <c r="G26" i="24"/>
  <c r="L26" i="24" s="1"/>
  <c r="I25" i="24"/>
  <c r="M25" i="24" s="1"/>
  <c r="H25" i="24"/>
  <c r="J25" i="24" s="1"/>
  <c r="K25" i="24" s="1"/>
  <c r="G25" i="24"/>
  <c r="L25" i="24" s="1"/>
  <c r="I24" i="24"/>
  <c r="M24" i="24" s="1"/>
  <c r="H24" i="24"/>
  <c r="J24" i="24" s="1"/>
  <c r="K24" i="24" s="1"/>
  <c r="G24" i="24"/>
  <c r="L24" i="24" s="1"/>
  <c r="I23" i="24"/>
  <c r="M23" i="24" s="1"/>
  <c r="H23" i="24"/>
  <c r="J23" i="24" s="1"/>
  <c r="K23" i="24" s="1"/>
  <c r="G23" i="24"/>
  <c r="L23" i="24" s="1"/>
  <c r="I22" i="24"/>
  <c r="M22" i="24" s="1"/>
  <c r="H22" i="24"/>
  <c r="J22" i="24" s="1"/>
  <c r="K22" i="24" s="1"/>
  <c r="G22" i="24"/>
  <c r="L22" i="24" s="1"/>
  <c r="I21" i="24"/>
  <c r="M21" i="24" s="1"/>
  <c r="H21" i="24"/>
  <c r="J21" i="24" s="1"/>
  <c r="K21" i="24" s="1"/>
  <c r="G21" i="24"/>
  <c r="L21" i="24" s="1"/>
  <c r="I20" i="24"/>
  <c r="M20" i="24" s="1"/>
  <c r="H20" i="24"/>
  <c r="J20" i="24" s="1"/>
  <c r="K20" i="24" s="1"/>
  <c r="G20" i="24"/>
  <c r="L20" i="24" s="1"/>
  <c r="I19" i="24"/>
  <c r="M19" i="24" s="1"/>
  <c r="H19" i="24"/>
  <c r="J19" i="24" s="1"/>
  <c r="K19" i="24" s="1"/>
  <c r="G19" i="24"/>
  <c r="L19" i="24" s="1"/>
  <c r="I18" i="24"/>
  <c r="M18" i="24" s="1"/>
  <c r="H18" i="24"/>
  <c r="J18" i="24" s="1"/>
  <c r="K18" i="24" s="1"/>
  <c r="G18" i="24"/>
  <c r="L18" i="24" s="1"/>
  <c r="I17" i="24"/>
  <c r="M17" i="24" s="1"/>
  <c r="H17" i="24"/>
  <c r="J17" i="24" s="1"/>
  <c r="K17" i="24" s="1"/>
  <c r="L17" i="24" s="1"/>
  <c r="G17" i="24"/>
  <c r="I16" i="24"/>
  <c r="M16" i="24" s="1"/>
  <c r="H16" i="24"/>
  <c r="J16" i="24" s="1"/>
  <c r="K16" i="24" s="1"/>
  <c r="G16" i="24"/>
  <c r="L16" i="24" s="1"/>
  <c r="I15" i="24"/>
  <c r="M15" i="24" s="1"/>
  <c r="H15" i="24"/>
  <c r="J15" i="24" s="1"/>
  <c r="K15" i="24" s="1"/>
  <c r="G15" i="24"/>
  <c r="L15" i="24" s="1"/>
  <c r="I14" i="24"/>
  <c r="M14" i="24" s="1"/>
  <c r="H14" i="24"/>
  <c r="J14" i="24" s="1"/>
  <c r="K14" i="24" s="1"/>
  <c r="G14" i="24"/>
  <c r="L14" i="24" s="1"/>
  <c r="I13" i="24"/>
  <c r="M13" i="24" s="1"/>
  <c r="H13" i="24"/>
  <c r="J13" i="24" s="1"/>
  <c r="K13" i="24" s="1"/>
  <c r="G13" i="24"/>
  <c r="L13" i="24" s="1"/>
  <c r="I12" i="24"/>
  <c r="M12" i="24" s="1"/>
  <c r="H12" i="24"/>
  <c r="J12" i="24" s="1"/>
  <c r="K12" i="24" s="1"/>
  <c r="G12" i="24"/>
  <c r="L12" i="24" s="1"/>
  <c r="I11" i="24"/>
  <c r="M11" i="24" s="1"/>
  <c r="H11" i="24"/>
  <c r="J11" i="24" s="1"/>
  <c r="K11" i="24" s="1"/>
  <c r="G11" i="24"/>
  <c r="L11" i="24" s="1"/>
  <c r="I10" i="24"/>
  <c r="M10" i="24" s="1"/>
  <c r="H10" i="24"/>
  <c r="J10" i="24" s="1"/>
  <c r="K10" i="24" s="1"/>
  <c r="G10" i="24"/>
  <c r="L10" i="24" s="1"/>
  <c r="I9" i="24"/>
  <c r="M9" i="24" s="1"/>
  <c r="H9" i="24"/>
  <c r="J9" i="24" s="1"/>
  <c r="K9" i="24" s="1"/>
  <c r="G9" i="24"/>
  <c r="L9" i="24" s="1"/>
  <c r="I8" i="24"/>
  <c r="M8" i="24" s="1"/>
  <c r="H8" i="24"/>
  <c r="J8" i="24" s="1"/>
  <c r="K8" i="24" s="1"/>
  <c r="G8" i="24"/>
  <c r="L8" i="24" s="1"/>
  <c r="I7" i="24"/>
  <c r="M7" i="24" s="1"/>
  <c r="H7" i="24"/>
  <c r="J7" i="24" s="1"/>
  <c r="K7" i="24" s="1"/>
  <c r="G7" i="24"/>
  <c r="L7" i="24" s="1"/>
  <c r="I103" i="23"/>
  <c r="M103" i="23" s="1"/>
  <c r="H103" i="23"/>
  <c r="J103" i="23" s="1"/>
  <c r="K103" i="23" s="1"/>
  <c r="G103" i="23"/>
  <c r="L103" i="23" s="1"/>
  <c r="I102" i="23"/>
  <c r="M102" i="23" s="1"/>
  <c r="H102" i="23"/>
  <c r="J102" i="23" s="1"/>
  <c r="K102" i="23" s="1"/>
  <c r="G102" i="23"/>
  <c r="L102" i="23" s="1"/>
  <c r="I101" i="23"/>
  <c r="M101" i="23" s="1"/>
  <c r="H101" i="23"/>
  <c r="J101" i="23" s="1"/>
  <c r="K101" i="23" s="1"/>
  <c r="G101" i="23"/>
  <c r="L101" i="23" s="1"/>
  <c r="I100" i="23"/>
  <c r="M100" i="23" s="1"/>
  <c r="H100" i="23"/>
  <c r="J100" i="23" s="1"/>
  <c r="K100" i="23" s="1"/>
  <c r="G100" i="23"/>
  <c r="L100" i="23" s="1"/>
  <c r="I99" i="23"/>
  <c r="M99" i="23" s="1"/>
  <c r="H99" i="23"/>
  <c r="J99" i="23" s="1"/>
  <c r="K99" i="23" s="1"/>
  <c r="G99" i="23"/>
  <c r="L99" i="23" s="1"/>
  <c r="I98" i="23"/>
  <c r="M98" i="23" s="1"/>
  <c r="H98" i="23"/>
  <c r="J98" i="23" s="1"/>
  <c r="K98" i="23" s="1"/>
  <c r="G98" i="23"/>
  <c r="L98" i="23" s="1"/>
  <c r="I97" i="23"/>
  <c r="M97" i="23" s="1"/>
  <c r="H97" i="23"/>
  <c r="J97" i="23" s="1"/>
  <c r="K97" i="23" s="1"/>
  <c r="G97" i="23"/>
  <c r="L97" i="23" s="1"/>
  <c r="I96" i="23"/>
  <c r="M96" i="23" s="1"/>
  <c r="H96" i="23"/>
  <c r="J96" i="23" s="1"/>
  <c r="K96" i="23" s="1"/>
  <c r="G96" i="23"/>
  <c r="L96" i="23" s="1"/>
  <c r="I95" i="23"/>
  <c r="M95" i="23" s="1"/>
  <c r="H95" i="23"/>
  <c r="J95" i="23" s="1"/>
  <c r="K95" i="23" s="1"/>
  <c r="G95" i="23"/>
  <c r="L95" i="23" s="1"/>
  <c r="I94" i="23"/>
  <c r="M94" i="23" s="1"/>
  <c r="H94" i="23"/>
  <c r="J94" i="23" s="1"/>
  <c r="K94" i="23" s="1"/>
  <c r="G94" i="23"/>
  <c r="L94" i="23" s="1"/>
  <c r="I93" i="23"/>
  <c r="M93" i="23" s="1"/>
  <c r="H93" i="23"/>
  <c r="J93" i="23" s="1"/>
  <c r="K93" i="23" s="1"/>
  <c r="G93" i="23"/>
  <c r="L93" i="23" s="1"/>
  <c r="I92" i="23"/>
  <c r="M92" i="23" s="1"/>
  <c r="H92" i="23"/>
  <c r="J92" i="23" s="1"/>
  <c r="K92" i="23" s="1"/>
  <c r="G92" i="23"/>
  <c r="L92" i="23" s="1"/>
  <c r="I91" i="23"/>
  <c r="M91" i="23" s="1"/>
  <c r="H91" i="23"/>
  <c r="J91" i="23" s="1"/>
  <c r="K91" i="23" s="1"/>
  <c r="G91" i="23"/>
  <c r="L91" i="23" s="1"/>
  <c r="I90" i="23"/>
  <c r="M90" i="23" s="1"/>
  <c r="H90" i="23"/>
  <c r="J90" i="23" s="1"/>
  <c r="K90" i="23" s="1"/>
  <c r="G90" i="23"/>
  <c r="L90" i="23" s="1"/>
  <c r="I89" i="23"/>
  <c r="M89" i="23" s="1"/>
  <c r="H89" i="23"/>
  <c r="J89" i="23" s="1"/>
  <c r="K89" i="23" s="1"/>
  <c r="G89" i="23"/>
  <c r="L89" i="23" s="1"/>
  <c r="I88" i="23"/>
  <c r="M88" i="23" s="1"/>
  <c r="H88" i="23"/>
  <c r="J88" i="23" s="1"/>
  <c r="K88" i="23" s="1"/>
  <c r="G88" i="23"/>
  <c r="L88" i="23" s="1"/>
  <c r="I87" i="23"/>
  <c r="M87" i="23" s="1"/>
  <c r="H87" i="23"/>
  <c r="J87" i="23" s="1"/>
  <c r="K87" i="23" s="1"/>
  <c r="G87" i="23"/>
  <c r="L87" i="23" s="1"/>
  <c r="I86" i="23"/>
  <c r="M86" i="23" s="1"/>
  <c r="H86" i="23"/>
  <c r="J86" i="23" s="1"/>
  <c r="K86" i="23" s="1"/>
  <c r="G86" i="23"/>
  <c r="L86" i="23" s="1"/>
  <c r="I85" i="23"/>
  <c r="M85" i="23" s="1"/>
  <c r="H85" i="23"/>
  <c r="J85" i="23" s="1"/>
  <c r="K85" i="23" s="1"/>
  <c r="G85" i="23"/>
  <c r="L85" i="23" s="1"/>
  <c r="I84" i="23"/>
  <c r="M84" i="23" s="1"/>
  <c r="H84" i="23"/>
  <c r="J84" i="23" s="1"/>
  <c r="K84" i="23" s="1"/>
  <c r="G84" i="23"/>
  <c r="L84" i="23" s="1"/>
  <c r="I83" i="23"/>
  <c r="M83" i="23" s="1"/>
  <c r="H83" i="23"/>
  <c r="J83" i="23" s="1"/>
  <c r="K83" i="23" s="1"/>
  <c r="G83" i="23"/>
  <c r="L83" i="23" s="1"/>
  <c r="I82" i="23"/>
  <c r="M82" i="23" s="1"/>
  <c r="H82" i="23"/>
  <c r="J82" i="23" s="1"/>
  <c r="K82" i="23" s="1"/>
  <c r="G82" i="23"/>
  <c r="L82" i="23" s="1"/>
  <c r="I81" i="23"/>
  <c r="M81" i="23" s="1"/>
  <c r="H81" i="23"/>
  <c r="J81" i="23" s="1"/>
  <c r="K81" i="23" s="1"/>
  <c r="G81" i="23"/>
  <c r="L81" i="23" s="1"/>
  <c r="I80" i="23"/>
  <c r="M80" i="23" s="1"/>
  <c r="H80" i="23"/>
  <c r="J80" i="23" s="1"/>
  <c r="K80" i="23" s="1"/>
  <c r="G80" i="23"/>
  <c r="L80" i="23" s="1"/>
  <c r="I79" i="23"/>
  <c r="M79" i="23" s="1"/>
  <c r="H79" i="23"/>
  <c r="J79" i="23" s="1"/>
  <c r="K79" i="23" s="1"/>
  <c r="G79" i="23"/>
  <c r="L79" i="23" s="1"/>
  <c r="I78" i="23"/>
  <c r="M78" i="23" s="1"/>
  <c r="H78" i="23"/>
  <c r="J78" i="23" s="1"/>
  <c r="K78" i="23" s="1"/>
  <c r="G78" i="23"/>
  <c r="L78" i="23" s="1"/>
  <c r="I77" i="23"/>
  <c r="M77" i="23" s="1"/>
  <c r="H77" i="23"/>
  <c r="J77" i="23" s="1"/>
  <c r="K77" i="23" s="1"/>
  <c r="G77" i="23"/>
  <c r="L77" i="23" s="1"/>
  <c r="I76" i="23"/>
  <c r="M76" i="23" s="1"/>
  <c r="H76" i="23"/>
  <c r="J76" i="23" s="1"/>
  <c r="K76" i="23" s="1"/>
  <c r="G76" i="23"/>
  <c r="L76" i="23" s="1"/>
  <c r="I75" i="23"/>
  <c r="M75" i="23" s="1"/>
  <c r="H75" i="23"/>
  <c r="J75" i="23" s="1"/>
  <c r="K75" i="23" s="1"/>
  <c r="G75" i="23"/>
  <c r="L75" i="23" s="1"/>
  <c r="I74" i="23"/>
  <c r="M74" i="23" s="1"/>
  <c r="H74" i="23"/>
  <c r="J74" i="23" s="1"/>
  <c r="K74" i="23" s="1"/>
  <c r="G74" i="23"/>
  <c r="L74" i="23" s="1"/>
  <c r="I73" i="23"/>
  <c r="M73" i="23" s="1"/>
  <c r="H73" i="23"/>
  <c r="J73" i="23" s="1"/>
  <c r="K73" i="23" s="1"/>
  <c r="G73" i="23"/>
  <c r="L73" i="23" s="1"/>
  <c r="I72" i="23"/>
  <c r="M72" i="23" s="1"/>
  <c r="H72" i="23"/>
  <c r="J72" i="23" s="1"/>
  <c r="K72" i="23" s="1"/>
  <c r="G72" i="23"/>
  <c r="L72" i="23" s="1"/>
  <c r="I71" i="23"/>
  <c r="M71" i="23" s="1"/>
  <c r="H71" i="23"/>
  <c r="J71" i="23" s="1"/>
  <c r="K71" i="23" s="1"/>
  <c r="G71" i="23"/>
  <c r="L71" i="23" s="1"/>
  <c r="I70" i="23"/>
  <c r="M70" i="23" s="1"/>
  <c r="H70" i="23"/>
  <c r="J70" i="23" s="1"/>
  <c r="K70" i="23" s="1"/>
  <c r="G70" i="23"/>
  <c r="L70" i="23" s="1"/>
  <c r="I69" i="23"/>
  <c r="M69" i="23" s="1"/>
  <c r="H69" i="23"/>
  <c r="J69" i="23" s="1"/>
  <c r="K69" i="23" s="1"/>
  <c r="G69" i="23"/>
  <c r="L69" i="23" s="1"/>
  <c r="I68" i="23"/>
  <c r="M68" i="23" s="1"/>
  <c r="H68" i="23"/>
  <c r="J68" i="23" s="1"/>
  <c r="K68" i="23" s="1"/>
  <c r="G68" i="23"/>
  <c r="L68" i="23" s="1"/>
  <c r="I67" i="23"/>
  <c r="M67" i="23" s="1"/>
  <c r="H67" i="23"/>
  <c r="J67" i="23" s="1"/>
  <c r="K67" i="23" s="1"/>
  <c r="G67" i="23"/>
  <c r="L67" i="23" s="1"/>
  <c r="I66" i="23"/>
  <c r="M66" i="23" s="1"/>
  <c r="H66" i="23"/>
  <c r="J66" i="23" s="1"/>
  <c r="K66" i="23" s="1"/>
  <c r="G66" i="23"/>
  <c r="L66" i="23" s="1"/>
  <c r="I65" i="23"/>
  <c r="M65" i="23" s="1"/>
  <c r="H65" i="23"/>
  <c r="J65" i="23" s="1"/>
  <c r="K65" i="23" s="1"/>
  <c r="G65" i="23"/>
  <c r="L65" i="23" s="1"/>
  <c r="I64" i="23"/>
  <c r="M64" i="23" s="1"/>
  <c r="H64" i="23"/>
  <c r="J64" i="23" s="1"/>
  <c r="K64" i="23" s="1"/>
  <c r="G64" i="23"/>
  <c r="L64" i="23" s="1"/>
  <c r="I63" i="23"/>
  <c r="M63" i="23" s="1"/>
  <c r="H63" i="23"/>
  <c r="J63" i="23" s="1"/>
  <c r="K63" i="23" s="1"/>
  <c r="G63" i="23"/>
  <c r="L63" i="23" s="1"/>
  <c r="I62" i="23"/>
  <c r="M62" i="23" s="1"/>
  <c r="H62" i="23"/>
  <c r="J62" i="23" s="1"/>
  <c r="K62" i="23" s="1"/>
  <c r="G62" i="23"/>
  <c r="L62" i="23" s="1"/>
  <c r="I61" i="23"/>
  <c r="M61" i="23" s="1"/>
  <c r="H61" i="23"/>
  <c r="J61" i="23" s="1"/>
  <c r="K61" i="23" s="1"/>
  <c r="G61" i="23"/>
  <c r="L61" i="23" s="1"/>
  <c r="I60" i="23"/>
  <c r="M60" i="23" s="1"/>
  <c r="H60" i="23"/>
  <c r="J60" i="23" s="1"/>
  <c r="K60" i="23" s="1"/>
  <c r="G60" i="23"/>
  <c r="L60" i="23" s="1"/>
  <c r="I59" i="23"/>
  <c r="M59" i="23" s="1"/>
  <c r="H59" i="23"/>
  <c r="J59" i="23" s="1"/>
  <c r="K59" i="23" s="1"/>
  <c r="G59" i="23"/>
  <c r="L59" i="23" s="1"/>
  <c r="I58" i="23"/>
  <c r="M58" i="23" s="1"/>
  <c r="H58" i="23"/>
  <c r="J58" i="23" s="1"/>
  <c r="K58" i="23" s="1"/>
  <c r="G58" i="23"/>
  <c r="L58" i="23" s="1"/>
  <c r="I57" i="23"/>
  <c r="M57" i="23" s="1"/>
  <c r="H57" i="23"/>
  <c r="J57" i="23" s="1"/>
  <c r="K57" i="23" s="1"/>
  <c r="G57" i="23"/>
  <c r="L57" i="23" s="1"/>
  <c r="I56" i="23"/>
  <c r="M56" i="23" s="1"/>
  <c r="H56" i="23"/>
  <c r="J56" i="23" s="1"/>
  <c r="K56" i="23" s="1"/>
  <c r="G56" i="23"/>
  <c r="L56" i="23" s="1"/>
  <c r="I55" i="23"/>
  <c r="M55" i="23" s="1"/>
  <c r="H55" i="23"/>
  <c r="J55" i="23" s="1"/>
  <c r="K55" i="23" s="1"/>
  <c r="G55" i="23"/>
  <c r="L55" i="23" s="1"/>
  <c r="I54" i="23"/>
  <c r="M54" i="23" s="1"/>
  <c r="H54" i="23"/>
  <c r="J54" i="23" s="1"/>
  <c r="K54" i="23" s="1"/>
  <c r="G54" i="23"/>
  <c r="L54" i="23" s="1"/>
  <c r="I53" i="23"/>
  <c r="M53" i="23" s="1"/>
  <c r="H53" i="23"/>
  <c r="J53" i="23" s="1"/>
  <c r="K53" i="23" s="1"/>
  <c r="G53" i="23"/>
  <c r="L53" i="23" s="1"/>
  <c r="I52" i="23"/>
  <c r="M52" i="23" s="1"/>
  <c r="H52" i="23"/>
  <c r="J52" i="23" s="1"/>
  <c r="K52" i="23" s="1"/>
  <c r="G52" i="23"/>
  <c r="L52" i="23" s="1"/>
  <c r="I51" i="23"/>
  <c r="M51" i="23" s="1"/>
  <c r="H51" i="23"/>
  <c r="J51" i="23" s="1"/>
  <c r="K51" i="23" s="1"/>
  <c r="G51" i="23"/>
  <c r="L51" i="23" s="1"/>
  <c r="I50" i="23"/>
  <c r="M50" i="23" s="1"/>
  <c r="H50" i="23"/>
  <c r="J50" i="23" s="1"/>
  <c r="K50" i="23" s="1"/>
  <c r="G50" i="23"/>
  <c r="L50" i="23" s="1"/>
  <c r="I49" i="23"/>
  <c r="M49" i="23" s="1"/>
  <c r="H49" i="23"/>
  <c r="J49" i="23" s="1"/>
  <c r="K49" i="23" s="1"/>
  <c r="G49" i="23"/>
  <c r="L49" i="23" s="1"/>
  <c r="I48" i="23"/>
  <c r="M48" i="23" s="1"/>
  <c r="H48" i="23"/>
  <c r="J48" i="23" s="1"/>
  <c r="K48" i="23" s="1"/>
  <c r="G48" i="23"/>
  <c r="L48" i="23" s="1"/>
  <c r="I47" i="23"/>
  <c r="M47" i="23" s="1"/>
  <c r="H47" i="23"/>
  <c r="J47" i="23" s="1"/>
  <c r="K47" i="23" s="1"/>
  <c r="G47" i="23"/>
  <c r="L47" i="23" s="1"/>
  <c r="I46" i="23"/>
  <c r="M46" i="23" s="1"/>
  <c r="H46" i="23"/>
  <c r="J46" i="23" s="1"/>
  <c r="K46" i="23" s="1"/>
  <c r="G46" i="23"/>
  <c r="L46" i="23" s="1"/>
  <c r="I45" i="23"/>
  <c r="M45" i="23" s="1"/>
  <c r="H45" i="23"/>
  <c r="J45" i="23" s="1"/>
  <c r="K45" i="23" s="1"/>
  <c r="G45" i="23"/>
  <c r="L45" i="23" s="1"/>
  <c r="I44" i="23"/>
  <c r="M44" i="23" s="1"/>
  <c r="H44" i="23"/>
  <c r="J44" i="23" s="1"/>
  <c r="K44" i="23" s="1"/>
  <c r="G44" i="23"/>
  <c r="L44" i="23" s="1"/>
  <c r="I43" i="23"/>
  <c r="M43" i="23" s="1"/>
  <c r="H43" i="23"/>
  <c r="J43" i="23" s="1"/>
  <c r="K43" i="23" s="1"/>
  <c r="G43" i="23"/>
  <c r="L43" i="23" s="1"/>
  <c r="I42" i="23"/>
  <c r="M42" i="23" s="1"/>
  <c r="H42" i="23"/>
  <c r="J42" i="23" s="1"/>
  <c r="K42" i="23" s="1"/>
  <c r="G42" i="23"/>
  <c r="L42" i="23" s="1"/>
  <c r="I41" i="23"/>
  <c r="M41" i="23" s="1"/>
  <c r="H41" i="23"/>
  <c r="J41" i="23" s="1"/>
  <c r="K41" i="23" s="1"/>
  <c r="G41" i="23"/>
  <c r="L41" i="23" s="1"/>
  <c r="I40" i="23"/>
  <c r="M40" i="23" s="1"/>
  <c r="H40" i="23"/>
  <c r="J40" i="23" s="1"/>
  <c r="K40" i="23" s="1"/>
  <c r="G40" i="23"/>
  <c r="L40" i="23" s="1"/>
  <c r="I39" i="23"/>
  <c r="M39" i="23" s="1"/>
  <c r="H39" i="23"/>
  <c r="J39" i="23" s="1"/>
  <c r="K39" i="23" s="1"/>
  <c r="G39" i="23"/>
  <c r="L39" i="23" s="1"/>
  <c r="I38" i="23"/>
  <c r="M38" i="23" s="1"/>
  <c r="H38" i="23"/>
  <c r="J38" i="23" s="1"/>
  <c r="K38" i="23" s="1"/>
  <c r="G38" i="23"/>
  <c r="L38" i="23" s="1"/>
  <c r="I37" i="23"/>
  <c r="M37" i="23" s="1"/>
  <c r="H37" i="23"/>
  <c r="J37" i="23" s="1"/>
  <c r="K37" i="23" s="1"/>
  <c r="G37" i="23"/>
  <c r="L37" i="23" s="1"/>
  <c r="I36" i="23"/>
  <c r="M36" i="23" s="1"/>
  <c r="H36" i="23"/>
  <c r="J36" i="23" s="1"/>
  <c r="K36" i="23" s="1"/>
  <c r="G36" i="23"/>
  <c r="I35" i="23"/>
  <c r="M35" i="23" s="1"/>
  <c r="H35" i="23"/>
  <c r="J35" i="23" s="1"/>
  <c r="K35" i="23" s="1"/>
  <c r="G35" i="23"/>
  <c r="L35" i="23" s="1"/>
  <c r="I34" i="23"/>
  <c r="M34" i="23" s="1"/>
  <c r="H34" i="23"/>
  <c r="J34" i="23" s="1"/>
  <c r="K34" i="23" s="1"/>
  <c r="G34" i="23"/>
  <c r="I33" i="23"/>
  <c r="M33" i="23" s="1"/>
  <c r="H33" i="23"/>
  <c r="J33" i="23" s="1"/>
  <c r="K33" i="23" s="1"/>
  <c r="G33" i="23"/>
  <c r="I32" i="23"/>
  <c r="M32" i="23" s="1"/>
  <c r="H32" i="23"/>
  <c r="J32" i="23" s="1"/>
  <c r="K32" i="23" s="1"/>
  <c r="G32" i="23"/>
  <c r="L32" i="23" s="1"/>
  <c r="I31" i="23"/>
  <c r="M31" i="23" s="1"/>
  <c r="H31" i="23"/>
  <c r="J31" i="23" s="1"/>
  <c r="K31" i="23" s="1"/>
  <c r="G31" i="23"/>
  <c r="I30" i="23"/>
  <c r="M30" i="23" s="1"/>
  <c r="H30" i="23"/>
  <c r="J30" i="23" s="1"/>
  <c r="K30" i="23" s="1"/>
  <c r="G30" i="23"/>
  <c r="I29" i="23"/>
  <c r="M29" i="23" s="1"/>
  <c r="H29" i="23"/>
  <c r="J29" i="23" s="1"/>
  <c r="K29" i="23" s="1"/>
  <c r="G29" i="23"/>
  <c r="I28" i="23"/>
  <c r="M28" i="23" s="1"/>
  <c r="H28" i="23"/>
  <c r="J28" i="23" s="1"/>
  <c r="K28" i="23" s="1"/>
  <c r="G28" i="23"/>
  <c r="I27" i="23"/>
  <c r="M27" i="23" s="1"/>
  <c r="H27" i="23"/>
  <c r="J27" i="23" s="1"/>
  <c r="K27" i="23" s="1"/>
  <c r="G27" i="23"/>
  <c r="I26" i="23"/>
  <c r="M26" i="23" s="1"/>
  <c r="H26" i="23"/>
  <c r="J26" i="23" s="1"/>
  <c r="K26" i="23" s="1"/>
  <c r="G26" i="23"/>
  <c r="L26" i="23" s="1"/>
  <c r="I25" i="23"/>
  <c r="M25" i="23" s="1"/>
  <c r="H25" i="23"/>
  <c r="J25" i="23" s="1"/>
  <c r="K25" i="23" s="1"/>
  <c r="G25" i="23"/>
  <c r="I24" i="23"/>
  <c r="M24" i="23" s="1"/>
  <c r="H24" i="23"/>
  <c r="J24" i="23" s="1"/>
  <c r="K24" i="23" s="1"/>
  <c r="G24" i="23"/>
  <c r="I23" i="23"/>
  <c r="M23" i="23" s="1"/>
  <c r="H23" i="23"/>
  <c r="J23" i="23" s="1"/>
  <c r="K23" i="23" s="1"/>
  <c r="G23" i="23"/>
  <c r="L23" i="23" s="1"/>
  <c r="I22" i="23"/>
  <c r="M22" i="23" s="1"/>
  <c r="H22" i="23"/>
  <c r="J22" i="23" s="1"/>
  <c r="K22" i="23" s="1"/>
  <c r="G22" i="23"/>
  <c r="I21" i="23"/>
  <c r="M21" i="23" s="1"/>
  <c r="H21" i="23"/>
  <c r="J21" i="23" s="1"/>
  <c r="K21" i="23" s="1"/>
  <c r="G21" i="23"/>
  <c r="L21" i="23" s="1"/>
  <c r="I20" i="23"/>
  <c r="M20" i="23" s="1"/>
  <c r="H20" i="23"/>
  <c r="J20" i="23" s="1"/>
  <c r="K20" i="23" s="1"/>
  <c r="G20" i="23"/>
  <c r="I19" i="23"/>
  <c r="M19" i="23" s="1"/>
  <c r="H19" i="23"/>
  <c r="J19" i="23" s="1"/>
  <c r="K19" i="23" s="1"/>
  <c r="G19" i="23"/>
  <c r="I18" i="23"/>
  <c r="M18" i="23" s="1"/>
  <c r="H18" i="23"/>
  <c r="J18" i="23" s="1"/>
  <c r="K18" i="23" s="1"/>
  <c r="G18" i="23"/>
  <c r="L18" i="23" s="1"/>
  <c r="I17" i="23"/>
  <c r="M17" i="23" s="1"/>
  <c r="H17" i="23"/>
  <c r="J17" i="23" s="1"/>
  <c r="K17" i="23" s="1"/>
  <c r="G17" i="23"/>
  <c r="I16" i="23"/>
  <c r="M16" i="23" s="1"/>
  <c r="H16" i="23"/>
  <c r="J16" i="23" s="1"/>
  <c r="K16" i="23" s="1"/>
  <c r="G16" i="23"/>
  <c r="I15" i="23"/>
  <c r="M15" i="23" s="1"/>
  <c r="H15" i="23"/>
  <c r="J15" i="23" s="1"/>
  <c r="K15" i="23" s="1"/>
  <c r="G15" i="23"/>
  <c r="I14" i="23"/>
  <c r="M14" i="23" s="1"/>
  <c r="H14" i="23"/>
  <c r="J14" i="23" s="1"/>
  <c r="K14" i="23" s="1"/>
  <c r="G14" i="23"/>
  <c r="I13" i="23"/>
  <c r="M13" i="23" s="1"/>
  <c r="H13" i="23"/>
  <c r="J13" i="23" s="1"/>
  <c r="K13" i="23" s="1"/>
  <c r="G13" i="23"/>
  <c r="L13" i="23" s="1"/>
  <c r="I12" i="23"/>
  <c r="M12" i="23" s="1"/>
  <c r="H12" i="23"/>
  <c r="J12" i="23" s="1"/>
  <c r="K12" i="23" s="1"/>
  <c r="G12" i="23"/>
  <c r="L12" i="23" s="1"/>
  <c r="I11" i="23"/>
  <c r="M11" i="23" s="1"/>
  <c r="H11" i="23"/>
  <c r="J11" i="23" s="1"/>
  <c r="K11" i="23" s="1"/>
  <c r="G11" i="23"/>
  <c r="I10" i="23"/>
  <c r="M10" i="23" s="1"/>
  <c r="H10" i="23"/>
  <c r="J10" i="23" s="1"/>
  <c r="K10" i="23" s="1"/>
  <c r="G10" i="23"/>
  <c r="L10" i="23" s="1"/>
  <c r="I9" i="23"/>
  <c r="M9" i="23" s="1"/>
  <c r="H9" i="23"/>
  <c r="J9" i="23" s="1"/>
  <c r="K9" i="23" s="1"/>
  <c r="G9" i="23"/>
  <c r="I8" i="23"/>
  <c r="M8" i="23" s="1"/>
  <c r="H8" i="23"/>
  <c r="J8" i="23" s="1"/>
  <c r="K8" i="23" s="1"/>
  <c r="G8" i="23"/>
  <c r="L8" i="23" s="1"/>
  <c r="I7" i="23"/>
  <c r="M7" i="23" s="1"/>
  <c r="H7" i="23"/>
  <c r="J7" i="23" s="1"/>
  <c r="K7" i="23" s="1"/>
  <c r="G7" i="23"/>
  <c r="I69" i="22"/>
  <c r="M69" i="22" s="1"/>
  <c r="H69" i="22"/>
  <c r="J69" i="22" s="1"/>
  <c r="K69" i="22" s="1"/>
  <c r="G69" i="22"/>
  <c r="L69" i="22" s="1"/>
  <c r="I68" i="22"/>
  <c r="M68" i="22" s="1"/>
  <c r="H68" i="22"/>
  <c r="J68" i="22" s="1"/>
  <c r="K68" i="22" s="1"/>
  <c r="G68" i="22"/>
  <c r="I67" i="22"/>
  <c r="M67" i="22" s="1"/>
  <c r="H67" i="22"/>
  <c r="J67" i="22" s="1"/>
  <c r="K67" i="22" s="1"/>
  <c r="G67" i="22"/>
  <c r="L67" i="22" s="1"/>
  <c r="I66" i="22"/>
  <c r="M66" i="22" s="1"/>
  <c r="H66" i="22"/>
  <c r="J66" i="22" s="1"/>
  <c r="K66" i="22" s="1"/>
  <c r="G66" i="22"/>
  <c r="I65" i="22"/>
  <c r="M65" i="22" s="1"/>
  <c r="H65" i="22"/>
  <c r="J65" i="22" s="1"/>
  <c r="K65" i="22" s="1"/>
  <c r="G65" i="22"/>
  <c r="I64" i="22"/>
  <c r="M64" i="22" s="1"/>
  <c r="H64" i="22"/>
  <c r="J64" i="22" s="1"/>
  <c r="K64" i="22" s="1"/>
  <c r="G64" i="22"/>
  <c r="L64" i="22" s="1"/>
  <c r="I63" i="22"/>
  <c r="M63" i="22" s="1"/>
  <c r="H63" i="22"/>
  <c r="J63" i="22" s="1"/>
  <c r="K63" i="22" s="1"/>
  <c r="G63" i="22"/>
  <c r="I62" i="22"/>
  <c r="M62" i="22" s="1"/>
  <c r="H62" i="22"/>
  <c r="J62" i="22" s="1"/>
  <c r="K62" i="22" s="1"/>
  <c r="G62" i="22"/>
  <c r="L62" i="22" s="1"/>
  <c r="I61" i="22"/>
  <c r="M61" i="22" s="1"/>
  <c r="H61" i="22"/>
  <c r="J61" i="22" s="1"/>
  <c r="K61" i="22" s="1"/>
  <c r="G61" i="22"/>
  <c r="I60" i="22"/>
  <c r="M60" i="22" s="1"/>
  <c r="H60" i="22"/>
  <c r="J60" i="22" s="1"/>
  <c r="K60" i="22" s="1"/>
  <c r="G60" i="22"/>
  <c r="I59" i="22"/>
  <c r="M59" i="22" s="1"/>
  <c r="H59" i="22"/>
  <c r="J59" i="22" s="1"/>
  <c r="K59" i="22" s="1"/>
  <c r="G59" i="22"/>
  <c r="L59" i="22" s="1"/>
  <c r="I58" i="22"/>
  <c r="M58" i="22" s="1"/>
  <c r="H58" i="22"/>
  <c r="J58" i="22" s="1"/>
  <c r="K58" i="22" s="1"/>
  <c r="G58" i="22"/>
  <c r="I57" i="22"/>
  <c r="M57" i="22" s="1"/>
  <c r="H57" i="22"/>
  <c r="J57" i="22" s="1"/>
  <c r="K57" i="22" s="1"/>
  <c r="G57" i="22"/>
  <c r="I56" i="22"/>
  <c r="M56" i="22" s="1"/>
  <c r="H56" i="22"/>
  <c r="J56" i="22" s="1"/>
  <c r="K56" i="22" s="1"/>
  <c r="G56" i="22"/>
  <c r="I55" i="22"/>
  <c r="M55" i="22" s="1"/>
  <c r="H55" i="22"/>
  <c r="J55" i="22" s="1"/>
  <c r="K55" i="22" s="1"/>
  <c r="G55" i="22"/>
  <c r="I54" i="22"/>
  <c r="M54" i="22" s="1"/>
  <c r="H54" i="22"/>
  <c r="J54" i="22" s="1"/>
  <c r="K54" i="22" s="1"/>
  <c r="G54" i="22"/>
  <c r="L54" i="22" s="1"/>
  <c r="I53" i="22"/>
  <c r="M53" i="22" s="1"/>
  <c r="H53" i="22"/>
  <c r="J53" i="22" s="1"/>
  <c r="K53" i="22" s="1"/>
  <c r="G53" i="22"/>
  <c r="I52" i="22"/>
  <c r="M52" i="22" s="1"/>
  <c r="H52" i="22"/>
  <c r="J52" i="22" s="1"/>
  <c r="K52" i="22" s="1"/>
  <c r="G52" i="22"/>
  <c r="L52" i="22" s="1"/>
  <c r="I51" i="22"/>
  <c r="M51" i="22" s="1"/>
  <c r="H51" i="22"/>
  <c r="J51" i="22" s="1"/>
  <c r="K51" i="22" s="1"/>
  <c r="G51" i="22"/>
  <c r="I50" i="22"/>
  <c r="M50" i="22" s="1"/>
  <c r="H50" i="22"/>
  <c r="J50" i="22" s="1"/>
  <c r="K50" i="22" s="1"/>
  <c r="G50" i="22"/>
  <c r="I49" i="22"/>
  <c r="M49" i="22" s="1"/>
  <c r="H49" i="22"/>
  <c r="J49" i="22" s="1"/>
  <c r="K49" i="22" s="1"/>
  <c r="G49" i="22"/>
  <c r="L49" i="22" s="1"/>
  <c r="I48" i="22"/>
  <c r="M48" i="22" s="1"/>
  <c r="H48" i="22"/>
  <c r="J48" i="22" s="1"/>
  <c r="K48" i="22" s="1"/>
  <c r="G48" i="22"/>
  <c r="I47" i="22"/>
  <c r="M47" i="22" s="1"/>
  <c r="H47" i="22"/>
  <c r="J47" i="22" s="1"/>
  <c r="K47" i="22" s="1"/>
  <c r="G47" i="22"/>
  <c r="L47" i="22" s="1"/>
  <c r="I46" i="22"/>
  <c r="M46" i="22" s="1"/>
  <c r="H46" i="22"/>
  <c r="J46" i="22" s="1"/>
  <c r="K46" i="22" s="1"/>
  <c r="G46" i="22"/>
  <c r="L46" i="22" s="1"/>
  <c r="I45" i="22"/>
  <c r="M45" i="22" s="1"/>
  <c r="H45" i="22"/>
  <c r="J45" i="22" s="1"/>
  <c r="K45" i="22" s="1"/>
  <c r="G45" i="22"/>
  <c r="M44" i="22"/>
  <c r="I44" i="22"/>
  <c r="H44" i="22"/>
  <c r="J44" i="22" s="1"/>
  <c r="K44" i="22" s="1"/>
  <c r="G44" i="22"/>
  <c r="L44" i="22" s="1"/>
  <c r="I43" i="22"/>
  <c r="M43" i="22" s="1"/>
  <c r="H43" i="22"/>
  <c r="J43" i="22" s="1"/>
  <c r="K43" i="22" s="1"/>
  <c r="G43" i="22"/>
  <c r="L43" i="22" s="1"/>
  <c r="I42" i="22"/>
  <c r="M42" i="22" s="1"/>
  <c r="H42" i="22"/>
  <c r="J42" i="22" s="1"/>
  <c r="K42" i="22" s="1"/>
  <c r="G42" i="22"/>
  <c r="L42" i="22" s="1"/>
  <c r="I41" i="22"/>
  <c r="M41" i="22" s="1"/>
  <c r="H41" i="22"/>
  <c r="J41" i="22" s="1"/>
  <c r="K41" i="22" s="1"/>
  <c r="G41" i="22"/>
  <c r="L41" i="22" s="1"/>
  <c r="I40" i="22"/>
  <c r="M40" i="22" s="1"/>
  <c r="H40" i="22"/>
  <c r="J40" i="22" s="1"/>
  <c r="K40" i="22" s="1"/>
  <c r="G40" i="22"/>
  <c r="L40" i="22" s="1"/>
  <c r="I39" i="22"/>
  <c r="M39" i="22" s="1"/>
  <c r="H39" i="22"/>
  <c r="J39" i="22" s="1"/>
  <c r="K39" i="22" s="1"/>
  <c r="G39" i="22"/>
  <c r="L39" i="22" s="1"/>
  <c r="I38" i="22"/>
  <c r="M38" i="22" s="1"/>
  <c r="H38" i="22"/>
  <c r="J38" i="22" s="1"/>
  <c r="K38" i="22" s="1"/>
  <c r="G38" i="22"/>
  <c r="L38" i="22" s="1"/>
  <c r="I37" i="22"/>
  <c r="M37" i="22" s="1"/>
  <c r="H37" i="22"/>
  <c r="J37" i="22" s="1"/>
  <c r="K37" i="22" s="1"/>
  <c r="G37" i="22"/>
  <c r="L37" i="22" s="1"/>
  <c r="I36" i="22"/>
  <c r="M36" i="22" s="1"/>
  <c r="H36" i="22"/>
  <c r="J36" i="22" s="1"/>
  <c r="K36" i="22" s="1"/>
  <c r="G36" i="22"/>
  <c r="L36" i="22" s="1"/>
  <c r="I35" i="22"/>
  <c r="M35" i="22" s="1"/>
  <c r="H35" i="22"/>
  <c r="J35" i="22" s="1"/>
  <c r="K35" i="22" s="1"/>
  <c r="G35" i="22"/>
  <c r="L35" i="22" s="1"/>
  <c r="I34" i="22"/>
  <c r="M34" i="22" s="1"/>
  <c r="H34" i="22"/>
  <c r="J34" i="22" s="1"/>
  <c r="K34" i="22" s="1"/>
  <c r="G34" i="22"/>
  <c r="L34" i="22" s="1"/>
  <c r="I33" i="22"/>
  <c r="M33" i="22" s="1"/>
  <c r="H33" i="22"/>
  <c r="J33" i="22" s="1"/>
  <c r="K33" i="22" s="1"/>
  <c r="G33" i="22"/>
  <c r="L33" i="22" s="1"/>
  <c r="I32" i="22"/>
  <c r="M32" i="22" s="1"/>
  <c r="H32" i="22"/>
  <c r="J32" i="22" s="1"/>
  <c r="K32" i="22" s="1"/>
  <c r="G32" i="22"/>
  <c r="L32" i="22" s="1"/>
  <c r="I31" i="22"/>
  <c r="M31" i="22" s="1"/>
  <c r="H31" i="22"/>
  <c r="J31" i="22" s="1"/>
  <c r="K31" i="22" s="1"/>
  <c r="G31" i="22"/>
  <c r="L31" i="22" s="1"/>
  <c r="I30" i="22"/>
  <c r="M30" i="22" s="1"/>
  <c r="H30" i="22"/>
  <c r="J30" i="22" s="1"/>
  <c r="K30" i="22" s="1"/>
  <c r="G30" i="22"/>
  <c r="L30" i="22" s="1"/>
  <c r="I29" i="22"/>
  <c r="M29" i="22" s="1"/>
  <c r="H29" i="22"/>
  <c r="J29" i="22" s="1"/>
  <c r="K29" i="22" s="1"/>
  <c r="G29" i="22"/>
  <c r="L29" i="22" s="1"/>
  <c r="I28" i="22"/>
  <c r="M28" i="22" s="1"/>
  <c r="H28" i="22"/>
  <c r="J28" i="22" s="1"/>
  <c r="K28" i="22" s="1"/>
  <c r="G28" i="22"/>
  <c r="L28" i="22" s="1"/>
  <c r="I27" i="22"/>
  <c r="M27" i="22" s="1"/>
  <c r="H27" i="22"/>
  <c r="J27" i="22" s="1"/>
  <c r="K27" i="22" s="1"/>
  <c r="G27" i="22"/>
  <c r="L27" i="22" s="1"/>
  <c r="I26" i="22"/>
  <c r="M26" i="22" s="1"/>
  <c r="H26" i="22"/>
  <c r="J26" i="22" s="1"/>
  <c r="K26" i="22" s="1"/>
  <c r="G26" i="22"/>
  <c r="L26" i="22" s="1"/>
  <c r="I25" i="22"/>
  <c r="M25" i="22" s="1"/>
  <c r="H25" i="22"/>
  <c r="J25" i="22" s="1"/>
  <c r="K25" i="22" s="1"/>
  <c r="G25" i="22"/>
  <c r="L25" i="22" s="1"/>
  <c r="I24" i="22"/>
  <c r="M24" i="22" s="1"/>
  <c r="H24" i="22"/>
  <c r="J24" i="22" s="1"/>
  <c r="K24" i="22" s="1"/>
  <c r="G24" i="22"/>
  <c r="L24" i="22" s="1"/>
  <c r="I23" i="22"/>
  <c r="M23" i="22" s="1"/>
  <c r="H23" i="22"/>
  <c r="J23" i="22" s="1"/>
  <c r="K23" i="22" s="1"/>
  <c r="G23" i="22"/>
  <c r="L23" i="22" s="1"/>
  <c r="I22" i="22"/>
  <c r="M22" i="22" s="1"/>
  <c r="H22" i="22"/>
  <c r="J22" i="22" s="1"/>
  <c r="K22" i="22" s="1"/>
  <c r="G22" i="22"/>
  <c r="L22" i="22" s="1"/>
  <c r="I21" i="22"/>
  <c r="M21" i="22" s="1"/>
  <c r="H21" i="22"/>
  <c r="J21" i="22" s="1"/>
  <c r="K21" i="22" s="1"/>
  <c r="G21" i="22"/>
  <c r="L21" i="22" s="1"/>
  <c r="I20" i="22"/>
  <c r="M20" i="22" s="1"/>
  <c r="H20" i="22"/>
  <c r="J20" i="22" s="1"/>
  <c r="K20" i="22" s="1"/>
  <c r="G20" i="22"/>
  <c r="L20" i="22" s="1"/>
  <c r="I19" i="22"/>
  <c r="M19" i="22" s="1"/>
  <c r="H19" i="22"/>
  <c r="J19" i="22" s="1"/>
  <c r="K19" i="22" s="1"/>
  <c r="G19" i="22"/>
  <c r="L19" i="22" s="1"/>
  <c r="I18" i="22"/>
  <c r="M18" i="22" s="1"/>
  <c r="H18" i="22"/>
  <c r="J18" i="22" s="1"/>
  <c r="K18" i="22" s="1"/>
  <c r="G18" i="22"/>
  <c r="L18" i="22" s="1"/>
  <c r="I17" i="22"/>
  <c r="M17" i="22" s="1"/>
  <c r="H17" i="22"/>
  <c r="J17" i="22" s="1"/>
  <c r="K17" i="22" s="1"/>
  <c r="G17" i="22"/>
  <c r="L17" i="22" s="1"/>
  <c r="I16" i="22"/>
  <c r="M16" i="22" s="1"/>
  <c r="H16" i="22"/>
  <c r="J16" i="22" s="1"/>
  <c r="K16" i="22" s="1"/>
  <c r="G16" i="22"/>
  <c r="L16" i="22" s="1"/>
  <c r="I15" i="22"/>
  <c r="M15" i="22" s="1"/>
  <c r="H15" i="22"/>
  <c r="J15" i="22" s="1"/>
  <c r="K15" i="22" s="1"/>
  <c r="G15" i="22"/>
  <c r="L15" i="22" s="1"/>
  <c r="I14" i="22"/>
  <c r="M14" i="22" s="1"/>
  <c r="H14" i="22"/>
  <c r="J14" i="22" s="1"/>
  <c r="K14" i="22" s="1"/>
  <c r="G14" i="22"/>
  <c r="L14" i="22" s="1"/>
  <c r="I13" i="22"/>
  <c r="M13" i="22" s="1"/>
  <c r="H13" i="22"/>
  <c r="J13" i="22" s="1"/>
  <c r="K13" i="22" s="1"/>
  <c r="G13" i="22"/>
  <c r="L13" i="22" s="1"/>
  <c r="I12" i="22"/>
  <c r="M12" i="22" s="1"/>
  <c r="H12" i="22"/>
  <c r="J12" i="22" s="1"/>
  <c r="K12" i="22" s="1"/>
  <c r="G12" i="22"/>
  <c r="L12" i="22" s="1"/>
  <c r="I11" i="22"/>
  <c r="M11" i="22" s="1"/>
  <c r="H11" i="22"/>
  <c r="J11" i="22" s="1"/>
  <c r="K11" i="22" s="1"/>
  <c r="G11" i="22"/>
  <c r="L11" i="22" s="1"/>
  <c r="I10" i="22"/>
  <c r="M10" i="22" s="1"/>
  <c r="H10" i="22"/>
  <c r="J10" i="22" s="1"/>
  <c r="K10" i="22" s="1"/>
  <c r="G10" i="22"/>
  <c r="L10" i="22" s="1"/>
  <c r="I9" i="22"/>
  <c r="M9" i="22" s="1"/>
  <c r="H9" i="22"/>
  <c r="J9" i="22" s="1"/>
  <c r="K9" i="22" s="1"/>
  <c r="G9" i="22"/>
  <c r="L9" i="22" s="1"/>
  <c r="I8" i="22"/>
  <c r="M8" i="22" s="1"/>
  <c r="H8" i="22"/>
  <c r="J8" i="22" s="1"/>
  <c r="K8" i="22" s="1"/>
  <c r="G8" i="22"/>
  <c r="L8" i="22" s="1"/>
  <c r="I7" i="22"/>
  <c r="M7" i="22" s="1"/>
  <c r="H7" i="22"/>
  <c r="J7" i="22" s="1"/>
  <c r="K7" i="22" s="1"/>
  <c r="G7" i="22"/>
  <c r="L7" i="22" s="1"/>
  <c r="I67" i="21"/>
  <c r="M67" i="21" s="1"/>
  <c r="H67" i="21"/>
  <c r="J67" i="21" s="1"/>
  <c r="K67" i="21" s="1"/>
  <c r="G67" i="21"/>
  <c r="L67" i="21" s="1"/>
  <c r="I66" i="21"/>
  <c r="M66" i="21" s="1"/>
  <c r="H66" i="21"/>
  <c r="J66" i="21" s="1"/>
  <c r="K66" i="21" s="1"/>
  <c r="G66" i="21"/>
  <c r="L66" i="21" s="1"/>
  <c r="I65" i="21"/>
  <c r="M65" i="21" s="1"/>
  <c r="H65" i="21"/>
  <c r="J65" i="21" s="1"/>
  <c r="K65" i="21" s="1"/>
  <c r="G65" i="21"/>
  <c r="L65" i="21" s="1"/>
  <c r="I64" i="21"/>
  <c r="M64" i="21" s="1"/>
  <c r="H64" i="21"/>
  <c r="J64" i="21" s="1"/>
  <c r="K64" i="21" s="1"/>
  <c r="G64" i="21"/>
  <c r="L64" i="21" s="1"/>
  <c r="I63" i="21"/>
  <c r="M63" i="21" s="1"/>
  <c r="H63" i="21"/>
  <c r="J63" i="21" s="1"/>
  <c r="K63" i="21" s="1"/>
  <c r="G63" i="21"/>
  <c r="L63" i="21" s="1"/>
  <c r="I62" i="21"/>
  <c r="M62" i="21" s="1"/>
  <c r="H62" i="21"/>
  <c r="J62" i="21" s="1"/>
  <c r="K62" i="21" s="1"/>
  <c r="G62" i="21"/>
  <c r="L62" i="21" s="1"/>
  <c r="I61" i="21"/>
  <c r="M61" i="21" s="1"/>
  <c r="H61" i="21"/>
  <c r="J61" i="21" s="1"/>
  <c r="K61" i="21" s="1"/>
  <c r="G61" i="21"/>
  <c r="L61" i="21" s="1"/>
  <c r="I60" i="21"/>
  <c r="M60" i="21" s="1"/>
  <c r="H60" i="21"/>
  <c r="J60" i="21" s="1"/>
  <c r="K60" i="21" s="1"/>
  <c r="G60" i="21"/>
  <c r="L60" i="21" s="1"/>
  <c r="I59" i="21"/>
  <c r="M59" i="21" s="1"/>
  <c r="H59" i="21"/>
  <c r="J59" i="21" s="1"/>
  <c r="K59" i="21" s="1"/>
  <c r="G59" i="21"/>
  <c r="L59" i="21" s="1"/>
  <c r="I58" i="21"/>
  <c r="M58" i="21" s="1"/>
  <c r="H58" i="21"/>
  <c r="J58" i="21" s="1"/>
  <c r="K58" i="21" s="1"/>
  <c r="G58" i="21"/>
  <c r="L58" i="21" s="1"/>
  <c r="I57" i="21"/>
  <c r="M57" i="21" s="1"/>
  <c r="H57" i="21"/>
  <c r="J57" i="21" s="1"/>
  <c r="K57" i="21" s="1"/>
  <c r="G57" i="21"/>
  <c r="L57" i="21" s="1"/>
  <c r="I56" i="21"/>
  <c r="M56" i="21" s="1"/>
  <c r="H56" i="21"/>
  <c r="J56" i="21" s="1"/>
  <c r="K56" i="21" s="1"/>
  <c r="G56" i="21"/>
  <c r="L56" i="21" s="1"/>
  <c r="I55" i="21"/>
  <c r="M55" i="21" s="1"/>
  <c r="H55" i="21"/>
  <c r="J55" i="21" s="1"/>
  <c r="K55" i="21" s="1"/>
  <c r="G55" i="21"/>
  <c r="L55" i="21" s="1"/>
  <c r="I54" i="21"/>
  <c r="M54" i="21" s="1"/>
  <c r="H54" i="21"/>
  <c r="J54" i="21" s="1"/>
  <c r="K54" i="21" s="1"/>
  <c r="G54" i="21"/>
  <c r="L54" i="21" s="1"/>
  <c r="I53" i="21"/>
  <c r="M53" i="21" s="1"/>
  <c r="H53" i="21"/>
  <c r="J53" i="21" s="1"/>
  <c r="K53" i="21" s="1"/>
  <c r="G53" i="21"/>
  <c r="L53" i="21" s="1"/>
  <c r="I52" i="21"/>
  <c r="M52" i="21" s="1"/>
  <c r="H52" i="21"/>
  <c r="J52" i="21" s="1"/>
  <c r="K52" i="21" s="1"/>
  <c r="G52" i="21"/>
  <c r="L52" i="21" s="1"/>
  <c r="I51" i="21"/>
  <c r="M51" i="21" s="1"/>
  <c r="H51" i="21"/>
  <c r="J51" i="21" s="1"/>
  <c r="K51" i="21" s="1"/>
  <c r="G51" i="21"/>
  <c r="L51" i="21" s="1"/>
  <c r="I50" i="21"/>
  <c r="M50" i="21" s="1"/>
  <c r="H50" i="21"/>
  <c r="J50" i="21" s="1"/>
  <c r="K50" i="21" s="1"/>
  <c r="G50" i="21"/>
  <c r="L50" i="21" s="1"/>
  <c r="I49" i="21"/>
  <c r="M49" i="21" s="1"/>
  <c r="H49" i="21"/>
  <c r="J49" i="21" s="1"/>
  <c r="K49" i="21" s="1"/>
  <c r="G49" i="21"/>
  <c r="L49" i="21" s="1"/>
  <c r="I48" i="21"/>
  <c r="M48" i="21" s="1"/>
  <c r="H48" i="21"/>
  <c r="J48" i="21" s="1"/>
  <c r="K48" i="21" s="1"/>
  <c r="G48" i="21"/>
  <c r="L48" i="21" s="1"/>
  <c r="I47" i="21"/>
  <c r="M47" i="21" s="1"/>
  <c r="H47" i="21"/>
  <c r="J47" i="21" s="1"/>
  <c r="K47" i="21" s="1"/>
  <c r="G47" i="21"/>
  <c r="L47" i="21" s="1"/>
  <c r="I46" i="21"/>
  <c r="M46" i="21" s="1"/>
  <c r="H46" i="21"/>
  <c r="J46" i="21" s="1"/>
  <c r="K46" i="21" s="1"/>
  <c r="G46" i="21"/>
  <c r="L46" i="21" s="1"/>
  <c r="I45" i="21"/>
  <c r="M45" i="21" s="1"/>
  <c r="H45" i="21"/>
  <c r="J45" i="21" s="1"/>
  <c r="K45" i="21" s="1"/>
  <c r="G45" i="21"/>
  <c r="L45" i="21" s="1"/>
  <c r="I44" i="21"/>
  <c r="M44" i="21" s="1"/>
  <c r="H44" i="21"/>
  <c r="J44" i="21" s="1"/>
  <c r="K44" i="21" s="1"/>
  <c r="G44" i="21"/>
  <c r="L44" i="21" s="1"/>
  <c r="I43" i="21"/>
  <c r="M43" i="21" s="1"/>
  <c r="H43" i="21"/>
  <c r="J43" i="21" s="1"/>
  <c r="K43" i="21" s="1"/>
  <c r="G43" i="21"/>
  <c r="L43" i="21" s="1"/>
  <c r="I42" i="21"/>
  <c r="M42" i="21" s="1"/>
  <c r="H42" i="21"/>
  <c r="J42" i="21" s="1"/>
  <c r="K42" i="21" s="1"/>
  <c r="G42" i="21"/>
  <c r="L42" i="21" s="1"/>
  <c r="I41" i="21"/>
  <c r="M41" i="21" s="1"/>
  <c r="H41" i="21"/>
  <c r="J41" i="21" s="1"/>
  <c r="K41" i="21" s="1"/>
  <c r="G41" i="21"/>
  <c r="L41" i="21" s="1"/>
  <c r="I40" i="21"/>
  <c r="M40" i="21" s="1"/>
  <c r="H40" i="21"/>
  <c r="J40" i="21" s="1"/>
  <c r="K40" i="21" s="1"/>
  <c r="G40" i="21"/>
  <c r="L40" i="21" s="1"/>
  <c r="I39" i="21"/>
  <c r="M39" i="21" s="1"/>
  <c r="H39" i="21"/>
  <c r="J39" i="21" s="1"/>
  <c r="K39" i="21" s="1"/>
  <c r="G39" i="21"/>
  <c r="L39" i="21" s="1"/>
  <c r="I38" i="21"/>
  <c r="M38" i="21" s="1"/>
  <c r="H38" i="21"/>
  <c r="J38" i="21" s="1"/>
  <c r="K38" i="21" s="1"/>
  <c r="G38" i="21"/>
  <c r="L38" i="21" s="1"/>
  <c r="I37" i="21"/>
  <c r="M37" i="21" s="1"/>
  <c r="H37" i="21"/>
  <c r="J37" i="21" s="1"/>
  <c r="K37" i="21" s="1"/>
  <c r="G37" i="21"/>
  <c r="L37" i="21" s="1"/>
  <c r="I36" i="21"/>
  <c r="M36" i="21" s="1"/>
  <c r="H36" i="21"/>
  <c r="J36" i="21" s="1"/>
  <c r="K36" i="21" s="1"/>
  <c r="G36" i="21"/>
  <c r="L36" i="21" s="1"/>
  <c r="I35" i="21"/>
  <c r="M35" i="21" s="1"/>
  <c r="H35" i="21"/>
  <c r="J35" i="21" s="1"/>
  <c r="K35" i="21" s="1"/>
  <c r="G35" i="21"/>
  <c r="L35" i="21" s="1"/>
  <c r="I34" i="21"/>
  <c r="M34" i="21" s="1"/>
  <c r="H34" i="21"/>
  <c r="J34" i="21" s="1"/>
  <c r="K34" i="21" s="1"/>
  <c r="G34" i="21"/>
  <c r="L34" i="21" s="1"/>
  <c r="I33" i="21"/>
  <c r="M33" i="21" s="1"/>
  <c r="H33" i="21"/>
  <c r="J33" i="21" s="1"/>
  <c r="K33" i="21" s="1"/>
  <c r="G33" i="21"/>
  <c r="L33" i="21" s="1"/>
  <c r="I32" i="21"/>
  <c r="M32" i="21" s="1"/>
  <c r="H32" i="21"/>
  <c r="J32" i="21" s="1"/>
  <c r="K32" i="21" s="1"/>
  <c r="G32" i="21"/>
  <c r="L32" i="21" s="1"/>
  <c r="I31" i="21"/>
  <c r="M31" i="21" s="1"/>
  <c r="H31" i="21"/>
  <c r="J31" i="21" s="1"/>
  <c r="K31" i="21" s="1"/>
  <c r="G31" i="21"/>
  <c r="L31" i="21" s="1"/>
  <c r="I30" i="21"/>
  <c r="M30" i="21" s="1"/>
  <c r="H30" i="21"/>
  <c r="J30" i="21" s="1"/>
  <c r="K30" i="21" s="1"/>
  <c r="G30" i="21"/>
  <c r="L30" i="21" s="1"/>
  <c r="I29" i="21"/>
  <c r="M29" i="21" s="1"/>
  <c r="H29" i="21"/>
  <c r="J29" i="21" s="1"/>
  <c r="K29" i="21" s="1"/>
  <c r="G29" i="21"/>
  <c r="L29" i="21" s="1"/>
  <c r="I28" i="21"/>
  <c r="M28" i="21" s="1"/>
  <c r="H28" i="21"/>
  <c r="J28" i="21" s="1"/>
  <c r="K28" i="21" s="1"/>
  <c r="G28" i="21"/>
  <c r="L28" i="21" s="1"/>
  <c r="I27" i="21"/>
  <c r="M27" i="21" s="1"/>
  <c r="H27" i="21"/>
  <c r="J27" i="21" s="1"/>
  <c r="K27" i="21" s="1"/>
  <c r="G27" i="21"/>
  <c r="L27" i="21" s="1"/>
  <c r="I26" i="21"/>
  <c r="M26" i="21" s="1"/>
  <c r="H26" i="21"/>
  <c r="J26" i="21" s="1"/>
  <c r="K26" i="21" s="1"/>
  <c r="G26" i="21"/>
  <c r="L26" i="21" s="1"/>
  <c r="I25" i="21"/>
  <c r="M25" i="21" s="1"/>
  <c r="H25" i="21"/>
  <c r="J25" i="21" s="1"/>
  <c r="K25" i="21" s="1"/>
  <c r="G25" i="21"/>
  <c r="L25" i="21" s="1"/>
  <c r="I24" i="21"/>
  <c r="M24" i="21" s="1"/>
  <c r="H24" i="21"/>
  <c r="J24" i="21" s="1"/>
  <c r="K24" i="21" s="1"/>
  <c r="G24" i="21"/>
  <c r="L24" i="21" s="1"/>
  <c r="I23" i="21"/>
  <c r="M23" i="21" s="1"/>
  <c r="H23" i="21"/>
  <c r="J23" i="21" s="1"/>
  <c r="K23" i="21" s="1"/>
  <c r="G23" i="21"/>
  <c r="L23" i="21" s="1"/>
  <c r="I22" i="21"/>
  <c r="M22" i="21" s="1"/>
  <c r="H22" i="21"/>
  <c r="J22" i="21" s="1"/>
  <c r="K22" i="21" s="1"/>
  <c r="G22" i="21"/>
  <c r="L22" i="21" s="1"/>
  <c r="I21" i="21"/>
  <c r="M21" i="21" s="1"/>
  <c r="H21" i="21"/>
  <c r="J21" i="21" s="1"/>
  <c r="K21" i="21" s="1"/>
  <c r="G21" i="21"/>
  <c r="L21" i="21" s="1"/>
  <c r="I20" i="21"/>
  <c r="M20" i="21" s="1"/>
  <c r="H20" i="21"/>
  <c r="J20" i="21" s="1"/>
  <c r="K20" i="21" s="1"/>
  <c r="G20" i="21"/>
  <c r="L20" i="21" s="1"/>
  <c r="I19" i="21"/>
  <c r="M19" i="21" s="1"/>
  <c r="H19" i="21"/>
  <c r="J19" i="21" s="1"/>
  <c r="K19" i="21" s="1"/>
  <c r="G19" i="21"/>
  <c r="L19" i="21" s="1"/>
  <c r="I18" i="21"/>
  <c r="M18" i="21" s="1"/>
  <c r="H18" i="21"/>
  <c r="J18" i="21" s="1"/>
  <c r="K18" i="21" s="1"/>
  <c r="G18" i="21"/>
  <c r="L18" i="21" s="1"/>
  <c r="I17" i="21"/>
  <c r="M17" i="21" s="1"/>
  <c r="H17" i="21"/>
  <c r="J17" i="21" s="1"/>
  <c r="K17" i="21" s="1"/>
  <c r="G17" i="21"/>
  <c r="L17" i="21" s="1"/>
  <c r="I16" i="21"/>
  <c r="M16" i="21" s="1"/>
  <c r="H16" i="21"/>
  <c r="J16" i="21" s="1"/>
  <c r="K16" i="21" s="1"/>
  <c r="G16" i="21"/>
  <c r="L16" i="21" s="1"/>
  <c r="I15" i="21"/>
  <c r="M15" i="21" s="1"/>
  <c r="H15" i="21"/>
  <c r="J15" i="21" s="1"/>
  <c r="K15" i="21" s="1"/>
  <c r="G15" i="21"/>
  <c r="L15" i="21" s="1"/>
  <c r="I14" i="21"/>
  <c r="M14" i="21" s="1"/>
  <c r="H14" i="21"/>
  <c r="J14" i="21" s="1"/>
  <c r="K14" i="21" s="1"/>
  <c r="G14" i="21"/>
  <c r="L14" i="21" s="1"/>
  <c r="I13" i="21"/>
  <c r="M13" i="21" s="1"/>
  <c r="H13" i="21"/>
  <c r="J13" i="21" s="1"/>
  <c r="K13" i="21" s="1"/>
  <c r="G13" i="21"/>
  <c r="L13" i="21" s="1"/>
  <c r="I12" i="21"/>
  <c r="M12" i="21" s="1"/>
  <c r="H12" i="21"/>
  <c r="J12" i="21" s="1"/>
  <c r="K12" i="21" s="1"/>
  <c r="G12" i="21"/>
  <c r="L12" i="21" s="1"/>
  <c r="I11" i="21"/>
  <c r="M11" i="21" s="1"/>
  <c r="H11" i="21"/>
  <c r="J11" i="21" s="1"/>
  <c r="K11" i="21" s="1"/>
  <c r="G11" i="21"/>
  <c r="L11" i="21" s="1"/>
  <c r="I10" i="21"/>
  <c r="M10" i="21" s="1"/>
  <c r="H10" i="21"/>
  <c r="J10" i="21" s="1"/>
  <c r="K10" i="21" s="1"/>
  <c r="G10" i="21"/>
  <c r="L10" i="21" s="1"/>
  <c r="I9" i="21"/>
  <c r="M9" i="21" s="1"/>
  <c r="H9" i="21"/>
  <c r="J9" i="21" s="1"/>
  <c r="K9" i="21" s="1"/>
  <c r="G9" i="21"/>
  <c r="L9" i="21" s="1"/>
  <c r="I8" i="21"/>
  <c r="M8" i="21" s="1"/>
  <c r="H8" i="21"/>
  <c r="J8" i="21" s="1"/>
  <c r="K8" i="21" s="1"/>
  <c r="G8" i="21"/>
  <c r="L8" i="21" s="1"/>
  <c r="I7" i="21"/>
  <c r="M7" i="21" s="1"/>
  <c r="H7" i="21"/>
  <c r="J7" i="21" s="1"/>
  <c r="K7" i="21" s="1"/>
  <c r="G7" i="21"/>
  <c r="I73" i="20"/>
  <c r="M73" i="20" s="1"/>
  <c r="H73" i="20"/>
  <c r="J73" i="20" s="1"/>
  <c r="K73" i="20" s="1"/>
  <c r="G73" i="20"/>
  <c r="I72" i="20"/>
  <c r="M72" i="20" s="1"/>
  <c r="H72" i="20"/>
  <c r="J72" i="20" s="1"/>
  <c r="K72" i="20" s="1"/>
  <c r="G72" i="20"/>
  <c r="I71" i="20"/>
  <c r="M71" i="20" s="1"/>
  <c r="H71" i="20"/>
  <c r="J71" i="20" s="1"/>
  <c r="K71" i="20" s="1"/>
  <c r="G71" i="20"/>
  <c r="I70" i="20"/>
  <c r="M70" i="20" s="1"/>
  <c r="H70" i="20"/>
  <c r="J70" i="20" s="1"/>
  <c r="K70" i="20" s="1"/>
  <c r="G70" i="20"/>
  <c r="I69" i="20"/>
  <c r="M69" i="20" s="1"/>
  <c r="H69" i="20"/>
  <c r="J69" i="20" s="1"/>
  <c r="K69" i="20" s="1"/>
  <c r="G69" i="20"/>
  <c r="I68" i="20"/>
  <c r="M68" i="20" s="1"/>
  <c r="H68" i="20"/>
  <c r="J68" i="20" s="1"/>
  <c r="K68" i="20" s="1"/>
  <c r="G68" i="20"/>
  <c r="I67" i="20"/>
  <c r="M67" i="20" s="1"/>
  <c r="H67" i="20"/>
  <c r="J67" i="20" s="1"/>
  <c r="K67" i="20" s="1"/>
  <c r="G67" i="20"/>
  <c r="I66" i="20"/>
  <c r="M66" i="20" s="1"/>
  <c r="H66" i="20"/>
  <c r="J66" i="20" s="1"/>
  <c r="K66" i="20" s="1"/>
  <c r="G66" i="20"/>
  <c r="I65" i="20"/>
  <c r="M65" i="20" s="1"/>
  <c r="H65" i="20"/>
  <c r="J65" i="20" s="1"/>
  <c r="K65" i="20" s="1"/>
  <c r="G65" i="20"/>
  <c r="I64" i="20"/>
  <c r="M64" i="20" s="1"/>
  <c r="H64" i="20"/>
  <c r="J64" i="20" s="1"/>
  <c r="K64" i="20" s="1"/>
  <c r="G64" i="20"/>
  <c r="I63" i="20"/>
  <c r="M63" i="20" s="1"/>
  <c r="H63" i="20"/>
  <c r="J63" i="20" s="1"/>
  <c r="K63" i="20" s="1"/>
  <c r="G63" i="20"/>
  <c r="L63" i="20" s="1"/>
  <c r="I62" i="20"/>
  <c r="M62" i="20" s="1"/>
  <c r="H62" i="20"/>
  <c r="J62" i="20" s="1"/>
  <c r="K62" i="20" s="1"/>
  <c r="G62" i="20"/>
  <c r="L62" i="20" s="1"/>
  <c r="I61" i="20"/>
  <c r="M61" i="20" s="1"/>
  <c r="H61" i="20"/>
  <c r="J61" i="20" s="1"/>
  <c r="K61" i="20" s="1"/>
  <c r="G61" i="20"/>
  <c r="I60" i="20"/>
  <c r="M60" i="20" s="1"/>
  <c r="H60" i="20"/>
  <c r="J60" i="20" s="1"/>
  <c r="K60" i="20" s="1"/>
  <c r="G60" i="20"/>
  <c r="I59" i="20"/>
  <c r="M59" i="20" s="1"/>
  <c r="H59" i="20"/>
  <c r="J59" i="20" s="1"/>
  <c r="K59" i="20" s="1"/>
  <c r="G59" i="20"/>
  <c r="L59" i="20" s="1"/>
  <c r="I58" i="20"/>
  <c r="M58" i="20" s="1"/>
  <c r="H58" i="20"/>
  <c r="J58" i="20" s="1"/>
  <c r="K58" i="20" s="1"/>
  <c r="G58" i="20"/>
  <c r="I57" i="20"/>
  <c r="M57" i="20" s="1"/>
  <c r="H57" i="20"/>
  <c r="J57" i="20" s="1"/>
  <c r="K57" i="20" s="1"/>
  <c r="G57" i="20"/>
  <c r="L57" i="20" s="1"/>
  <c r="I56" i="20"/>
  <c r="M56" i="20" s="1"/>
  <c r="H56" i="20"/>
  <c r="J56" i="20" s="1"/>
  <c r="K56" i="20" s="1"/>
  <c r="G56" i="20"/>
  <c r="I55" i="20"/>
  <c r="M55" i="20" s="1"/>
  <c r="H55" i="20"/>
  <c r="J55" i="20" s="1"/>
  <c r="K55" i="20" s="1"/>
  <c r="G55" i="20"/>
  <c r="I54" i="20"/>
  <c r="M54" i="20" s="1"/>
  <c r="H54" i="20"/>
  <c r="J54" i="20" s="1"/>
  <c r="K54" i="20" s="1"/>
  <c r="G54" i="20"/>
  <c r="I53" i="20"/>
  <c r="M53" i="20" s="1"/>
  <c r="H53" i="20"/>
  <c r="J53" i="20" s="1"/>
  <c r="K53" i="20" s="1"/>
  <c r="G53" i="20"/>
  <c r="I52" i="20"/>
  <c r="M52" i="20" s="1"/>
  <c r="H52" i="20"/>
  <c r="J52" i="20" s="1"/>
  <c r="K52" i="20" s="1"/>
  <c r="G52" i="20"/>
  <c r="I51" i="20"/>
  <c r="M51" i="20" s="1"/>
  <c r="H51" i="20"/>
  <c r="J51" i="20" s="1"/>
  <c r="K51" i="20" s="1"/>
  <c r="G51" i="20"/>
  <c r="I50" i="20"/>
  <c r="M50" i="20" s="1"/>
  <c r="H50" i="20"/>
  <c r="J50" i="20" s="1"/>
  <c r="K50" i="20" s="1"/>
  <c r="G50" i="20"/>
  <c r="I49" i="20"/>
  <c r="M49" i="20" s="1"/>
  <c r="H49" i="20"/>
  <c r="J49" i="20" s="1"/>
  <c r="K49" i="20" s="1"/>
  <c r="G49" i="20"/>
  <c r="I48" i="20"/>
  <c r="M48" i="20" s="1"/>
  <c r="H48" i="20"/>
  <c r="J48" i="20" s="1"/>
  <c r="K48" i="20" s="1"/>
  <c r="G48" i="20"/>
  <c r="I47" i="20"/>
  <c r="M47" i="20" s="1"/>
  <c r="H47" i="20"/>
  <c r="J47" i="20" s="1"/>
  <c r="K47" i="20" s="1"/>
  <c r="G47" i="20"/>
  <c r="I46" i="20"/>
  <c r="M46" i="20" s="1"/>
  <c r="H46" i="20"/>
  <c r="J46" i="20" s="1"/>
  <c r="K46" i="20" s="1"/>
  <c r="G46" i="20"/>
  <c r="I45" i="20"/>
  <c r="M45" i="20" s="1"/>
  <c r="H45" i="20"/>
  <c r="J45" i="20" s="1"/>
  <c r="K45" i="20" s="1"/>
  <c r="G45" i="20"/>
  <c r="I44" i="20"/>
  <c r="M44" i="20" s="1"/>
  <c r="H44" i="20"/>
  <c r="J44" i="20" s="1"/>
  <c r="K44" i="20" s="1"/>
  <c r="G44" i="20"/>
  <c r="I43" i="20"/>
  <c r="M43" i="20" s="1"/>
  <c r="H43" i="20"/>
  <c r="J43" i="20" s="1"/>
  <c r="K43" i="20" s="1"/>
  <c r="G43" i="20"/>
  <c r="I42" i="20"/>
  <c r="M42" i="20" s="1"/>
  <c r="H42" i="20"/>
  <c r="J42" i="20" s="1"/>
  <c r="K42" i="20" s="1"/>
  <c r="G42" i="20"/>
  <c r="I41" i="20"/>
  <c r="M41" i="20" s="1"/>
  <c r="H41" i="20"/>
  <c r="J41" i="20" s="1"/>
  <c r="K41" i="20" s="1"/>
  <c r="G41" i="20"/>
  <c r="M40" i="20"/>
  <c r="J40" i="20"/>
  <c r="K40" i="20" s="1"/>
  <c r="L40" i="20" s="1"/>
  <c r="I40" i="20"/>
  <c r="H40" i="20"/>
  <c r="G40" i="20"/>
  <c r="I39" i="20"/>
  <c r="M39" i="20" s="1"/>
  <c r="H39" i="20"/>
  <c r="J39" i="20" s="1"/>
  <c r="K39" i="20" s="1"/>
  <c r="G39" i="20"/>
  <c r="I38" i="20"/>
  <c r="M38" i="20" s="1"/>
  <c r="H38" i="20"/>
  <c r="J38" i="20" s="1"/>
  <c r="K38" i="20" s="1"/>
  <c r="G38" i="20"/>
  <c r="I37" i="20"/>
  <c r="M37" i="20" s="1"/>
  <c r="H37" i="20"/>
  <c r="J37" i="20" s="1"/>
  <c r="K37" i="20" s="1"/>
  <c r="G37" i="20"/>
  <c r="I36" i="20"/>
  <c r="M36" i="20" s="1"/>
  <c r="H36" i="20"/>
  <c r="J36" i="20" s="1"/>
  <c r="K36" i="20" s="1"/>
  <c r="G36" i="20"/>
  <c r="I35" i="20"/>
  <c r="M35" i="20" s="1"/>
  <c r="H35" i="20"/>
  <c r="J35" i="20" s="1"/>
  <c r="K35" i="20" s="1"/>
  <c r="G35" i="20"/>
  <c r="I34" i="20"/>
  <c r="M34" i="20" s="1"/>
  <c r="H34" i="20"/>
  <c r="J34" i="20" s="1"/>
  <c r="K34" i="20" s="1"/>
  <c r="G34" i="20"/>
  <c r="I33" i="20"/>
  <c r="M33" i="20" s="1"/>
  <c r="H33" i="20"/>
  <c r="J33" i="20" s="1"/>
  <c r="K33" i="20" s="1"/>
  <c r="G33" i="20"/>
  <c r="I32" i="20"/>
  <c r="M32" i="20" s="1"/>
  <c r="H32" i="20"/>
  <c r="J32" i="20" s="1"/>
  <c r="K32" i="20" s="1"/>
  <c r="G32" i="20"/>
  <c r="L32" i="20" s="1"/>
  <c r="I31" i="20"/>
  <c r="M31" i="20" s="1"/>
  <c r="H31" i="20"/>
  <c r="J31" i="20" s="1"/>
  <c r="K31" i="20" s="1"/>
  <c r="G31" i="20"/>
  <c r="I30" i="20"/>
  <c r="M30" i="20" s="1"/>
  <c r="H30" i="20"/>
  <c r="J30" i="20" s="1"/>
  <c r="K30" i="20" s="1"/>
  <c r="G30" i="20"/>
  <c r="I29" i="20"/>
  <c r="M29" i="20" s="1"/>
  <c r="H29" i="20"/>
  <c r="J29" i="20" s="1"/>
  <c r="K29" i="20" s="1"/>
  <c r="G29" i="20"/>
  <c r="I28" i="20"/>
  <c r="M28" i="20" s="1"/>
  <c r="H28" i="20"/>
  <c r="J28" i="20" s="1"/>
  <c r="K28" i="20" s="1"/>
  <c r="G28" i="20"/>
  <c r="I27" i="20"/>
  <c r="M27" i="20" s="1"/>
  <c r="H27" i="20"/>
  <c r="J27" i="20" s="1"/>
  <c r="K27" i="20" s="1"/>
  <c r="G27" i="20"/>
  <c r="I26" i="20"/>
  <c r="M26" i="20" s="1"/>
  <c r="H26" i="20"/>
  <c r="J26" i="20" s="1"/>
  <c r="K26" i="20" s="1"/>
  <c r="G26" i="20"/>
  <c r="I25" i="20"/>
  <c r="M25" i="20" s="1"/>
  <c r="H25" i="20"/>
  <c r="J25" i="20" s="1"/>
  <c r="K25" i="20" s="1"/>
  <c r="G25" i="20"/>
  <c r="I24" i="20"/>
  <c r="M24" i="20" s="1"/>
  <c r="H24" i="20"/>
  <c r="J24" i="20" s="1"/>
  <c r="K24" i="20" s="1"/>
  <c r="G24" i="20"/>
  <c r="I23" i="20"/>
  <c r="M23" i="20" s="1"/>
  <c r="H23" i="20"/>
  <c r="J23" i="20" s="1"/>
  <c r="K23" i="20" s="1"/>
  <c r="G23" i="20"/>
  <c r="I22" i="20"/>
  <c r="M22" i="20" s="1"/>
  <c r="H22" i="20"/>
  <c r="J22" i="20" s="1"/>
  <c r="K22" i="20" s="1"/>
  <c r="G22" i="20"/>
  <c r="I21" i="20"/>
  <c r="M21" i="20" s="1"/>
  <c r="H21" i="20"/>
  <c r="J21" i="20" s="1"/>
  <c r="K21" i="20" s="1"/>
  <c r="G21" i="20"/>
  <c r="I20" i="20"/>
  <c r="M20" i="20" s="1"/>
  <c r="H20" i="20"/>
  <c r="J20" i="20" s="1"/>
  <c r="K20" i="20" s="1"/>
  <c r="G20" i="20"/>
  <c r="I19" i="20"/>
  <c r="M19" i="20" s="1"/>
  <c r="H19" i="20"/>
  <c r="J19" i="20" s="1"/>
  <c r="K19" i="20" s="1"/>
  <c r="G19" i="20"/>
  <c r="I18" i="20"/>
  <c r="M18" i="20" s="1"/>
  <c r="H18" i="20"/>
  <c r="J18" i="20" s="1"/>
  <c r="K18" i="20" s="1"/>
  <c r="G18" i="20"/>
  <c r="I17" i="20"/>
  <c r="M17" i="20" s="1"/>
  <c r="H17" i="20"/>
  <c r="J17" i="20" s="1"/>
  <c r="K17" i="20" s="1"/>
  <c r="G17" i="20"/>
  <c r="I16" i="20"/>
  <c r="M16" i="20" s="1"/>
  <c r="H16" i="20"/>
  <c r="J16" i="20" s="1"/>
  <c r="K16" i="20" s="1"/>
  <c r="G16" i="20"/>
  <c r="I15" i="20"/>
  <c r="M15" i="20" s="1"/>
  <c r="H15" i="20"/>
  <c r="J15" i="20" s="1"/>
  <c r="K15" i="20" s="1"/>
  <c r="G15" i="20"/>
  <c r="I14" i="20"/>
  <c r="M14" i="20" s="1"/>
  <c r="H14" i="20"/>
  <c r="J14" i="20" s="1"/>
  <c r="K14" i="20" s="1"/>
  <c r="G14" i="20"/>
  <c r="I13" i="20"/>
  <c r="M13" i="20" s="1"/>
  <c r="H13" i="20"/>
  <c r="J13" i="20" s="1"/>
  <c r="K13" i="20" s="1"/>
  <c r="G13" i="20"/>
  <c r="I12" i="20"/>
  <c r="M12" i="20" s="1"/>
  <c r="H12" i="20"/>
  <c r="J12" i="20" s="1"/>
  <c r="K12" i="20" s="1"/>
  <c r="G12" i="20"/>
  <c r="I11" i="20"/>
  <c r="M11" i="20" s="1"/>
  <c r="H11" i="20"/>
  <c r="J11" i="20" s="1"/>
  <c r="K11" i="20" s="1"/>
  <c r="G11" i="20"/>
  <c r="I10" i="20"/>
  <c r="M10" i="20" s="1"/>
  <c r="H10" i="20"/>
  <c r="J10" i="20" s="1"/>
  <c r="K10" i="20" s="1"/>
  <c r="G10" i="20"/>
  <c r="I9" i="20"/>
  <c r="M9" i="20" s="1"/>
  <c r="H9" i="20"/>
  <c r="J9" i="20" s="1"/>
  <c r="K9" i="20" s="1"/>
  <c r="G9" i="20"/>
  <c r="I8" i="20"/>
  <c r="M8" i="20" s="1"/>
  <c r="H8" i="20"/>
  <c r="J8" i="20" s="1"/>
  <c r="K8" i="20" s="1"/>
  <c r="G8" i="20"/>
  <c r="I7" i="20"/>
  <c r="M7" i="20" s="1"/>
  <c r="H7" i="20"/>
  <c r="J7" i="20" s="1"/>
  <c r="K7" i="20" s="1"/>
  <c r="G7" i="20"/>
  <c r="I70" i="19"/>
  <c r="M70" i="19" s="1"/>
  <c r="H70" i="19"/>
  <c r="J70" i="19" s="1"/>
  <c r="K70" i="19" s="1"/>
  <c r="G70" i="19"/>
  <c r="L70" i="19" s="1"/>
  <c r="I69" i="19"/>
  <c r="M69" i="19" s="1"/>
  <c r="H69" i="19"/>
  <c r="J69" i="19" s="1"/>
  <c r="K69" i="19" s="1"/>
  <c r="G69" i="19"/>
  <c r="I68" i="19"/>
  <c r="M68" i="19" s="1"/>
  <c r="H68" i="19"/>
  <c r="J68" i="19" s="1"/>
  <c r="K68" i="19" s="1"/>
  <c r="G68" i="19"/>
  <c r="I67" i="19"/>
  <c r="M67" i="19" s="1"/>
  <c r="H67" i="19"/>
  <c r="J67" i="19" s="1"/>
  <c r="K67" i="19" s="1"/>
  <c r="G67" i="19"/>
  <c r="I66" i="19"/>
  <c r="M66" i="19" s="1"/>
  <c r="H66" i="19"/>
  <c r="J66" i="19" s="1"/>
  <c r="K66" i="19" s="1"/>
  <c r="G66" i="19"/>
  <c r="I65" i="19"/>
  <c r="M65" i="19" s="1"/>
  <c r="H65" i="19"/>
  <c r="J65" i="19" s="1"/>
  <c r="K65" i="19" s="1"/>
  <c r="G65" i="19"/>
  <c r="I64" i="19"/>
  <c r="M64" i="19" s="1"/>
  <c r="H64" i="19"/>
  <c r="J64" i="19" s="1"/>
  <c r="K64" i="19" s="1"/>
  <c r="G64" i="19"/>
  <c r="I63" i="19"/>
  <c r="M63" i="19" s="1"/>
  <c r="H63" i="19"/>
  <c r="J63" i="19" s="1"/>
  <c r="K63" i="19" s="1"/>
  <c r="G63" i="19"/>
  <c r="I62" i="19"/>
  <c r="M62" i="19" s="1"/>
  <c r="H62" i="19"/>
  <c r="J62" i="19" s="1"/>
  <c r="K62" i="19" s="1"/>
  <c r="G62" i="19"/>
  <c r="I61" i="19"/>
  <c r="M61" i="19" s="1"/>
  <c r="H61" i="19"/>
  <c r="J61" i="19" s="1"/>
  <c r="K61" i="19" s="1"/>
  <c r="G61" i="19"/>
  <c r="I60" i="19"/>
  <c r="M60" i="19" s="1"/>
  <c r="H60" i="19"/>
  <c r="J60" i="19" s="1"/>
  <c r="K60" i="19" s="1"/>
  <c r="G60" i="19"/>
  <c r="I59" i="19"/>
  <c r="M59" i="19" s="1"/>
  <c r="H59" i="19"/>
  <c r="J59" i="19" s="1"/>
  <c r="K59" i="19" s="1"/>
  <c r="G59" i="19"/>
  <c r="I58" i="19"/>
  <c r="M58" i="19" s="1"/>
  <c r="H58" i="19"/>
  <c r="J58" i="19" s="1"/>
  <c r="K58" i="19" s="1"/>
  <c r="G58" i="19"/>
  <c r="I57" i="19"/>
  <c r="M57" i="19" s="1"/>
  <c r="H57" i="19"/>
  <c r="J57" i="19" s="1"/>
  <c r="K57" i="19" s="1"/>
  <c r="G57" i="19"/>
  <c r="L57" i="19" s="1"/>
  <c r="I56" i="19"/>
  <c r="M56" i="19" s="1"/>
  <c r="H56" i="19"/>
  <c r="J56" i="19" s="1"/>
  <c r="K56" i="19" s="1"/>
  <c r="G56" i="19"/>
  <c r="I55" i="19"/>
  <c r="M55" i="19" s="1"/>
  <c r="H55" i="19"/>
  <c r="J55" i="19" s="1"/>
  <c r="K55" i="19" s="1"/>
  <c r="G55" i="19"/>
  <c r="I54" i="19"/>
  <c r="M54" i="19" s="1"/>
  <c r="H54" i="19"/>
  <c r="J54" i="19" s="1"/>
  <c r="K54" i="19" s="1"/>
  <c r="G54" i="19"/>
  <c r="I53" i="19"/>
  <c r="M53" i="19" s="1"/>
  <c r="H53" i="19"/>
  <c r="J53" i="19" s="1"/>
  <c r="K53" i="19" s="1"/>
  <c r="G53" i="19"/>
  <c r="I52" i="19"/>
  <c r="M52" i="19" s="1"/>
  <c r="H52" i="19"/>
  <c r="J52" i="19" s="1"/>
  <c r="K52" i="19" s="1"/>
  <c r="G52" i="19"/>
  <c r="I51" i="19"/>
  <c r="M51" i="19" s="1"/>
  <c r="H51" i="19"/>
  <c r="J51" i="19" s="1"/>
  <c r="K51" i="19" s="1"/>
  <c r="G51" i="19"/>
  <c r="I50" i="19"/>
  <c r="M50" i="19" s="1"/>
  <c r="H50" i="19"/>
  <c r="J50" i="19" s="1"/>
  <c r="K50" i="19" s="1"/>
  <c r="G50" i="19"/>
  <c r="I49" i="19"/>
  <c r="M49" i="19" s="1"/>
  <c r="H49" i="19"/>
  <c r="J49" i="19" s="1"/>
  <c r="K49" i="19" s="1"/>
  <c r="G49" i="19"/>
  <c r="I48" i="19"/>
  <c r="M48" i="19" s="1"/>
  <c r="H48" i="19"/>
  <c r="J48" i="19" s="1"/>
  <c r="K48" i="19" s="1"/>
  <c r="G48" i="19"/>
  <c r="I47" i="19"/>
  <c r="M47" i="19" s="1"/>
  <c r="H47" i="19"/>
  <c r="J47" i="19" s="1"/>
  <c r="K47" i="19" s="1"/>
  <c r="G47" i="19"/>
  <c r="I46" i="19"/>
  <c r="M46" i="19" s="1"/>
  <c r="H46" i="19"/>
  <c r="J46" i="19" s="1"/>
  <c r="K46" i="19" s="1"/>
  <c r="G46" i="19"/>
  <c r="L46" i="19" s="1"/>
  <c r="I45" i="19"/>
  <c r="M45" i="19" s="1"/>
  <c r="H45" i="19"/>
  <c r="J45" i="19" s="1"/>
  <c r="K45" i="19" s="1"/>
  <c r="G45" i="19"/>
  <c r="L45" i="19" s="1"/>
  <c r="I44" i="19"/>
  <c r="M44" i="19" s="1"/>
  <c r="H44" i="19"/>
  <c r="J44" i="19" s="1"/>
  <c r="K44" i="19" s="1"/>
  <c r="G44" i="19"/>
  <c r="I43" i="19"/>
  <c r="M43" i="19" s="1"/>
  <c r="H43" i="19"/>
  <c r="J43" i="19" s="1"/>
  <c r="K43" i="19" s="1"/>
  <c r="G43" i="19"/>
  <c r="I42" i="19"/>
  <c r="M42" i="19" s="1"/>
  <c r="H42" i="19"/>
  <c r="J42" i="19" s="1"/>
  <c r="K42" i="19" s="1"/>
  <c r="G42" i="19"/>
  <c r="I41" i="19"/>
  <c r="M41" i="19" s="1"/>
  <c r="H41" i="19"/>
  <c r="J41" i="19" s="1"/>
  <c r="K41" i="19" s="1"/>
  <c r="G41" i="19"/>
  <c r="I40" i="19"/>
  <c r="M40" i="19" s="1"/>
  <c r="H40" i="19"/>
  <c r="J40" i="19" s="1"/>
  <c r="K40" i="19" s="1"/>
  <c r="G40" i="19"/>
  <c r="I39" i="19"/>
  <c r="M39" i="19" s="1"/>
  <c r="H39" i="19"/>
  <c r="J39" i="19" s="1"/>
  <c r="K39" i="19" s="1"/>
  <c r="G39" i="19"/>
  <c r="I38" i="19"/>
  <c r="M38" i="19" s="1"/>
  <c r="H38" i="19"/>
  <c r="J38" i="19" s="1"/>
  <c r="K38" i="19" s="1"/>
  <c r="G38" i="19"/>
  <c r="I37" i="19"/>
  <c r="M37" i="19" s="1"/>
  <c r="H37" i="19"/>
  <c r="J37" i="19" s="1"/>
  <c r="K37" i="19" s="1"/>
  <c r="G37" i="19"/>
  <c r="I36" i="19"/>
  <c r="M36" i="19" s="1"/>
  <c r="H36" i="19"/>
  <c r="J36" i="19" s="1"/>
  <c r="K36" i="19" s="1"/>
  <c r="G36" i="19"/>
  <c r="I35" i="19"/>
  <c r="M35" i="19" s="1"/>
  <c r="H35" i="19"/>
  <c r="J35" i="19" s="1"/>
  <c r="K35" i="19" s="1"/>
  <c r="G35" i="19"/>
  <c r="L35" i="19" s="1"/>
  <c r="I34" i="19"/>
  <c r="M34" i="19" s="1"/>
  <c r="H34" i="19"/>
  <c r="J34" i="19" s="1"/>
  <c r="K34" i="19" s="1"/>
  <c r="G34" i="19"/>
  <c r="L34" i="19" s="1"/>
  <c r="I33" i="19"/>
  <c r="M33" i="19" s="1"/>
  <c r="H33" i="19"/>
  <c r="J33" i="19" s="1"/>
  <c r="K33" i="19" s="1"/>
  <c r="G33" i="19"/>
  <c r="I32" i="19"/>
  <c r="M32" i="19" s="1"/>
  <c r="H32" i="19"/>
  <c r="J32" i="19" s="1"/>
  <c r="K32" i="19" s="1"/>
  <c r="G32" i="19"/>
  <c r="I31" i="19"/>
  <c r="M31" i="19" s="1"/>
  <c r="H31" i="19"/>
  <c r="J31" i="19" s="1"/>
  <c r="K31" i="19" s="1"/>
  <c r="G31" i="19"/>
  <c r="I30" i="19"/>
  <c r="M30" i="19" s="1"/>
  <c r="H30" i="19"/>
  <c r="J30" i="19" s="1"/>
  <c r="K30" i="19" s="1"/>
  <c r="G30" i="19"/>
  <c r="I29" i="19"/>
  <c r="M29" i="19" s="1"/>
  <c r="H29" i="19"/>
  <c r="J29" i="19" s="1"/>
  <c r="K29" i="19" s="1"/>
  <c r="G29" i="19"/>
  <c r="I28" i="19"/>
  <c r="M28" i="19" s="1"/>
  <c r="H28" i="19"/>
  <c r="J28" i="19" s="1"/>
  <c r="K28" i="19" s="1"/>
  <c r="G28" i="19"/>
  <c r="L28" i="19" s="1"/>
  <c r="I27" i="19"/>
  <c r="M27" i="19" s="1"/>
  <c r="H27" i="19"/>
  <c r="J27" i="19" s="1"/>
  <c r="K27" i="19" s="1"/>
  <c r="G27" i="19"/>
  <c r="I26" i="19"/>
  <c r="M26" i="19" s="1"/>
  <c r="H26" i="19"/>
  <c r="J26" i="19" s="1"/>
  <c r="K26" i="19" s="1"/>
  <c r="G26" i="19"/>
  <c r="I25" i="19"/>
  <c r="M25" i="19" s="1"/>
  <c r="H25" i="19"/>
  <c r="J25" i="19" s="1"/>
  <c r="K25" i="19" s="1"/>
  <c r="G25" i="19"/>
  <c r="I24" i="19"/>
  <c r="M24" i="19" s="1"/>
  <c r="H24" i="19"/>
  <c r="J24" i="19" s="1"/>
  <c r="K24" i="19" s="1"/>
  <c r="G24" i="19"/>
  <c r="I23" i="19"/>
  <c r="M23" i="19" s="1"/>
  <c r="H23" i="19"/>
  <c r="J23" i="19" s="1"/>
  <c r="K23" i="19" s="1"/>
  <c r="G23" i="19"/>
  <c r="I22" i="19"/>
  <c r="M22" i="19" s="1"/>
  <c r="H22" i="19"/>
  <c r="J22" i="19" s="1"/>
  <c r="K22" i="19" s="1"/>
  <c r="G22" i="19"/>
  <c r="I21" i="19"/>
  <c r="M21" i="19" s="1"/>
  <c r="H21" i="19"/>
  <c r="J21" i="19" s="1"/>
  <c r="K21" i="19" s="1"/>
  <c r="G21" i="19"/>
  <c r="I20" i="19"/>
  <c r="M20" i="19" s="1"/>
  <c r="H20" i="19"/>
  <c r="J20" i="19" s="1"/>
  <c r="K20" i="19" s="1"/>
  <c r="G20" i="19"/>
  <c r="I19" i="19"/>
  <c r="M19" i="19" s="1"/>
  <c r="H19" i="19"/>
  <c r="J19" i="19" s="1"/>
  <c r="K19" i="19" s="1"/>
  <c r="G19" i="19"/>
  <c r="I18" i="19"/>
  <c r="M18" i="19" s="1"/>
  <c r="H18" i="19"/>
  <c r="J18" i="19" s="1"/>
  <c r="K18" i="19" s="1"/>
  <c r="G18" i="19"/>
  <c r="I17" i="19"/>
  <c r="M17" i="19" s="1"/>
  <c r="H17" i="19"/>
  <c r="J17" i="19" s="1"/>
  <c r="K17" i="19" s="1"/>
  <c r="G17" i="19"/>
  <c r="L17" i="19" s="1"/>
  <c r="I16" i="19"/>
  <c r="M16" i="19" s="1"/>
  <c r="H16" i="19"/>
  <c r="J16" i="19" s="1"/>
  <c r="K16" i="19" s="1"/>
  <c r="G16" i="19"/>
  <c r="L16" i="19" s="1"/>
  <c r="I15" i="19"/>
  <c r="M15" i="19" s="1"/>
  <c r="H15" i="19"/>
  <c r="J15" i="19" s="1"/>
  <c r="K15" i="19" s="1"/>
  <c r="G15" i="19"/>
  <c r="I14" i="19"/>
  <c r="M14" i="19" s="1"/>
  <c r="H14" i="19"/>
  <c r="J14" i="19" s="1"/>
  <c r="K14" i="19" s="1"/>
  <c r="G14" i="19"/>
  <c r="I13" i="19"/>
  <c r="M13" i="19" s="1"/>
  <c r="H13" i="19"/>
  <c r="J13" i="19" s="1"/>
  <c r="K13" i="19" s="1"/>
  <c r="G13" i="19"/>
  <c r="I12" i="19"/>
  <c r="M12" i="19" s="1"/>
  <c r="H12" i="19"/>
  <c r="J12" i="19" s="1"/>
  <c r="K12" i="19" s="1"/>
  <c r="G12" i="19"/>
  <c r="I11" i="19"/>
  <c r="M11" i="19" s="1"/>
  <c r="H11" i="19"/>
  <c r="J11" i="19" s="1"/>
  <c r="K11" i="19" s="1"/>
  <c r="G11" i="19"/>
  <c r="I10" i="19"/>
  <c r="M10" i="19" s="1"/>
  <c r="H10" i="19"/>
  <c r="J10" i="19" s="1"/>
  <c r="K10" i="19" s="1"/>
  <c r="G10" i="19"/>
  <c r="I9" i="19"/>
  <c r="M9" i="19" s="1"/>
  <c r="H9" i="19"/>
  <c r="J9" i="19" s="1"/>
  <c r="K9" i="19" s="1"/>
  <c r="G9" i="19"/>
  <c r="I8" i="19"/>
  <c r="M8" i="19" s="1"/>
  <c r="H8" i="19"/>
  <c r="J8" i="19" s="1"/>
  <c r="K8" i="19" s="1"/>
  <c r="G8" i="19"/>
  <c r="L8" i="19" s="1"/>
  <c r="I7" i="19"/>
  <c r="M7" i="19" s="1"/>
  <c r="H7" i="19"/>
  <c r="J7" i="19" s="1"/>
  <c r="K7" i="19" s="1"/>
  <c r="G7" i="19"/>
  <c r="I93" i="18"/>
  <c r="M93" i="18" s="1"/>
  <c r="H93" i="18"/>
  <c r="J93" i="18" s="1"/>
  <c r="K93" i="18" s="1"/>
  <c r="G93" i="18"/>
  <c r="I92" i="18"/>
  <c r="M92" i="18" s="1"/>
  <c r="H92" i="18"/>
  <c r="J92" i="18" s="1"/>
  <c r="K92" i="18" s="1"/>
  <c r="G92" i="18"/>
  <c r="I91" i="18"/>
  <c r="M91" i="18" s="1"/>
  <c r="H91" i="18"/>
  <c r="J91" i="18" s="1"/>
  <c r="K91" i="18" s="1"/>
  <c r="G91" i="18"/>
  <c r="I90" i="18"/>
  <c r="M90" i="18" s="1"/>
  <c r="H90" i="18"/>
  <c r="J90" i="18" s="1"/>
  <c r="K90" i="18" s="1"/>
  <c r="G90" i="18"/>
  <c r="I89" i="18"/>
  <c r="M89" i="18" s="1"/>
  <c r="H89" i="18"/>
  <c r="J89" i="18" s="1"/>
  <c r="K89" i="18" s="1"/>
  <c r="G89" i="18"/>
  <c r="I88" i="18"/>
  <c r="M88" i="18" s="1"/>
  <c r="H88" i="18"/>
  <c r="J88" i="18" s="1"/>
  <c r="K88" i="18" s="1"/>
  <c r="G88" i="18"/>
  <c r="L88" i="18" s="1"/>
  <c r="I87" i="18"/>
  <c r="M87" i="18" s="1"/>
  <c r="H87" i="18"/>
  <c r="J87" i="18" s="1"/>
  <c r="K87" i="18" s="1"/>
  <c r="G87" i="18"/>
  <c r="I86" i="18"/>
  <c r="M86" i="18" s="1"/>
  <c r="H86" i="18"/>
  <c r="J86" i="18" s="1"/>
  <c r="K86" i="18" s="1"/>
  <c r="G86" i="18"/>
  <c r="I85" i="18"/>
  <c r="M85" i="18" s="1"/>
  <c r="H85" i="18"/>
  <c r="J85" i="18" s="1"/>
  <c r="K85" i="18" s="1"/>
  <c r="G85" i="18"/>
  <c r="L85" i="18" s="1"/>
  <c r="I84" i="18"/>
  <c r="M84" i="18" s="1"/>
  <c r="H84" i="18"/>
  <c r="J84" i="18" s="1"/>
  <c r="K84" i="18" s="1"/>
  <c r="G84" i="18"/>
  <c r="I83" i="18"/>
  <c r="M83" i="18" s="1"/>
  <c r="H83" i="18"/>
  <c r="J83" i="18" s="1"/>
  <c r="K83" i="18" s="1"/>
  <c r="G83" i="18"/>
  <c r="I82" i="18"/>
  <c r="M82" i="18" s="1"/>
  <c r="H82" i="18"/>
  <c r="J82" i="18" s="1"/>
  <c r="K82" i="18" s="1"/>
  <c r="G82" i="18"/>
  <c r="I81" i="18"/>
  <c r="M81" i="18" s="1"/>
  <c r="H81" i="18"/>
  <c r="J81" i="18" s="1"/>
  <c r="K81" i="18" s="1"/>
  <c r="G81" i="18"/>
  <c r="I80" i="18"/>
  <c r="M80" i="18" s="1"/>
  <c r="H80" i="18"/>
  <c r="J80" i="18" s="1"/>
  <c r="K80" i="18" s="1"/>
  <c r="G80" i="18"/>
  <c r="L80" i="18" s="1"/>
  <c r="I79" i="18"/>
  <c r="M79" i="18" s="1"/>
  <c r="H79" i="18"/>
  <c r="J79" i="18" s="1"/>
  <c r="K79" i="18" s="1"/>
  <c r="G79" i="18"/>
  <c r="I78" i="18"/>
  <c r="M78" i="18" s="1"/>
  <c r="H78" i="18"/>
  <c r="J78" i="18" s="1"/>
  <c r="K78" i="18" s="1"/>
  <c r="G78" i="18"/>
  <c r="I77" i="18"/>
  <c r="M77" i="18" s="1"/>
  <c r="H77" i="18"/>
  <c r="J77" i="18" s="1"/>
  <c r="K77" i="18" s="1"/>
  <c r="G77" i="18"/>
  <c r="I76" i="18"/>
  <c r="M76" i="18" s="1"/>
  <c r="H76" i="18"/>
  <c r="J76" i="18" s="1"/>
  <c r="K76" i="18" s="1"/>
  <c r="G76" i="18"/>
  <c r="I75" i="18"/>
  <c r="M75" i="18" s="1"/>
  <c r="H75" i="18"/>
  <c r="J75" i="18" s="1"/>
  <c r="K75" i="18" s="1"/>
  <c r="G75" i="18"/>
  <c r="L75" i="18" s="1"/>
  <c r="I74" i="18"/>
  <c r="M74" i="18" s="1"/>
  <c r="H74" i="18"/>
  <c r="J74" i="18" s="1"/>
  <c r="K74" i="18" s="1"/>
  <c r="G74" i="18"/>
  <c r="L74" i="18" s="1"/>
  <c r="I73" i="18"/>
  <c r="M73" i="18" s="1"/>
  <c r="H73" i="18"/>
  <c r="J73" i="18" s="1"/>
  <c r="K73" i="18" s="1"/>
  <c r="G73" i="18"/>
  <c r="I72" i="18"/>
  <c r="M72" i="18" s="1"/>
  <c r="H72" i="18"/>
  <c r="J72" i="18" s="1"/>
  <c r="K72" i="18" s="1"/>
  <c r="G72" i="18"/>
  <c r="I71" i="18"/>
  <c r="M71" i="18" s="1"/>
  <c r="H71" i="18"/>
  <c r="J71" i="18" s="1"/>
  <c r="K71" i="18" s="1"/>
  <c r="G71" i="18"/>
  <c r="L71" i="18" s="1"/>
  <c r="I70" i="18"/>
  <c r="M70" i="18" s="1"/>
  <c r="H70" i="18"/>
  <c r="J70" i="18" s="1"/>
  <c r="K70" i="18" s="1"/>
  <c r="G70" i="18"/>
  <c r="I69" i="18"/>
  <c r="M69" i="18" s="1"/>
  <c r="H69" i="18"/>
  <c r="J69" i="18" s="1"/>
  <c r="K69" i="18" s="1"/>
  <c r="G69" i="18"/>
  <c r="I68" i="18"/>
  <c r="M68" i="18" s="1"/>
  <c r="H68" i="18"/>
  <c r="J68" i="18" s="1"/>
  <c r="K68" i="18" s="1"/>
  <c r="G68" i="18"/>
  <c r="I67" i="18"/>
  <c r="M67" i="18" s="1"/>
  <c r="H67" i="18"/>
  <c r="J67" i="18" s="1"/>
  <c r="K67" i="18" s="1"/>
  <c r="G67" i="18"/>
  <c r="I66" i="18"/>
  <c r="M66" i="18" s="1"/>
  <c r="H66" i="18"/>
  <c r="J66" i="18" s="1"/>
  <c r="K66" i="18" s="1"/>
  <c r="G66" i="18"/>
  <c r="I65" i="18"/>
  <c r="M65" i="18" s="1"/>
  <c r="H65" i="18"/>
  <c r="J65" i="18" s="1"/>
  <c r="K65" i="18" s="1"/>
  <c r="G65" i="18"/>
  <c r="I64" i="18"/>
  <c r="M64" i="18" s="1"/>
  <c r="H64" i="18"/>
  <c r="J64" i="18" s="1"/>
  <c r="K64" i="18" s="1"/>
  <c r="G64" i="18"/>
  <c r="I63" i="18"/>
  <c r="M63" i="18" s="1"/>
  <c r="H63" i="18"/>
  <c r="J63" i="18" s="1"/>
  <c r="K63" i="18" s="1"/>
  <c r="G63" i="18"/>
  <c r="I62" i="18"/>
  <c r="M62" i="18" s="1"/>
  <c r="H62" i="18"/>
  <c r="J62" i="18" s="1"/>
  <c r="K62" i="18" s="1"/>
  <c r="G62" i="18"/>
  <c r="I61" i="18"/>
  <c r="M61" i="18" s="1"/>
  <c r="H61" i="18"/>
  <c r="J61" i="18" s="1"/>
  <c r="K61" i="18" s="1"/>
  <c r="G61" i="18"/>
  <c r="I60" i="18"/>
  <c r="M60" i="18" s="1"/>
  <c r="H60" i="18"/>
  <c r="J60" i="18" s="1"/>
  <c r="K60" i="18" s="1"/>
  <c r="G60" i="18"/>
  <c r="I59" i="18"/>
  <c r="M59" i="18" s="1"/>
  <c r="H59" i="18"/>
  <c r="J59" i="18" s="1"/>
  <c r="K59" i="18" s="1"/>
  <c r="G59" i="18"/>
  <c r="I58" i="18"/>
  <c r="M58" i="18" s="1"/>
  <c r="H58" i="18"/>
  <c r="J58" i="18" s="1"/>
  <c r="K58" i="18" s="1"/>
  <c r="G58" i="18"/>
  <c r="I57" i="18"/>
  <c r="M57" i="18" s="1"/>
  <c r="H57" i="18"/>
  <c r="J57" i="18" s="1"/>
  <c r="K57" i="18" s="1"/>
  <c r="G57" i="18"/>
  <c r="I56" i="18"/>
  <c r="M56" i="18" s="1"/>
  <c r="H56" i="18"/>
  <c r="J56" i="18" s="1"/>
  <c r="K56" i="18" s="1"/>
  <c r="G56" i="18"/>
  <c r="I55" i="18"/>
  <c r="M55" i="18" s="1"/>
  <c r="H55" i="18"/>
  <c r="J55" i="18" s="1"/>
  <c r="K55" i="18" s="1"/>
  <c r="G55" i="18"/>
  <c r="I54" i="18"/>
  <c r="M54" i="18" s="1"/>
  <c r="H54" i="18"/>
  <c r="J54" i="18" s="1"/>
  <c r="K54" i="18" s="1"/>
  <c r="G54" i="18"/>
  <c r="I53" i="18"/>
  <c r="M53" i="18" s="1"/>
  <c r="H53" i="18"/>
  <c r="J53" i="18" s="1"/>
  <c r="K53" i="18" s="1"/>
  <c r="G53" i="18"/>
  <c r="I52" i="18"/>
  <c r="M52" i="18" s="1"/>
  <c r="H52" i="18"/>
  <c r="J52" i="18" s="1"/>
  <c r="K52" i="18" s="1"/>
  <c r="G52" i="18"/>
  <c r="I51" i="18"/>
  <c r="M51" i="18" s="1"/>
  <c r="H51" i="18"/>
  <c r="J51" i="18" s="1"/>
  <c r="K51" i="18" s="1"/>
  <c r="G51" i="18"/>
  <c r="L51" i="18" s="1"/>
  <c r="I50" i="18"/>
  <c r="M50" i="18" s="1"/>
  <c r="H50" i="18"/>
  <c r="J50" i="18" s="1"/>
  <c r="K50" i="18" s="1"/>
  <c r="G50" i="18"/>
  <c r="L50" i="18" s="1"/>
  <c r="I49" i="18"/>
  <c r="M49" i="18" s="1"/>
  <c r="H49" i="18"/>
  <c r="J49" i="18" s="1"/>
  <c r="K49" i="18" s="1"/>
  <c r="G49" i="18"/>
  <c r="I48" i="18"/>
  <c r="M48" i="18" s="1"/>
  <c r="H48" i="18"/>
  <c r="J48" i="18" s="1"/>
  <c r="K48" i="18" s="1"/>
  <c r="G48" i="18"/>
  <c r="I47" i="18"/>
  <c r="M47" i="18" s="1"/>
  <c r="H47" i="18"/>
  <c r="J47" i="18" s="1"/>
  <c r="K47" i="18" s="1"/>
  <c r="G47" i="18"/>
  <c r="I46" i="18"/>
  <c r="M46" i="18" s="1"/>
  <c r="H46" i="18"/>
  <c r="J46" i="18" s="1"/>
  <c r="K46" i="18" s="1"/>
  <c r="G46" i="18"/>
  <c r="I45" i="18"/>
  <c r="M45" i="18" s="1"/>
  <c r="H45" i="18"/>
  <c r="J45" i="18" s="1"/>
  <c r="K45" i="18" s="1"/>
  <c r="G45" i="18"/>
  <c r="I44" i="18"/>
  <c r="M44" i="18" s="1"/>
  <c r="H44" i="18"/>
  <c r="J44" i="18" s="1"/>
  <c r="K44" i="18" s="1"/>
  <c r="G44" i="18"/>
  <c r="I43" i="18"/>
  <c r="M43" i="18" s="1"/>
  <c r="H43" i="18"/>
  <c r="J43" i="18" s="1"/>
  <c r="K43" i="18" s="1"/>
  <c r="G43" i="18"/>
  <c r="I42" i="18"/>
  <c r="M42" i="18" s="1"/>
  <c r="H42" i="18"/>
  <c r="J42" i="18" s="1"/>
  <c r="K42" i="18" s="1"/>
  <c r="G42" i="18"/>
  <c r="I41" i="18"/>
  <c r="M41" i="18" s="1"/>
  <c r="H41" i="18"/>
  <c r="J41" i="18" s="1"/>
  <c r="K41" i="18" s="1"/>
  <c r="G41" i="18"/>
  <c r="I40" i="18"/>
  <c r="M40" i="18" s="1"/>
  <c r="H40" i="18"/>
  <c r="J40" i="18" s="1"/>
  <c r="K40" i="18" s="1"/>
  <c r="G40" i="18"/>
  <c r="L40" i="18" s="1"/>
  <c r="I39" i="18"/>
  <c r="M39" i="18" s="1"/>
  <c r="H39" i="18"/>
  <c r="J39" i="18" s="1"/>
  <c r="K39" i="18" s="1"/>
  <c r="G39" i="18"/>
  <c r="L39" i="18" s="1"/>
  <c r="I38" i="18"/>
  <c r="M38" i="18" s="1"/>
  <c r="H38" i="18"/>
  <c r="J38" i="18" s="1"/>
  <c r="K38" i="18" s="1"/>
  <c r="G38" i="18"/>
  <c r="I37" i="18"/>
  <c r="M37" i="18" s="1"/>
  <c r="H37" i="18"/>
  <c r="J37" i="18" s="1"/>
  <c r="K37" i="18" s="1"/>
  <c r="G37" i="18"/>
  <c r="I36" i="18"/>
  <c r="M36" i="18" s="1"/>
  <c r="H36" i="18"/>
  <c r="J36" i="18" s="1"/>
  <c r="K36" i="18" s="1"/>
  <c r="G36" i="18"/>
  <c r="I35" i="18"/>
  <c r="M35" i="18" s="1"/>
  <c r="H35" i="18"/>
  <c r="J35" i="18" s="1"/>
  <c r="K35" i="18" s="1"/>
  <c r="G35" i="18"/>
  <c r="I34" i="18"/>
  <c r="M34" i="18" s="1"/>
  <c r="H34" i="18"/>
  <c r="J34" i="18" s="1"/>
  <c r="K34" i="18" s="1"/>
  <c r="G34" i="18"/>
  <c r="I33" i="18"/>
  <c r="M33" i="18" s="1"/>
  <c r="H33" i="18"/>
  <c r="J33" i="18" s="1"/>
  <c r="K33" i="18" s="1"/>
  <c r="G33" i="18"/>
  <c r="I32" i="18"/>
  <c r="M32" i="18" s="1"/>
  <c r="H32" i="18"/>
  <c r="J32" i="18" s="1"/>
  <c r="K32" i="18" s="1"/>
  <c r="G32" i="18"/>
  <c r="I31" i="18"/>
  <c r="M31" i="18" s="1"/>
  <c r="H31" i="18"/>
  <c r="J31" i="18" s="1"/>
  <c r="K31" i="18" s="1"/>
  <c r="G31" i="18"/>
  <c r="I30" i="18"/>
  <c r="M30" i="18" s="1"/>
  <c r="H30" i="18"/>
  <c r="J30" i="18" s="1"/>
  <c r="K30" i="18" s="1"/>
  <c r="G30" i="18"/>
  <c r="I29" i="18"/>
  <c r="M29" i="18" s="1"/>
  <c r="H29" i="18"/>
  <c r="J29" i="18" s="1"/>
  <c r="K29" i="18" s="1"/>
  <c r="G29" i="18"/>
  <c r="I28" i="18"/>
  <c r="M28" i="18" s="1"/>
  <c r="H28" i="18"/>
  <c r="J28" i="18" s="1"/>
  <c r="K28" i="18" s="1"/>
  <c r="G28" i="18"/>
  <c r="I27" i="18"/>
  <c r="M27" i="18" s="1"/>
  <c r="H27" i="18"/>
  <c r="J27" i="18" s="1"/>
  <c r="K27" i="18" s="1"/>
  <c r="G27" i="18"/>
  <c r="I26" i="18"/>
  <c r="M26" i="18" s="1"/>
  <c r="H26" i="18"/>
  <c r="J26" i="18" s="1"/>
  <c r="K26" i="18" s="1"/>
  <c r="G26" i="18"/>
  <c r="I25" i="18"/>
  <c r="M25" i="18" s="1"/>
  <c r="H25" i="18"/>
  <c r="J25" i="18" s="1"/>
  <c r="K25" i="18" s="1"/>
  <c r="G25" i="18"/>
  <c r="I24" i="18"/>
  <c r="M24" i="18" s="1"/>
  <c r="H24" i="18"/>
  <c r="J24" i="18" s="1"/>
  <c r="K24" i="18" s="1"/>
  <c r="G24" i="18"/>
  <c r="I23" i="18"/>
  <c r="M23" i="18" s="1"/>
  <c r="H23" i="18"/>
  <c r="J23" i="18" s="1"/>
  <c r="K23" i="18" s="1"/>
  <c r="G23" i="18"/>
  <c r="I22" i="18"/>
  <c r="M22" i="18" s="1"/>
  <c r="H22" i="18"/>
  <c r="J22" i="18" s="1"/>
  <c r="K22" i="18" s="1"/>
  <c r="G22" i="18"/>
  <c r="I21" i="18"/>
  <c r="M21" i="18" s="1"/>
  <c r="H21" i="18"/>
  <c r="J21" i="18" s="1"/>
  <c r="K21" i="18" s="1"/>
  <c r="G21" i="18"/>
  <c r="I20" i="18"/>
  <c r="M20" i="18" s="1"/>
  <c r="H20" i="18"/>
  <c r="J20" i="18" s="1"/>
  <c r="K20" i="18" s="1"/>
  <c r="G20" i="18"/>
  <c r="I19" i="18"/>
  <c r="M19" i="18" s="1"/>
  <c r="H19" i="18"/>
  <c r="J19" i="18" s="1"/>
  <c r="K19" i="18" s="1"/>
  <c r="G19" i="18"/>
  <c r="I18" i="18"/>
  <c r="M18" i="18" s="1"/>
  <c r="H18" i="18"/>
  <c r="J18" i="18" s="1"/>
  <c r="K18" i="18" s="1"/>
  <c r="G18" i="18"/>
  <c r="I17" i="18"/>
  <c r="M17" i="18" s="1"/>
  <c r="H17" i="18"/>
  <c r="J17" i="18" s="1"/>
  <c r="K17" i="18" s="1"/>
  <c r="G17" i="18"/>
  <c r="I16" i="18"/>
  <c r="M16" i="18" s="1"/>
  <c r="H16" i="18"/>
  <c r="J16" i="18" s="1"/>
  <c r="K16" i="18" s="1"/>
  <c r="G16" i="18"/>
  <c r="L16" i="18" s="1"/>
  <c r="I15" i="18"/>
  <c r="M15" i="18" s="1"/>
  <c r="H15" i="18"/>
  <c r="J15" i="18" s="1"/>
  <c r="K15" i="18" s="1"/>
  <c r="G15" i="18"/>
  <c r="I14" i="18"/>
  <c r="M14" i="18" s="1"/>
  <c r="H14" i="18"/>
  <c r="J14" i="18" s="1"/>
  <c r="K14" i="18" s="1"/>
  <c r="G14" i="18"/>
  <c r="I13" i="18"/>
  <c r="M13" i="18" s="1"/>
  <c r="H13" i="18"/>
  <c r="J13" i="18" s="1"/>
  <c r="K13" i="18" s="1"/>
  <c r="G13" i="18"/>
  <c r="I12" i="18"/>
  <c r="M12" i="18" s="1"/>
  <c r="H12" i="18"/>
  <c r="J12" i="18" s="1"/>
  <c r="K12" i="18" s="1"/>
  <c r="G12" i="18"/>
  <c r="I11" i="18"/>
  <c r="M11" i="18" s="1"/>
  <c r="H11" i="18"/>
  <c r="J11" i="18" s="1"/>
  <c r="K11" i="18" s="1"/>
  <c r="G11" i="18"/>
  <c r="I10" i="18"/>
  <c r="M10" i="18" s="1"/>
  <c r="H10" i="18"/>
  <c r="J10" i="18" s="1"/>
  <c r="K10" i="18" s="1"/>
  <c r="G10" i="18"/>
  <c r="I9" i="18"/>
  <c r="M9" i="18" s="1"/>
  <c r="H9" i="18"/>
  <c r="J9" i="18" s="1"/>
  <c r="K9" i="18" s="1"/>
  <c r="G9" i="18"/>
  <c r="I8" i="18"/>
  <c r="M8" i="18" s="1"/>
  <c r="H8" i="18"/>
  <c r="J8" i="18" s="1"/>
  <c r="K8" i="18" s="1"/>
  <c r="G8" i="18"/>
  <c r="I7" i="18"/>
  <c r="M7" i="18" s="1"/>
  <c r="H7" i="18"/>
  <c r="J7" i="18" s="1"/>
  <c r="K7" i="18" s="1"/>
  <c r="G7" i="18"/>
  <c r="I87" i="17"/>
  <c r="M87" i="17" s="1"/>
  <c r="H87" i="17"/>
  <c r="J87" i="17" s="1"/>
  <c r="K87" i="17" s="1"/>
  <c r="G87" i="17"/>
  <c r="I86" i="17"/>
  <c r="M86" i="17" s="1"/>
  <c r="H86" i="17"/>
  <c r="J86" i="17" s="1"/>
  <c r="K86" i="17" s="1"/>
  <c r="G86" i="17"/>
  <c r="L86" i="17" s="1"/>
  <c r="I85" i="17"/>
  <c r="M85" i="17" s="1"/>
  <c r="H85" i="17"/>
  <c r="J85" i="17" s="1"/>
  <c r="K85" i="17" s="1"/>
  <c r="G85" i="17"/>
  <c r="I84" i="17"/>
  <c r="M84" i="17" s="1"/>
  <c r="H84" i="17"/>
  <c r="J84" i="17" s="1"/>
  <c r="K84" i="17" s="1"/>
  <c r="G84" i="17"/>
  <c r="I83" i="17"/>
  <c r="M83" i="17" s="1"/>
  <c r="H83" i="17"/>
  <c r="J83" i="17" s="1"/>
  <c r="K83" i="17" s="1"/>
  <c r="G83" i="17"/>
  <c r="I82" i="17"/>
  <c r="M82" i="17" s="1"/>
  <c r="H82" i="17"/>
  <c r="J82" i="17" s="1"/>
  <c r="K82" i="17" s="1"/>
  <c r="G82" i="17"/>
  <c r="I81" i="17"/>
  <c r="M81" i="17" s="1"/>
  <c r="H81" i="17"/>
  <c r="J81" i="17" s="1"/>
  <c r="K81" i="17" s="1"/>
  <c r="G81" i="17"/>
  <c r="I80" i="17"/>
  <c r="M80" i="17" s="1"/>
  <c r="H80" i="17"/>
  <c r="J80" i="17" s="1"/>
  <c r="K80" i="17" s="1"/>
  <c r="G80" i="17"/>
  <c r="I79" i="17"/>
  <c r="M79" i="17" s="1"/>
  <c r="H79" i="17"/>
  <c r="J79" i="17" s="1"/>
  <c r="K79" i="17" s="1"/>
  <c r="G79" i="17"/>
  <c r="I78" i="17"/>
  <c r="M78" i="17" s="1"/>
  <c r="H78" i="17"/>
  <c r="J78" i="17" s="1"/>
  <c r="K78" i="17" s="1"/>
  <c r="G78" i="17"/>
  <c r="I77" i="17"/>
  <c r="M77" i="17" s="1"/>
  <c r="H77" i="17"/>
  <c r="J77" i="17" s="1"/>
  <c r="K77" i="17" s="1"/>
  <c r="G77" i="17"/>
  <c r="I76" i="17"/>
  <c r="M76" i="17" s="1"/>
  <c r="H76" i="17"/>
  <c r="J76" i="17" s="1"/>
  <c r="K76" i="17" s="1"/>
  <c r="G76" i="17"/>
  <c r="I75" i="17"/>
  <c r="M75" i="17" s="1"/>
  <c r="H75" i="17"/>
  <c r="J75" i="17" s="1"/>
  <c r="K75" i="17" s="1"/>
  <c r="G75" i="17"/>
  <c r="I74" i="17"/>
  <c r="M74" i="17" s="1"/>
  <c r="H74" i="17"/>
  <c r="J74" i="17" s="1"/>
  <c r="K74" i="17" s="1"/>
  <c r="G74" i="17"/>
  <c r="L74" i="17" s="1"/>
  <c r="I73" i="17"/>
  <c r="M73" i="17" s="1"/>
  <c r="H73" i="17"/>
  <c r="J73" i="17" s="1"/>
  <c r="K73" i="17" s="1"/>
  <c r="G73" i="17"/>
  <c r="L73" i="17" s="1"/>
  <c r="I72" i="17"/>
  <c r="M72" i="17" s="1"/>
  <c r="H72" i="17"/>
  <c r="J72" i="17" s="1"/>
  <c r="K72" i="17" s="1"/>
  <c r="G72" i="17"/>
  <c r="I71" i="17"/>
  <c r="M71" i="17" s="1"/>
  <c r="H71" i="17"/>
  <c r="J71" i="17" s="1"/>
  <c r="K71" i="17" s="1"/>
  <c r="G71" i="17"/>
  <c r="I70" i="17"/>
  <c r="M70" i="17" s="1"/>
  <c r="H70" i="17"/>
  <c r="J70" i="17" s="1"/>
  <c r="K70" i="17" s="1"/>
  <c r="G70" i="17"/>
  <c r="I69" i="17"/>
  <c r="M69" i="17" s="1"/>
  <c r="H69" i="17"/>
  <c r="J69" i="17" s="1"/>
  <c r="K69" i="17" s="1"/>
  <c r="G69" i="17"/>
  <c r="I68" i="17"/>
  <c r="M68" i="17" s="1"/>
  <c r="H68" i="17"/>
  <c r="J68" i="17" s="1"/>
  <c r="K68" i="17" s="1"/>
  <c r="G68" i="17"/>
  <c r="L68" i="17" s="1"/>
  <c r="I67" i="17"/>
  <c r="M67" i="17" s="1"/>
  <c r="H67" i="17"/>
  <c r="J67" i="17" s="1"/>
  <c r="K67" i="17" s="1"/>
  <c r="G67" i="17"/>
  <c r="L67" i="17" s="1"/>
  <c r="I66" i="17"/>
  <c r="M66" i="17" s="1"/>
  <c r="H66" i="17"/>
  <c r="J66" i="17" s="1"/>
  <c r="K66" i="17" s="1"/>
  <c r="G66" i="17"/>
  <c r="I65" i="17"/>
  <c r="M65" i="17" s="1"/>
  <c r="H65" i="17"/>
  <c r="J65" i="17" s="1"/>
  <c r="K65" i="17" s="1"/>
  <c r="G65" i="17"/>
  <c r="I64" i="17"/>
  <c r="M64" i="17" s="1"/>
  <c r="H64" i="17"/>
  <c r="J64" i="17" s="1"/>
  <c r="K64" i="17" s="1"/>
  <c r="G64" i="17"/>
  <c r="I63" i="17"/>
  <c r="M63" i="17" s="1"/>
  <c r="H63" i="17"/>
  <c r="J63" i="17" s="1"/>
  <c r="K63" i="17" s="1"/>
  <c r="G63" i="17"/>
  <c r="L63" i="17" s="1"/>
  <c r="I62" i="17"/>
  <c r="M62" i="17" s="1"/>
  <c r="H62" i="17"/>
  <c r="J62" i="17" s="1"/>
  <c r="K62" i="17" s="1"/>
  <c r="G62" i="17"/>
  <c r="I61" i="17"/>
  <c r="M61" i="17" s="1"/>
  <c r="H61" i="17"/>
  <c r="J61" i="17" s="1"/>
  <c r="K61" i="17" s="1"/>
  <c r="G61" i="17"/>
  <c r="I60" i="17"/>
  <c r="M60" i="17" s="1"/>
  <c r="H60" i="17"/>
  <c r="J60" i="17" s="1"/>
  <c r="K60" i="17" s="1"/>
  <c r="G60" i="17"/>
  <c r="I59" i="17"/>
  <c r="M59" i="17" s="1"/>
  <c r="H59" i="17"/>
  <c r="J59" i="17" s="1"/>
  <c r="K59" i="17" s="1"/>
  <c r="G59" i="17"/>
  <c r="I58" i="17"/>
  <c r="M58" i="17" s="1"/>
  <c r="H58" i="17"/>
  <c r="J58" i="17" s="1"/>
  <c r="K58" i="17" s="1"/>
  <c r="G58" i="17"/>
  <c r="I57" i="17"/>
  <c r="M57" i="17" s="1"/>
  <c r="H57" i="17"/>
  <c r="J57" i="17" s="1"/>
  <c r="K57" i="17" s="1"/>
  <c r="G57" i="17"/>
  <c r="I56" i="17"/>
  <c r="M56" i="17" s="1"/>
  <c r="H56" i="17"/>
  <c r="J56" i="17" s="1"/>
  <c r="K56" i="17" s="1"/>
  <c r="G56" i="17"/>
  <c r="I55" i="17"/>
  <c r="M55" i="17" s="1"/>
  <c r="H55" i="17"/>
  <c r="J55" i="17" s="1"/>
  <c r="K55" i="17" s="1"/>
  <c r="G55" i="17"/>
  <c r="I54" i="17"/>
  <c r="M54" i="17" s="1"/>
  <c r="H54" i="17"/>
  <c r="J54" i="17" s="1"/>
  <c r="K54" i="17" s="1"/>
  <c r="G54" i="17"/>
  <c r="L54" i="17" s="1"/>
  <c r="I53" i="17"/>
  <c r="M53" i="17" s="1"/>
  <c r="H53" i="17"/>
  <c r="J53" i="17" s="1"/>
  <c r="K53" i="17" s="1"/>
  <c r="G53" i="17"/>
  <c r="L53" i="17" s="1"/>
  <c r="I52" i="17"/>
  <c r="M52" i="17" s="1"/>
  <c r="H52" i="17"/>
  <c r="J52" i="17" s="1"/>
  <c r="K52" i="17" s="1"/>
  <c r="G52" i="17"/>
  <c r="I51" i="17"/>
  <c r="M51" i="17" s="1"/>
  <c r="H51" i="17"/>
  <c r="J51" i="17" s="1"/>
  <c r="K51" i="17" s="1"/>
  <c r="G51" i="17"/>
  <c r="I50" i="17"/>
  <c r="M50" i="17" s="1"/>
  <c r="H50" i="17"/>
  <c r="J50" i="17" s="1"/>
  <c r="K50" i="17" s="1"/>
  <c r="G50" i="17"/>
  <c r="I49" i="17"/>
  <c r="M49" i="17" s="1"/>
  <c r="H49" i="17"/>
  <c r="J49" i="17" s="1"/>
  <c r="K49" i="17" s="1"/>
  <c r="G49" i="17"/>
  <c r="I48" i="17"/>
  <c r="M48" i="17" s="1"/>
  <c r="H48" i="17"/>
  <c r="J48" i="17" s="1"/>
  <c r="K48" i="17" s="1"/>
  <c r="G48" i="17"/>
  <c r="I47" i="17"/>
  <c r="M47" i="17" s="1"/>
  <c r="H47" i="17"/>
  <c r="J47" i="17" s="1"/>
  <c r="K47" i="17" s="1"/>
  <c r="G47" i="17"/>
  <c r="I46" i="17"/>
  <c r="M46" i="17" s="1"/>
  <c r="H46" i="17"/>
  <c r="J46" i="17" s="1"/>
  <c r="K46" i="17" s="1"/>
  <c r="G46" i="17"/>
  <c r="I45" i="17"/>
  <c r="M45" i="17" s="1"/>
  <c r="H45" i="17"/>
  <c r="J45" i="17" s="1"/>
  <c r="K45" i="17" s="1"/>
  <c r="G45" i="17"/>
  <c r="I44" i="17"/>
  <c r="M44" i="17" s="1"/>
  <c r="H44" i="17"/>
  <c r="J44" i="17" s="1"/>
  <c r="K44" i="17" s="1"/>
  <c r="G44" i="17"/>
  <c r="I43" i="17"/>
  <c r="M43" i="17" s="1"/>
  <c r="H43" i="17"/>
  <c r="J43" i="17" s="1"/>
  <c r="K43" i="17" s="1"/>
  <c r="G43" i="17"/>
  <c r="I42" i="17"/>
  <c r="M42" i="17" s="1"/>
  <c r="H42" i="17"/>
  <c r="J42" i="17" s="1"/>
  <c r="K42" i="17" s="1"/>
  <c r="G42" i="17"/>
  <c r="I41" i="17"/>
  <c r="M41" i="17" s="1"/>
  <c r="H41" i="17"/>
  <c r="J41" i="17" s="1"/>
  <c r="K41" i="17" s="1"/>
  <c r="G41" i="17"/>
  <c r="I40" i="17"/>
  <c r="M40" i="17" s="1"/>
  <c r="H40" i="17"/>
  <c r="J40" i="17" s="1"/>
  <c r="K40" i="17" s="1"/>
  <c r="G40" i="17"/>
  <c r="L40" i="17" s="1"/>
  <c r="I39" i="17"/>
  <c r="M39" i="17" s="1"/>
  <c r="H39" i="17"/>
  <c r="J39" i="17" s="1"/>
  <c r="K39" i="17" s="1"/>
  <c r="G39" i="17"/>
  <c r="L39" i="17" s="1"/>
  <c r="I38" i="17"/>
  <c r="M38" i="17" s="1"/>
  <c r="H38" i="17"/>
  <c r="J38" i="17" s="1"/>
  <c r="K38" i="17" s="1"/>
  <c r="G38" i="17"/>
  <c r="L38" i="17" s="1"/>
  <c r="I37" i="17"/>
  <c r="M37" i="17" s="1"/>
  <c r="H37" i="17"/>
  <c r="J37" i="17" s="1"/>
  <c r="K37" i="17" s="1"/>
  <c r="G37" i="17"/>
  <c r="I36" i="17"/>
  <c r="M36" i="17" s="1"/>
  <c r="H36" i="17"/>
  <c r="J36" i="17" s="1"/>
  <c r="K36" i="17" s="1"/>
  <c r="G36" i="17"/>
  <c r="I35" i="17"/>
  <c r="M35" i="17" s="1"/>
  <c r="H35" i="17"/>
  <c r="J35" i="17" s="1"/>
  <c r="K35" i="17" s="1"/>
  <c r="G35" i="17"/>
  <c r="I34" i="17"/>
  <c r="M34" i="17" s="1"/>
  <c r="H34" i="17"/>
  <c r="J34" i="17" s="1"/>
  <c r="K34" i="17" s="1"/>
  <c r="G34" i="17"/>
  <c r="I33" i="17"/>
  <c r="M33" i="17" s="1"/>
  <c r="H33" i="17"/>
  <c r="J33" i="17" s="1"/>
  <c r="K33" i="17" s="1"/>
  <c r="G33" i="17"/>
  <c r="I32" i="17"/>
  <c r="M32" i="17" s="1"/>
  <c r="H32" i="17"/>
  <c r="J32" i="17" s="1"/>
  <c r="K32" i="17" s="1"/>
  <c r="G32" i="17"/>
  <c r="I31" i="17"/>
  <c r="M31" i="17" s="1"/>
  <c r="H31" i="17"/>
  <c r="J31" i="17" s="1"/>
  <c r="K31" i="17" s="1"/>
  <c r="G31" i="17"/>
  <c r="I30" i="17"/>
  <c r="M30" i="17" s="1"/>
  <c r="H30" i="17"/>
  <c r="J30" i="17" s="1"/>
  <c r="K30" i="17" s="1"/>
  <c r="G30" i="17"/>
  <c r="I29" i="17"/>
  <c r="M29" i="17" s="1"/>
  <c r="H29" i="17"/>
  <c r="J29" i="17" s="1"/>
  <c r="K29" i="17" s="1"/>
  <c r="G29" i="17"/>
  <c r="I28" i="17"/>
  <c r="M28" i="17" s="1"/>
  <c r="H28" i="17"/>
  <c r="J28" i="17" s="1"/>
  <c r="K28" i="17" s="1"/>
  <c r="G28" i="17"/>
  <c r="I27" i="17"/>
  <c r="M27" i="17" s="1"/>
  <c r="H27" i="17"/>
  <c r="J27" i="17" s="1"/>
  <c r="K27" i="17" s="1"/>
  <c r="G27" i="17"/>
  <c r="I26" i="17"/>
  <c r="M26" i="17" s="1"/>
  <c r="H26" i="17"/>
  <c r="J26" i="17" s="1"/>
  <c r="K26" i="17" s="1"/>
  <c r="G26" i="17"/>
  <c r="I25" i="17"/>
  <c r="M25" i="17" s="1"/>
  <c r="H25" i="17"/>
  <c r="J25" i="17" s="1"/>
  <c r="K25" i="17" s="1"/>
  <c r="G25" i="17"/>
  <c r="I24" i="17"/>
  <c r="M24" i="17" s="1"/>
  <c r="H24" i="17"/>
  <c r="J24" i="17" s="1"/>
  <c r="K24" i="17" s="1"/>
  <c r="G24" i="17"/>
  <c r="I23" i="17"/>
  <c r="M23" i="17" s="1"/>
  <c r="H23" i="17"/>
  <c r="J23" i="17" s="1"/>
  <c r="K23" i="17" s="1"/>
  <c r="G23" i="17"/>
  <c r="I22" i="17"/>
  <c r="M22" i="17" s="1"/>
  <c r="H22" i="17"/>
  <c r="J22" i="17" s="1"/>
  <c r="K22" i="17" s="1"/>
  <c r="G22" i="17"/>
  <c r="I21" i="17"/>
  <c r="M21" i="17" s="1"/>
  <c r="H21" i="17"/>
  <c r="J21" i="17" s="1"/>
  <c r="K21" i="17" s="1"/>
  <c r="G21" i="17"/>
  <c r="I20" i="17"/>
  <c r="M20" i="17" s="1"/>
  <c r="H20" i="17"/>
  <c r="J20" i="17" s="1"/>
  <c r="K20" i="17" s="1"/>
  <c r="G20" i="17"/>
  <c r="I19" i="17"/>
  <c r="M19" i="17" s="1"/>
  <c r="H19" i="17"/>
  <c r="J19" i="17" s="1"/>
  <c r="K19" i="17" s="1"/>
  <c r="G19" i="17"/>
  <c r="I18" i="17"/>
  <c r="M18" i="17" s="1"/>
  <c r="H18" i="17"/>
  <c r="J18" i="17" s="1"/>
  <c r="K18" i="17" s="1"/>
  <c r="G18" i="17"/>
  <c r="L18" i="17" s="1"/>
  <c r="I17" i="17"/>
  <c r="M17" i="17" s="1"/>
  <c r="H17" i="17"/>
  <c r="J17" i="17" s="1"/>
  <c r="K17" i="17" s="1"/>
  <c r="G17" i="17"/>
  <c r="L17" i="17" s="1"/>
  <c r="I16" i="17"/>
  <c r="M16" i="17" s="1"/>
  <c r="H16" i="17"/>
  <c r="J16" i="17" s="1"/>
  <c r="K16" i="17" s="1"/>
  <c r="G16" i="17"/>
  <c r="I15" i="17"/>
  <c r="M15" i="17" s="1"/>
  <c r="H15" i="17"/>
  <c r="J15" i="17" s="1"/>
  <c r="K15" i="17" s="1"/>
  <c r="G15" i="17"/>
  <c r="I14" i="17"/>
  <c r="M14" i="17" s="1"/>
  <c r="H14" i="17"/>
  <c r="J14" i="17" s="1"/>
  <c r="K14" i="17" s="1"/>
  <c r="G14" i="17"/>
  <c r="I13" i="17"/>
  <c r="M13" i="17" s="1"/>
  <c r="H13" i="17"/>
  <c r="J13" i="17" s="1"/>
  <c r="K13" i="17" s="1"/>
  <c r="G13" i="17"/>
  <c r="I12" i="17"/>
  <c r="M12" i="17" s="1"/>
  <c r="H12" i="17"/>
  <c r="J12" i="17" s="1"/>
  <c r="K12" i="17" s="1"/>
  <c r="G12" i="17"/>
  <c r="I11" i="17"/>
  <c r="M11" i="17" s="1"/>
  <c r="H11" i="17"/>
  <c r="J11" i="17" s="1"/>
  <c r="K11" i="17" s="1"/>
  <c r="G11" i="17"/>
  <c r="I10" i="17"/>
  <c r="M10" i="17" s="1"/>
  <c r="H10" i="17"/>
  <c r="J10" i="17" s="1"/>
  <c r="K10" i="17" s="1"/>
  <c r="G10" i="17"/>
  <c r="I9" i="17"/>
  <c r="M9" i="17" s="1"/>
  <c r="H9" i="17"/>
  <c r="J9" i="17" s="1"/>
  <c r="K9" i="17" s="1"/>
  <c r="G9" i="17"/>
  <c r="I8" i="17"/>
  <c r="M8" i="17" s="1"/>
  <c r="H8" i="17"/>
  <c r="J8" i="17" s="1"/>
  <c r="K8" i="17" s="1"/>
  <c r="G8" i="17"/>
  <c r="M7" i="17"/>
  <c r="I7" i="17"/>
  <c r="H7" i="17"/>
  <c r="J7" i="17" s="1"/>
  <c r="K7" i="17" s="1"/>
  <c r="L7" i="17" s="1"/>
  <c r="G7" i="17"/>
  <c r="I106" i="15"/>
  <c r="M106" i="15" s="1"/>
  <c r="H106" i="15"/>
  <c r="J106" i="15" s="1"/>
  <c r="K106" i="15" s="1"/>
  <c r="G106" i="15"/>
  <c r="I105" i="15"/>
  <c r="M105" i="15" s="1"/>
  <c r="H105" i="15"/>
  <c r="J105" i="15" s="1"/>
  <c r="K105" i="15" s="1"/>
  <c r="G105" i="15"/>
  <c r="I104" i="15"/>
  <c r="M104" i="15" s="1"/>
  <c r="H104" i="15"/>
  <c r="J104" i="15" s="1"/>
  <c r="K104" i="15" s="1"/>
  <c r="G104" i="15"/>
  <c r="I103" i="15"/>
  <c r="M103" i="15" s="1"/>
  <c r="H103" i="15"/>
  <c r="J103" i="15" s="1"/>
  <c r="K103" i="15" s="1"/>
  <c r="G103" i="15"/>
  <c r="I102" i="15"/>
  <c r="M102" i="15" s="1"/>
  <c r="H102" i="15"/>
  <c r="J102" i="15" s="1"/>
  <c r="K102" i="15" s="1"/>
  <c r="G102" i="15"/>
  <c r="I101" i="15"/>
  <c r="M101" i="15" s="1"/>
  <c r="H101" i="15"/>
  <c r="J101" i="15" s="1"/>
  <c r="K101" i="15" s="1"/>
  <c r="G101" i="15"/>
  <c r="I100" i="15"/>
  <c r="M100" i="15" s="1"/>
  <c r="H100" i="15"/>
  <c r="J100" i="15" s="1"/>
  <c r="K100" i="15" s="1"/>
  <c r="G100" i="15"/>
  <c r="I99" i="15"/>
  <c r="M99" i="15" s="1"/>
  <c r="H99" i="15"/>
  <c r="J99" i="15" s="1"/>
  <c r="K99" i="15" s="1"/>
  <c r="G99" i="15"/>
  <c r="I98" i="15"/>
  <c r="M98" i="15" s="1"/>
  <c r="H98" i="15"/>
  <c r="J98" i="15" s="1"/>
  <c r="K98" i="15" s="1"/>
  <c r="G98" i="15"/>
  <c r="I97" i="15"/>
  <c r="M97" i="15" s="1"/>
  <c r="H97" i="15"/>
  <c r="J97" i="15" s="1"/>
  <c r="K97" i="15" s="1"/>
  <c r="G97" i="15"/>
  <c r="I96" i="15"/>
  <c r="M96" i="15" s="1"/>
  <c r="H96" i="15"/>
  <c r="J96" i="15" s="1"/>
  <c r="K96" i="15" s="1"/>
  <c r="G96" i="15"/>
  <c r="I95" i="15"/>
  <c r="M95" i="15" s="1"/>
  <c r="H95" i="15"/>
  <c r="J95" i="15" s="1"/>
  <c r="K95" i="15" s="1"/>
  <c r="G95" i="15"/>
  <c r="I94" i="15"/>
  <c r="M94" i="15" s="1"/>
  <c r="H94" i="15"/>
  <c r="J94" i="15" s="1"/>
  <c r="K94" i="15" s="1"/>
  <c r="G94" i="15"/>
  <c r="I93" i="15"/>
  <c r="M93" i="15" s="1"/>
  <c r="H93" i="15"/>
  <c r="J93" i="15" s="1"/>
  <c r="K93" i="15" s="1"/>
  <c r="G93" i="15"/>
  <c r="I92" i="15"/>
  <c r="M92" i="15" s="1"/>
  <c r="H92" i="15"/>
  <c r="J92" i="15" s="1"/>
  <c r="K92" i="15" s="1"/>
  <c r="G92" i="15"/>
  <c r="I91" i="15"/>
  <c r="M91" i="15" s="1"/>
  <c r="H91" i="15"/>
  <c r="J91" i="15" s="1"/>
  <c r="K91" i="15" s="1"/>
  <c r="G91" i="15"/>
  <c r="I90" i="15"/>
  <c r="M90" i="15" s="1"/>
  <c r="H90" i="15"/>
  <c r="J90" i="15" s="1"/>
  <c r="K90" i="15" s="1"/>
  <c r="G90" i="15"/>
  <c r="I89" i="15"/>
  <c r="M89" i="15" s="1"/>
  <c r="H89" i="15"/>
  <c r="J89" i="15" s="1"/>
  <c r="K89" i="15" s="1"/>
  <c r="G89" i="15"/>
  <c r="I88" i="15"/>
  <c r="M88" i="15" s="1"/>
  <c r="H88" i="15"/>
  <c r="J88" i="15" s="1"/>
  <c r="K88" i="15" s="1"/>
  <c r="G88" i="15"/>
  <c r="I87" i="15"/>
  <c r="M87" i="15" s="1"/>
  <c r="H87" i="15"/>
  <c r="J87" i="15" s="1"/>
  <c r="K87" i="15" s="1"/>
  <c r="G87" i="15"/>
  <c r="I86" i="15"/>
  <c r="M86" i="15" s="1"/>
  <c r="H86" i="15"/>
  <c r="J86" i="15" s="1"/>
  <c r="K86" i="15" s="1"/>
  <c r="G86" i="15"/>
  <c r="I85" i="15"/>
  <c r="M85" i="15" s="1"/>
  <c r="H85" i="15"/>
  <c r="J85" i="15" s="1"/>
  <c r="K85" i="15" s="1"/>
  <c r="G85" i="15"/>
  <c r="I84" i="15"/>
  <c r="M84" i="15" s="1"/>
  <c r="H84" i="15"/>
  <c r="J84" i="15" s="1"/>
  <c r="K84" i="15" s="1"/>
  <c r="G84" i="15"/>
  <c r="I83" i="15"/>
  <c r="M83" i="15" s="1"/>
  <c r="H83" i="15"/>
  <c r="J83" i="15" s="1"/>
  <c r="K83" i="15" s="1"/>
  <c r="G83" i="15"/>
  <c r="I82" i="15"/>
  <c r="M82" i="15" s="1"/>
  <c r="H82" i="15"/>
  <c r="J82" i="15" s="1"/>
  <c r="K82" i="15" s="1"/>
  <c r="G82" i="15"/>
  <c r="I81" i="15"/>
  <c r="M81" i="15" s="1"/>
  <c r="H81" i="15"/>
  <c r="J81" i="15" s="1"/>
  <c r="K81" i="15" s="1"/>
  <c r="G81" i="15"/>
  <c r="I80" i="15"/>
  <c r="M80" i="15" s="1"/>
  <c r="H80" i="15"/>
  <c r="J80" i="15" s="1"/>
  <c r="K80" i="15" s="1"/>
  <c r="G80" i="15"/>
  <c r="I79" i="15"/>
  <c r="M79" i="15" s="1"/>
  <c r="H79" i="15"/>
  <c r="J79" i="15" s="1"/>
  <c r="K79" i="15" s="1"/>
  <c r="G79" i="15"/>
  <c r="I78" i="15"/>
  <c r="M78" i="15" s="1"/>
  <c r="H78" i="15"/>
  <c r="J78" i="15" s="1"/>
  <c r="K78" i="15" s="1"/>
  <c r="G78" i="15"/>
  <c r="I77" i="15"/>
  <c r="M77" i="15" s="1"/>
  <c r="H77" i="15"/>
  <c r="J77" i="15" s="1"/>
  <c r="K77" i="15" s="1"/>
  <c r="G77" i="15"/>
  <c r="I76" i="15"/>
  <c r="M76" i="15" s="1"/>
  <c r="H76" i="15"/>
  <c r="J76" i="15" s="1"/>
  <c r="K76" i="15" s="1"/>
  <c r="G76" i="15"/>
  <c r="I75" i="15"/>
  <c r="M75" i="15" s="1"/>
  <c r="H75" i="15"/>
  <c r="J75" i="15" s="1"/>
  <c r="K75" i="15" s="1"/>
  <c r="G75" i="15"/>
  <c r="I74" i="15"/>
  <c r="M74" i="15" s="1"/>
  <c r="H74" i="15"/>
  <c r="J74" i="15" s="1"/>
  <c r="K74" i="15" s="1"/>
  <c r="G74" i="15"/>
  <c r="I73" i="15"/>
  <c r="M73" i="15" s="1"/>
  <c r="H73" i="15"/>
  <c r="J73" i="15" s="1"/>
  <c r="K73" i="15" s="1"/>
  <c r="G73" i="15"/>
  <c r="I72" i="15"/>
  <c r="M72" i="15" s="1"/>
  <c r="H72" i="15"/>
  <c r="J72" i="15" s="1"/>
  <c r="K72" i="15" s="1"/>
  <c r="G72" i="15"/>
  <c r="I71" i="15"/>
  <c r="M71" i="15" s="1"/>
  <c r="H71" i="15"/>
  <c r="J71" i="15" s="1"/>
  <c r="K71" i="15" s="1"/>
  <c r="G71" i="15"/>
  <c r="L71" i="15" s="1"/>
  <c r="I70" i="15"/>
  <c r="M70" i="15" s="1"/>
  <c r="H70" i="15"/>
  <c r="J70" i="15" s="1"/>
  <c r="K70" i="15" s="1"/>
  <c r="G70" i="15"/>
  <c r="I69" i="15"/>
  <c r="M69" i="15" s="1"/>
  <c r="H69" i="15"/>
  <c r="J69" i="15" s="1"/>
  <c r="K69" i="15" s="1"/>
  <c r="G69" i="15"/>
  <c r="I68" i="15"/>
  <c r="M68" i="15" s="1"/>
  <c r="H68" i="15"/>
  <c r="J68" i="15" s="1"/>
  <c r="K68" i="15" s="1"/>
  <c r="G68" i="15"/>
  <c r="I67" i="15"/>
  <c r="M67" i="15" s="1"/>
  <c r="H67" i="15"/>
  <c r="J67" i="15" s="1"/>
  <c r="K67" i="15" s="1"/>
  <c r="G67" i="15"/>
  <c r="I66" i="15"/>
  <c r="M66" i="15" s="1"/>
  <c r="H66" i="15"/>
  <c r="J66" i="15" s="1"/>
  <c r="K66" i="15" s="1"/>
  <c r="G66" i="15"/>
  <c r="I65" i="15"/>
  <c r="M65" i="15" s="1"/>
  <c r="H65" i="15"/>
  <c r="J65" i="15" s="1"/>
  <c r="K65" i="15" s="1"/>
  <c r="G65" i="15"/>
  <c r="I64" i="15"/>
  <c r="M64" i="15" s="1"/>
  <c r="H64" i="15"/>
  <c r="J64" i="15" s="1"/>
  <c r="K64" i="15" s="1"/>
  <c r="G64" i="15"/>
  <c r="I63" i="15"/>
  <c r="M63" i="15" s="1"/>
  <c r="H63" i="15"/>
  <c r="J63" i="15" s="1"/>
  <c r="K63" i="15" s="1"/>
  <c r="G63" i="15"/>
  <c r="I62" i="15"/>
  <c r="M62" i="15" s="1"/>
  <c r="H62" i="15"/>
  <c r="J62" i="15" s="1"/>
  <c r="K62" i="15" s="1"/>
  <c r="G62" i="15"/>
  <c r="I61" i="15"/>
  <c r="M61" i="15" s="1"/>
  <c r="H61" i="15"/>
  <c r="J61" i="15" s="1"/>
  <c r="K61" i="15" s="1"/>
  <c r="G61" i="15"/>
  <c r="I60" i="15"/>
  <c r="M60" i="15" s="1"/>
  <c r="H60" i="15"/>
  <c r="J60" i="15" s="1"/>
  <c r="K60" i="15" s="1"/>
  <c r="G60" i="15"/>
  <c r="I59" i="15"/>
  <c r="M59" i="15" s="1"/>
  <c r="H59" i="15"/>
  <c r="J59" i="15" s="1"/>
  <c r="K59" i="15" s="1"/>
  <c r="G59" i="15"/>
  <c r="I58" i="15"/>
  <c r="M58" i="15" s="1"/>
  <c r="H58" i="15"/>
  <c r="J58" i="15" s="1"/>
  <c r="K58" i="15" s="1"/>
  <c r="G58" i="15"/>
  <c r="I57" i="15"/>
  <c r="M57" i="15" s="1"/>
  <c r="H57" i="15"/>
  <c r="J57" i="15" s="1"/>
  <c r="K57" i="15" s="1"/>
  <c r="G57" i="15"/>
  <c r="I56" i="15"/>
  <c r="M56" i="15" s="1"/>
  <c r="H56" i="15"/>
  <c r="J56" i="15" s="1"/>
  <c r="K56" i="15" s="1"/>
  <c r="G56" i="15"/>
  <c r="I55" i="15"/>
  <c r="M55" i="15" s="1"/>
  <c r="H55" i="15"/>
  <c r="J55" i="15" s="1"/>
  <c r="K55" i="15" s="1"/>
  <c r="G55" i="15"/>
  <c r="I54" i="15"/>
  <c r="M54" i="15" s="1"/>
  <c r="H54" i="15"/>
  <c r="J54" i="15" s="1"/>
  <c r="K54" i="15" s="1"/>
  <c r="G54" i="15"/>
  <c r="I53" i="15"/>
  <c r="M53" i="15" s="1"/>
  <c r="H53" i="15"/>
  <c r="J53" i="15" s="1"/>
  <c r="K53" i="15" s="1"/>
  <c r="G53" i="15"/>
  <c r="I52" i="15"/>
  <c r="M52" i="15" s="1"/>
  <c r="H52" i="15"/>
  <c r="J52" i="15" s="1"/>
  <c r="K52" i="15" s="1"/>
  <c r="G52" i="15"/>
  <c r="I51" i="15"/>
  <c r="M51" i="15" s="1"/>
  <c r="H51" i="15"/>
  <c r="J51" i="15" s="1"/>
  <c r="K51" i="15" s="1"/>
  <c r="G51" i="15"/>
  <c r="I50" i="15"/>
  <c r="M50" i="15" s="1"/>
  <c r="H50" i="15"/>
  <c r="J50" i="15" s="1"/>
  <c r="K50" i="15" s="1"/>
  <c r="G50" i="15"/>
  <c r="I49" i="15"/>
  <c r="M49" i="15" s="1"/>
  <c r="H49" i="15"/>
  <c r="J49" i="15" s="1"/>
  <c r="K49" i="15" s="1"/>
  <c r="G49" i="15"/>
  <c r="I48" i="15"/>
  <c r="M48" i="15" s="1"/>
  <c r="H48" i="15"/>
  <c r="J48" i="15" s="1"/>
  <c r="K48" i="15" s="1"/>
  <c r="G48" i="15"/>
  <c r="I47" i="15"/>
  <c r="M47" i="15" s="1"/>
  <c r="H47" i="15"/>
  <c r="J47" i="15" s="1"/>
  <c r="K47" i="15" s="1"/>
  <c r="G47" i="15"/>
  <c r="I46" i="15"/>
  <c r="M46" i="15" s="1"/>
  <c r="H46" i="15"/>
  <c r="J46" i="15" s="1"/>
  <c r="K46" i="15" s="1"/>
  <c r="G46" i="15"/>
  <c r="I45" i="15"/>
  <c r="M45" i="15" s="1"/>
  <c r="H45" i="15"/>
  <c r="J45" i="15" s="1"/>
  <c r="K45" i="15" s="1"/>
  <c r="G45" i="15"/>
  <c r="I44" i="15"/>
  <c r="M44" i="15" s="1"/>
  <c r="H44" i="15"/>
  <c r="J44" i="15" s="1"/>
  <c r="K44" i="15" s="1"/>
  <c r="G44" i="15"/>
  <c r="I43" i="15"/>
  <c r="M43" i="15" s="1"/>
  <c r="H43" i="15"/>
  <c r="J43" i="15" s="1"/>
  <c r="K43" i="15" s="1"/>
  <c r="G43" i="15"/>
  <c r="I42" i="15"/>
  <c r="M42" i="15" s="1"/>
  <c r="H42" i="15"/>
  <c r="J42" i="15" s="1"/>
  <c r="K42" i="15" s="1"/>
  <c r="G42" i="15"/>
  <c r="I41" i="15"/>
  <c r="M41" i="15" s="1"/>
  <c r="H41" i="15"/>
  <c r="J41" i="15" s="1"/>
  <c r="K41" i="15" s="1"/>
  <c r="G41" i="15"/>
  <c r="I40" i="15"/>
  <c r="M40" i="15" s="1"/>
  <c r="H40" i="15"/>
  <c r="J40" i="15" s="1"/>
  <c r="K40" i="15" s="1"/>
  <c r="G40" i="15"/>
  <c r="I39" i="15"/>
  <c r="M39" i="15" s="1"/>
  <c r="H39" i="15"/>
  <c r="J39" i="15" s="1"/>
  <c r="K39" i="15" s="1"/>
  <c r="G39" i="15"/>
  <c r="I38" i="15"/>
  <c r="M38" i="15" s="1"/>
  <c r="H38" i="15"/>
  <c r="J38" i="15" s="1"/>
  <c r="K38" i="15" s="1"/>
  <c r="G38" i="15"/>
  <c r="I37" i="15"/>
  <c r="M37" i="15" s="1"/>
  <c r="H37" i="15"/>
  <c r="J37" i="15" s="1"/>
  <c r="K37" i="15" s="1"/>
  <c r="G37" i="15"/>
  <c r="I36" i="15"/>
  <c r="M36" i="15" s="1"/>
  <c r="H36" i="15"/>
  <c r="J36" i="15" s="1"/>
  <c r="K36" i="15" s="1"/>
  <c r="G36" i="15"/>
  <c r="I35" i="15"/>
  <c r="M35" i="15" s="1"/>
  <c r="H35" i="15"/>
  <c r="J35" i="15" s="1"/>
  <c r="K35" i="15" s="1"/>
  <c r="G35" i="15"/>
  <c r="I34" i="15"/>
  <c r="M34" i="15" s="1"/>
  <c r="H34" i="15"/>
  <c r="J34" i="15" s="1"/>
  <c r="K34" i="15" s="1"/>
  <c r="G34" i="15"/>
  <c r="I33" i="15"/>
  <c r="M33" i="15" s="1"/>
  <c r="H33" i="15"/>
  <c r="J33" i="15" s="1"/>
  <c r="K33" i="15" s="1"/>
  <c r="G33" i="15"/>
  <c r="I32" i="15"/>
  <c r="M32" i="15" s="1"/>
  <c r="H32" i="15"/>
  <c r="J32" i="15" s="1"/>
  <c r="K32" i="15" s="1"/>
  <c r="G32" i="15"/>
  <c r="I31" i="15"/>
  <c r="M31" i="15" s="1"/>
  <c r="H31" i="15"/>
  <c r="J31" i="15" s="1"/>
  <c r="K31" i="15" s="1"/>
  <c r="G31" i="15"/>
  <c r="I30" i="15"/>
  <c r="M30" i="15" s="1"/>
  <c r="H30" i="15"/>
  <c r="J30" i="15" s="1"/>
  <c r="K30" i="15" s="1"/>
  <c r="G30" i="15"/>
  <c r="I29" i="15"/>
  <c r="M29" i="15" s="1"/>
  <c r="H29" i="15"/>
  <c r="J29" i="15" s="1"/>
  <c r="K29" i="15" s="1"/>
  <c r="G29" i="15"/>
  <c r="I28" i="15"/>
  <c r="M28" i="15" s="1"/>
  <c r="H28" i="15"/>
  <c r="J28" i="15" s="1"/>
  <c r="K28" i="15" s="1"/>
  <c r="G28" i="15"/>
  <c r="I27" i="15"/>
  <c r="M27" i="15" s="1"/>
  <c r="H27" i="15"/>
  <c r="J27" i="15" s="1"/>
  <c r="K27" i="15" s="1"/>
  <c r="G27" i="15"/>
  <c r="I26" i="15"/>
  <c r="M26" i="15" s="1"/>
  <c r="H26" i="15"/>
  <c r="J26" i="15" s="1"/>
  <c r="K26" i="15" s="1"/>
  <c r="G26" i="15"/>
  <c r="I25" i="15"/>
  <c r="M25" i="15" s="1"/>
  <c r="H25" i="15"/>
  <c r="J25" i="15" s="1"/>
  <c r="K25" i="15" s="1"/>
  <c r="G25" i="15"/>
  <c r="I24" i="15"/>
  <c r="M24" i="15" s="1"/>
  <c r="H24" i="15"/>
  <c r="J24" i="15" s="1"/>
  <c r="K24" i="15" s="1"/>
  <c r="G24" i="15"/>
  <c r="I23" i="15"/>
  <c r="M23" i="15" s="1"/>
  <c r="H23" i="15"/>
  <c r="J23" i="15" s="1"/>
  <c r="K23" i="15" s="1"/>
  <c r="G23" i="15"/>
  <c r="I22" i="15"/>
  <c r="M22" i="15" s="1"/>
  <c r="H22" i="15"/>
  <c r="J22" i="15" s="1"/>
  <c r="K22" i="15" s="1"/>
  <c r="G22" i="15"/>
  <c r="I21" i="15"/>
  <c r="M21" i="15" s="1"/>
  <c r="H21" i="15"/>
  <c r="J21" i="15" s="1"/>
  <c r="K21" i="15" s="1"/>
  <c r="G21" i="15"/>
  <c r="I20" i="15"/>
  <c r="M20" i="15" s="1"/>
  <c r="H20" i="15"/>
  <c r="J20" i="15" s="1"/>
  <c r="K20" i="15" s="1"/>
  <c r="G20" i="15"/>
  <c r="I19" i="15"/>
  <c r="M19" i="15" s="1"/>
  <c r="H19" i="15"/>
  <c r="J19" i="15" s="1"/>
  <c r="K19" i="15" s="1"/>
  <c r="G19" i="15"/>
  <c r="I18" i="15"/>
  <c r="M18" i="15" s="1"/>
  <c r="H18" i="15"/>
  <c r="J18" i="15" s="1"/>
  <c r="K18" i="15" s="1"/>
  <c r="G18" i="15"/>
  <c r="I17" i="15"/>
  <c r="M17" i="15" s="1"/>
  <c r="H17" i="15"/>
  <c r="J17" i="15" s="1"/>
  <c r="K17" i="15" s="1"/>
  <c r="G17" i="15"/>
  <c r="I16" i="15"/>
  <c r="M16" i="15" s="1"/>
  <c r="H16" i="15"/>
  <c r="J16" i="15" s="1"/>
  <c r="K16" i="15" s="1"/>
  <c r="G16" i="15"/>
  <c r="I15" i="15"/>
  <c r="M15" i="15" s="1"/>
  <c r="H15" i="15"/>
  <c r="J15" i="15" s="1"/>
  <c r="K15" i="15" s="1"/>
  <c r="G15" i="15"/>
  <c r="I14" i="15"/>
  <c r="M14" i="15" s="1"/>
  <c r="H14" i="15"/>
  <c r="J14" i="15" s="1"/>
  <c r="K14" i="15" s="1"/>
  <c r="G14" i="15"/>
  <c r="I13" i="15"/>
  <c r="M13" i="15" s="1"/>
  <c r="H13" i="15"/>
  <c r="J13" i="15" s="1"/>
  <c r="K13" i="15" s="1"/>
  <c r="G13" i="15"/>
  <c r="I12" i="15"/>
  <c r="M12" i="15" s="1"/>
  <c r="H12" i="15"/>
  <c r="J12" i="15" s="1"/>
  <c r="K12" i="15" s="1"/>
  <c r="G12" i="15"/>
  <c r="I11" i="15"/>
  <c r="M11" i="15" s="1"/>
  <c r="H11" i="15"/>
  <c r="J11" i="15" s="1"/>
  <c r="K11" i="15" s="1"/>
  <c r="G11" i="15"/>
  <c r="I10" i="15"/>
  <c r="M10" i="15" s="1"/>
  <c r="H10" i="15"/>
  <c r="J10" i="15" s="1"/>
  <c r="K10" i="15" s="1"/>
  <c r="G10" i="15"/>
  <c r="I9" i="15"/>
  <c r="M9" i="15" s="1"/>
  <c r="H9" i="15"/>
  <c r="J9" i="15" s="1"/>
  <c r="K9" i="15" s="1"/>
  <c r="G9" i="15"/>
  <c r="I8" i="15"/>
  <c r="M8" i="15" s="1"/>
  <c r="H8" i="15"/>
  <c r="J8" i="15" s="1"/>
  <c r="K8" i="15" s="1"/>
  <c r="G8" i="15"/>
  <c r="I7" i="15"/>
  <c r="M7" i="15" s="1"/>
  <c r="H7" i="15"/>
  <c r="J7" i="15" s="1"/>
  <c r="K7" i="15" s="1"/>
  <c r="G7" i="15"/>
  <c r="I74" i="14"/>
  <c r="M74" i="14" s="1"/>
  <c r="H74" i="14"/>
  <c r="J74" i="14" s="1"/>
  <c r="K74" i="14" s="1"/>
  <c r="G74" i="14"/>
  <c r="I73" i="14"/>
  <c r="M73" i="14" s="1"/>
  <c r="H73" i="14"/>
  <c r="J73" i="14" s="1"/>
  <c r="K73" i="14" s="1"/>
  <c r="G73" i="14"/>
  <c r="I72" i="14"/>
  <c r="M72" i="14" s="1"/>
  <c r="H72" i="14"/>
  <c r="J72" i="14" s="1"/>
  <c r="K72" i="14" s="1"/>
  <c r="G72" i="14"/>
  <c r="I71" i="14"/>
  <c r="M71" i="14" s="1"/>
  <c r="H71" i="14"/>
  <c r="J71" i="14" s="1"/>
  <c r="K71" i="14" s="1"/>
  <c r="G71" i="14"/>
  <c r="I70" i="14"/>
  <c r="M70" i="14" s="1"/>
  <c r="H70" i="14"/>
  <c r="J70" i="14" s="1"/>
  <c r="K70" i="14" s="1"/>
  <c r="G70" i="14"/>
  <c r="I69" i="14"/>
  <c r="M69" i="14" s="1"/>
  <c r="H69" i="14"/>
  <c r="J69" i="14" s="1"/>
  <c r="K69" i="14" s="1"/>
  <c r="G69" i="14"/>
  <c r="I68" i="14"/>
  <c r="M68" i="14" s="1"/>
  <c r="H68" i="14"/>
  <c r="J68" i="14" s="1"/>
  <c r="K68" i="14" s="1"/>
  <c r="G68" i="14"/>
  <c r="I67" i="14"/>
  <c r="M67" i="14" s="1"/>
  <c r="H67" i="14"/>
  <c r="J67" i="14" s="1"/>
  <c r="K67" i="14" s="1"/>
  <c r="G67" i="14"/>
  <c r="I66" i="14"/>
  <c r="M66" i="14" s="1"/>
  <c r="H66" i="14"/>
  <c r="J66" i="14" s="1"/>
  <c r="K66" i="14" s="1"/>
  <c r="G66" i="14"/>
  <c r="I65" i="14"/>
  <c r="M65" i="14" s="1"/>
  <c r="H65" i="14"/>
  <c r="J65" i="14" s="1"/>
  <c r="K65" i="14" s="1"/>
  <c r="G65" i="14"/>
  <c r="I64" i="14"/>
  <c r="M64" i="14" s="1"/>
  <c r="H64" i="14"/>
  <c r="J64" i="14" s="1"/>
  <c r="K64" i="14" s="1"/>
  <c r="G64" i="14"/>
  <c r="I63" i="14"/>
  <c r="M63" i="14" s="1"/>
  <c r="H63" i="14"/>
  <c r="J63" i="14" s="1"/>
  <c r="K63" i="14" s="1"/>
  <c r="G63" i="14"/>
  <c r="I62" i="14"/>
  <c r="M62" i="14" s="1"/>
  <c r="H62" i="14"/>
  <c r="J62" i="14" s="1"/>
  <c r="K62" i="14" s="1"/>
  <c r="G62" i="14"/>
  <c r="I61" i="14"/>
  <c r="M61" i="14" s="1"/>
  <c r="H61" i="14"/>
  <c r="J61" i="14" s="1"/>
  <c r="K61" i="14" s="1"/>
  <c r="G61" i="14"/>
  <c r="I60" i="14"/>
  <c r="M60" i="14" s="1"/>
  <c r="H60" i="14"/>
  <c r="J60" i="14" s="1"/>
  <c r="K60" i="14" s="1"/>
  <c r="G60" i="14"/>
  <c r="I59" i="14"/>
  <c r="M59" i="14" s="1"/>
  <c r="H59" i="14"/>
  <c r="J59" i="14" s="1"/>
  <c r="K59" i="14" s="1"/>
  <c r="G59" i="14"/>
  <c r="I58" i="14"/>
  <c r="M58" i="14" s="1"/>
  <c r="H58" i="14"/>
  <c r="J58" i="14" s="1"/>
  <c r="K58" i="14" s="1"/>
  <c r="G58" i="14"/>
  <c r="I57" i="14"/>
  <c r="M57" i="14" s="1"/>
  <c r="H57" i="14"/>
  <c r="J57" i="14" s="1"/>
  <c r="K57" i="14" s="1"/>
  <c r="G57" i="14"/>
  <c r="I56" i="14"/>
  <c r="M56" i="14" s="1"/>
  <c r="H56" i="14"/>
  <c r="J56" i="14" s="1"/>
  <c r="K56" i="14" s="1"/>
  <c r="G56" i="14"/>
  <c r="I55" i="14"/>
  <c r="M55" i="14" s="1"/>
  <c r="H55" i="14"/>
  <c r="J55" i="14" s="1"/>
  <c r="K55" i="14" s="1"/>
  <c r="G55" i="14"/>
  <c r="I54" i="14"/>
  <c r="M54" i="14" s="1"/>
  <c r="H54" i="14"/>
  <c r="J54" i="14" s="1"/>
  <c r="K54" i="14" s="1"/>
  <c r="G54" i="14"/>
  <c r="I53" i="14"/>
  <c r="M53" i="14" s="1"/>
  <c r="H53" i="14"/>
  <c r="J53" i="14" s="1"/>
  <c r="K53" i="14" s="1"/>
  <c r="G53" i="14"/>
  <c r="I52" i="14"/>
  <c r="M52" i="14" s="1"/>
  <c r="H52" i="14"/>
  <c r="J52" i="14" s="1"/>
  <c r="K52" i="14" s="1"/>
  <c r="G52" i="14"/>
  <c r="I51" i="14"/>
  <c r="M51" i="14" s="1"/>
  <c r="H51" i="14"/>
  <c r="J51" i="14" s="1"/>
  <c r="K51" i="14" s="1"/>
  <c r="G51" i="14"/>
  <c r="I50" i="14"/>
  <c r="M50" i="14" s="1"/>
  <c r="H50" i="14"/>
  <c r="J50" i="14" s="1"/>
  <c r="K50" i="14" s="1"/>
  <c r="G50" i="14"/>
  <c r="I49" i="14"/>
  <c r="M49" i="14" s="1"/>
  <c r="H49" i="14"/>
  <c r="J49" i="14" s="1"/>
  <c r="K49" i="14" s="1"/>
  <c r="G49" i="14"/>
  <c r="I48" i="14"/>
  <c r="M48" i="14" s="1"/>
  <c r="H48" i="14"/>
  <c r="J48" i="14" s="1"/>
  <c r="K48" i="14" s="1"/>
  <c r="G48" i="14"/>
  <c r="I47" i="14"/>
  <c r="M47" i="14" s="1"/>
  <c r="H47" i="14"/>
  <c r="J47" i="14" s="1"/>
  <c r="K47" i="14" s="1"/>
  <c r="G47" i="14"/>
  <c r="I46" i="14"/>
  <c r="M46" i="14" s="1"/>
  <c r="H46" i="14"/>
  <c r="J46" i="14" s="1"/>
  <c r="K46" i="14" s="1"/>
  <c r="G46" i="14"/>
  <c r="I45" i="14"/>
  <c r="M45" i="14" s="1"/>
  <c r="H45" i="14"/>
  <c r="J45" i="14" s="1"/>
  <c r="K45" i="14" s="1"/>
  <c r="G45" i="14"/>
  <c r="I44" i="14"/>
  <c r="M44" i="14" s="1"/>
  <c r="H44" i="14"/>
  <c r="J44" i="14" s="1"/>
  <c r="K44" i="14" s="1"/>
  <c r="G44" i="14"/>
  <c r="J43" i="14"/>
  <c r="K43" i="14" s="1"/>
  <c r="L43" i="14" s="1"/>
  <c r="I43" i="14"/>
  <c r="M43" i="14" s="1"/>
  <c r="H43" i="14"/>
  <c r="G43" i="14"/>
  <c r="I42" i="14"/>
  <c r="M42" i="14" s="1"/>
  <c r="H42" i="14"/>
  <c r="J42" i="14" s="1"/>
  <c r="K42" i="14" s="1"/>
  <c r="G42" i="14"/>
  <c r="L42" i="14" s="1"/>
  <c r="I41" i="14"/>
  <c r="M41" i="14" s="1"/>
  <c r="H41" i="14"/>
  <c r="J41" i="14" s="1"/>
  <c r="K41" i="14" s="1"/>
  <c r="G41" i="14"/>
  <c r="L41" i="14" s="1"/>
  <c r="I40" i="14"/>
  <c r="M40" i="14" s="1"/>
  <c r="H40" i="14"/>
  <c r="J40" i="14" s="1"/>
  <c r="K40" i="14" s="1"/>
  <c r="G40" i="14"/>
  <c r="L40" i="14" s="1"/>
  <c r="I39" i="14"/>
  <c r="M39" i="14" s="1"/>
  <c r="H39" i="14"/>
  <c r="J39" i="14" s="1"/>
  <c r="K39" i="14" s="1"/>
  <c r="G39" i="14"/>
  <c r="L39" i="14" s="1"/>
  <c r="I38" i="14"/>
  <c r="M38" i="14" s="1"/>
  <c r="H38" i="14"/>
  <c r="J38" i="14" s="1"/>
  <c r="K38" i="14" s="1"/>
  <c r="G38" i="14"/>
  <c r="L38" i="14" s="1"/>
  <c r="I37" i="14"/>
  <c r="M37" i="14" s="1"/>
  <c r="H37" i="14"/>
  <c r="J37" i="14" s="1"/>
  <c r="K37" i="14" s="1"/>
  <c r="G37" i="14"/>
  <c r="L37" i="14" s="1"/>
  <c r="I36" i="14"/>
  <c r="M36" i="14" s="1"/>
  <c r="H36" i="14"/>
  <c r="J36" i="14" s="1"/>
  <c r="K36" i="14" s="1"/>
  <c r="G36" i="14"/>
  <c r="L36" i="14" s="1"/>
  <c r="I35" i="14"/>
  <c r="M35" i="14" s="1"/>
  <c r="H35" i="14"/>
  <c r="J35" i="14" s="1"/>
  <c r="K35" i="14" s="1"/>
  <c r="G35" i="14"/>
  <c r="L35" i="14" s="1"/>
  <c r="I34" i="14"/>
  <c r="M34" i="14" s="1"/>
  <c r="H34" i="14"/>
  <c r="J34" i="14" s="1"/>
  <c r="K34" i="14" s="1"/>
  <c r="G34" i="14"/>
  <c r="L34" i="14" s="1"/>
  <c r="I33" i="14"/>
  <c r="M33" i="14" s="1"/>
  <c r="H33" i="14"/>
  <c r="J33" i="14" s="1"/>
  <c r="K33" i="14" s="1"/>
  <c r="G33" i="14"/>
  <c r="L33" i="14" s="1"/>
  <c r="I32" i="14"/>
  <c r="M32" i="14" s="1"/>
  <c r="H32" i="14"/>
  <c r="J32" i="14" s="1"/>
  <c r="K32" i="14" s="1"/>
  <c r="G32" i="14"/>
  <c r="L32" i="14" s="1"/>
  <c r="I31" i="14"/>
  <c r="M31" i="14" s="1"/>
  <c r="H31" i="14"/>
  <c r="J31" i="14" s="1"/>
  <c r="K31" i="14" s="1"/>
  <c r="G31" i="14"/>
  <c r="L31" i="14" s="1"/>
  <c r="I30" i="14"/>
  <c r="M30" i="14" s="1"/>
  <c r="H30" i="14"/>
  <c r="J30" i="14" s="1"/>
  <c r="K30" i="14" s="1"/>
  <c r="G30" i="14"/>
  <c r="L30" i="14" s="1"/>
  <c r="I29" i="14"/>
  <c r="M29" i="14" s="1"/>
  <c r="H29" i="14"/>
  <c r="J29" i="14" s="1"/>
  <c r="K29" i="14" s="1"/>
  <c r="G29" i="14"/>
  <c r="L29" i="14" s="1"/>
  <c r="I28" i="14"/>
  <c r="M28" i="14" s="1"/>
  <c r="H28" i="14"/>
  <c r="J28" i="14" s="1"/>
  <c r="K28" i="14" s="1"/>
  <c r="G28" i="14"/>
  <c r="L28" i="14" s="1"/>
  <c r="I27" i="14"/>
  <c r="M27" i="14" s="1"/>
  <c r="H27" i="14"/>
  <c r="J27" i="14" s="1"/>
  <c r="K27" i="14" s="1"/>
  <c r="G27" i="14"/>
  <c r="L27" i="14" s="1"/>
  <c r="I26" i="14"/>
  <c r="M26" i="14" s="1"/>
  <c r="H26" i="14"/>
  <c r="J26" i="14" s="1"/>
  <c r="K26" i="14" s="1"/>
  <c r="G26" i="14"/>
  <c r="L26" i="14" s="1"/>
  <c r="I25" i="14"/>
  <c r="M25" i="14" s="1"/>
  <c r="H25" i="14"/>
  <c r="J25" i="14" s="1"/>
  <c r="K25" i="14" s="1"/>
  <c r="G25" i="14"/>
  <c r="L25" i="14" s="1"/>
  <c r="I24" i="14"/>
  <c r="M24" i="14" s="1"/>
  <c r="H24" i="14"/>
  <c r="J24" i="14" s="1"/>
  <c r="K24" i="14" s="1"/>
  <c r="G24" i="14"/>
  <c r="L24" i="14" s="1"/>
  <c r="I23" i="14"/>
  <c r="M23" i="14" s="1"/>
  <c r="H23" i="14"/>
  <c r="J23" i="14" s="1"/>
  <c r="K23" i="14" s="1"/>
  <c r="G23" i="14"/>
  <c r="L23" i="14" s="1"/>
  <c r="I22" i="14"/>
  <c r="M22" i="14" s="1"/>
  <c r="H22" i="14"/>
  <c r="J22" i="14" s="1"/>
  <c r="K22" i="14" s="1"/>
  <c r="G22" i="14"/>
  <c r="L22" i="14" s="1"/>
  <c r="I21" i="14"/>
  <c r="M21" i="14" s="1"/>
  <c r="H21" i="14"/>
  <c r="J21" i="14" s="1"/>
  <c r="K21" i="14" s="1"/>
  <c r="G21" i="14"/>
  <c r="L21" i="14" s="1"/>
  <c r="I20" i="14"/>
  <c r="M20" i="14" s="1"/>
  <c r="H20" i="14"/>
  <c r="J20" i="14" s="1"/>
  <c r="K20" i="14" s="1"/>
  <c r="G20" i="14"/>
  <c r="L20" i="14" s="1"/>
  <c r="I19" i="14"/>
  <c r="M19" i="14" s="1"/>
  <c r="H19" i="14"/>
  <c r="J19" i="14" s="1"/>
  <c r="K19" i="14" s="1"/>
  <c r="G19" i="14"/>
  <c r="L19" i="14" s="1"/>
  <c r="I18" i="14"/>
  <c r="M18" i="14" s="1"/>
  <c r="H18" i="14"/>
  <c r="J18" i="14" s="1"/>
  <c r="K18" i="14" s="1"/>
  <c r="G18" i="14"/>
  <c r="L18" i="14" s="1"/>
  <c r="I17" i="14"/>
  <c r="M17" i="14" s="1"/>
  <c r="H17" i="14"/>
  <c r="J17" i="14" s="1"/>
  <c r="K17" i="14" s="1"/>
  <c r="G17" i="14"/>
  <c r="L17" i="14" s="1"/>
  <c r="I16" i="14"/>
  <c r="M16" i="14" s="1"/>
  <c r="H16" i="14"/>
  <c r="J16" i="14" s="1"/>
  <c r="K16" i="14" s="1"/>
  <c r="G16" i="14"/>
  <c r="L16" i="14" s="1"/>
  <c r="I15" i="14"/>
  <c r="M15" i="14" s="1"/>
  <c r="H15" i="14"/>
  <c r="J15" i="14" s="1"/>
  <c r="K15" i="14" s="1"/>
  <c r="G15" i="14"/>
  <c r="L15" i="14" s="1"/>
  <c r="I14" i="14"/>
  <c r="M14" i="14" s="1"/>
  <c r="H14" i="14"/>
  <c r="J14" i="14" s="1"/>
  <c r="K14" i="14" s="1"/>
  <c r="G14" i="14"/>
  <c r="L14" i="14" s="1"/>
  <c r="I13" i="14"/>
  <c r="M13" i="14" s="1"/>
  <c r="H13" i="14"/>
  <c r="J13" i="14" s="1"/>
  <c r="K13" i="14" s="1"/>
  <c r="G13" i="14"/>
  <c r="L13" i="14" s="1"/>
  <c r="I12" i="14"/>
  <c r="M12" i="14" s="1"/>
  <c r="H12" i="14"/>
  <c r="J12" i="14" s="1"/>
  <c r="K12" i="14" s="1"/>
  <c r="G12" i="14"/>
  <c r="L12" i="14" s="1"/>
  <c r="I11" i="14"/>
  <c r="M11" i="14" s="1"/>
  <c r="H11" i="14"/>
  <c r="J11" i="14" s="1"/>
  <c r="K11" i="14" s="1"/>
  <c r="G11" i="14"/>
  <c r="L11" i="14" s="1"/>
  <c r="I10" i="14"/>
  <c r="M10" i="14" s="1"/>
  <c r="H10" i="14"/>
  <c r="J10" i="14" s="1"/>
  <c r="K10" i="14" s="1"/>
  <c r="G10" i="14"/>
  <c r="L10" i="14" s="1"/>
  <c r="I9" i="14"/>
  <c r="M9" i="14" s="1"/>
  <c r="H9" i="14"/>
  <c r="J9" i="14" s="1"/>
  <c r="K9" i="14" s="1"/>
  <c r="G9" i="14"/>
  <c r="L9" i="14" s="1"/>
  <c r="I8" i="14"/>
  <c r="M8" i="14" s="1"/>
  <c r="H8" i="14"/>
  <c r="J8" i="14" s="1"/>
  <c r="K8" i="14" s="1"/>
  <c r="G8" i="14"/>
  <c r="L8" i="14" s="1"/>
  <c r="I7" i="14"/>
  <c r="M7" i="14" s="1"/>
  <c r="H7" i="14"/>
  <c r="J7" i="14" s="1"/>
  <c r="K7" i="14" s="1"/>
  <c r="G7" i="14"/>
  <c r="L7" i="14" s="1"/>
  <c r="I70" i="13"/>
  <c r="M70" i="13" s="1"/>
  <c r="H70" i="13"/>
  <c r="J70" i="13" s="1"/>
  <c r="K70" i="13" s="1"/>
  <c r="G70" i="13"/>
  <c r="L70" i="13" s="1"/>
  <c r="I69" i="13"/>
  <c r="M69" i="13" s="1"/>
  <c r="H69" i="13"/>
  <c r="J69" i="13" s="1"/>
  <c r="K69" i="13" s="1"/>
  <c r="G69" i="13"/>
  <c r="L69" i="13" s="1"/>
  <c r="I68" i="13"/>
  <c r="M68" i="13" s="1"/>
  <c r="H68" i="13"/>
  <c r="J68" i="13" s="1"/>
  <c r="K68" i="13" s="1"/>
  <c r="G68" i="13"/>
  <c r="L68" i="13" s="1"/>
  <c r="I67" i="13"/>
  <c r="M67" i="13" s="1"/>
  <c r="H67" i="13"/>
  <c r="J67" i="13" s="1"/>
  <c r="K67" i="13" s="1"/>
  <c r="G67" i="13"/>
  <c r="L67" i="13" s="1"/>
  <c r="I66" i="13"/>
  <c r="M66" i="13" s="1"/>
  <c r="H66" i="13"/>
  <c r="J66" i="13" s="1"/>
  <c r="K66" i="13" s="1"/>
  <c r="G66" i="13"/>
  <c r="L66" i="13" s="1"/>
  <c r="I65" i="13"/>
  <c r="M65" i="13" s="1"/>
  <c r="H65" i="13"/>
  <c r="J65" i="13" s="1"/>
  <c r="K65" i="13" s="1"/>
  <c r="G65" i="13"/>
  <c r="L65" i="13" s="1"/>
  <c r="I64" i="13"/>
  <c r="M64" i="13" s="1"/>
  <c r="H64" i="13"/>
  <c r="J64" i="13" s="1"/>
  <c r="K64" i="13" s="1"/>
  <c r="G64" i="13"/>
  <c r="L64" i="13" s="1"/>
  <c r="I63" i="13"/>
  <c r="M63" i="13" s="1"/>
  <c r="H63" i="13"/>
  <c r="J63" i="13" s="1"/>
  <c r="K63" i="13" s="1"/>
  <c r="G63" i="13"/>
  <c r="L63" i="13" s="1"/>
  <c r="I62" i="13"/>
  <c r="M62" i="13" s="1"/>
  <c r="H62" i="13"/>
  <c r="J62" i="13" s="1"/>
  <c r="K62" i="13" s="1"/>
  <c r="G62" i="13"/>
  <c r="L62" i="13" s="1"/>
  <c r="I61" i="13"/>
  <c r="M61" i="13" s="1"/>
  <c r="H61" i="13"/>
  <c r="J61" i="13" s="1"/>
  <c r="K61" i="13" s="1"/>
  <c r="G61" i="13"/>
  <c r="L61" i="13" s="1"/>
  <c r="I60" i="13"/>
  <c r="M60" i="13" s="1"/>
  <c r="H60" i="13"/>
  <c r="J60" i="13" s="1"/>
  <c r="K60" i="13" s="1"/>
  <c r="G60" i="13"/>
  <c r="L60" i="13" s="1"/>
  <c r="I59" i="13"/>
  <c r="M59" i="13" s="1"/>
  <c r="H59" i="13"/>
  <c r="J59" i="13" s="1"/>
  <c r="K59" i="13" s="1"/>
  <c r="G59" i="13"/>
  <c r="L59" i="13" s="1"/>
  <c r="I58" i="13"/>
  <c r="M58" i="13" s="1"/>
  <c r="H58" i="13"/>
  <c r="J58" i="13" s="1"/>
  <c r="K58" i="13" s="1"/>
  <c r="G58" i="13"/>
  <c r="L58" i="13" s="1"/>
  <c r="I57" i="13"/>
  <c r="M57" i="13" s="1"/>
  <c r="H57" i="13"/>
  <c r="J57" i="13" s="1"/>
  <c r="K57" i="13" s="1"/>
  <c r="G57" i="13"/>
  <c r="L57" i="13" s="1"/>
  <c r="I56" i="13"/>
  <c r="M56" i="13" s="1"/>
  <c r="H56" i="13"/>
  <c r="J56" i="13" s="1"/>
  <c r="K56" i="13" s="1"/>
  <c r="G56" i="13"/>
  <c r="L56" i="13" s="1"/>
  <c r="I55" i="13"/>
  <c r="M55" i="13" s="1"/>
  <c r="H55" i="13"/>
  <c r="J55" i="13" s="1"/>
  <c r="K55" i="13" s="1"/>
  <c r="G55" i="13"/>
  <c r="L55" i="13" s="1"/>
  <c r="I54" i="13"/>
  <c r="M54" i="13" s="1"/>
  <c r="H54" i="13"/>
  <c r="J54" i="13" s="1"/>
  <c r="K54" i="13" s="1"/>
  <c r="G54" i="13"/>
  <c r="L54" i="13" s="1"/>
  <c r="I53" i="13"/>
  <c r="M53" i="13" s="1"/>
  <c r="H53" i="13"/>
  <c r="J53" i="13" s="1"/>
  <c r="K53" i="13" s="1"/>
  <c r="G53" i="13"/>
  <c r="L53" i="13" s="1"/>
  <c r="I52" i="13"/>
  <c r="M52" i="13" s="1"/>
  <c r="H52" i="13"/>
  <c r="J52" i="13" s="1"/>
  <c r="K52" i="13" s="1"/>
  <c r="G52" i="13"/>
  <c r="L52" i="13" s="1"/>
  <c r="I51" i="13"/>
  <c r="M51" i="13" s="1"/>
  <c r="H51" i="13"/>
  <c r="J51" i="13" s="1"/>
  <c r="K51" i="13" s="1"/>
  <c r="G51" i="13"/>
  <c r="L51" i="13" s="1"/>
  <c r="I50" i="13"/>
  <c r="M50" i="13" s="1"/>
  <c r="H50" i="13"/>
  <c r="J50" i="13" s="1"/>
  <c r="K50" i="13" s="1"/>
  <c r="G50" i="13"/>
  <c r="L50" i="13" s="1"/>
  <c r="I49" i="13"/>
  <c r="M49" i="13" s="1"/>
  <c r="H49" i="13"/>
  <c r="J49" i="13" s="1"/>
  <c r="K49" i="13" s="1"/>
  <c r="G49" i="13"/>
  <c r="L49" i="13" s="1"/>
  <c r="I48" i="13"/>
  <c r="M48" i="13" s="1"/>
  <c r="H48" i="13"/>
  <c r="J48" i="13" s="1"/>
  <c r="K48" i="13" s="1"/>
  <c r="G48" i="13"/>
  <c r="L48" i="13" s="1"/>
  <c r="I47" i="13"/>
  <c r="M47" i="13" s="1"/>
  <c r="H47" i="13"/>
  <c r="J47" i="13" s="1"/>
  <c r="K47" i="13" s="1"/>
  <c r="G47" i="13"/>
  <c r="L47" i="13" s="1"/>
  <c r="I46" i="13"/>
  <c r="M46" i="13" s="1"/>
  <c r="H46" i="13"/>
  <c r="J46" i="13" s="1"/>
  <c r="K46" i="13" s="1"/>
  <c r="G46" i="13"/>
  <c r="L46" i="13" s="1"/>
  <c r="I45" i="13"/>
  <c r="M45" i="13" s="1"/>
  <c r="H45" i="13"/>
  <c r="J45" i="13" s="1"/>
  <c r="K45" i="13" s="1"/>
  <c r="G45" i="13"/>
  <c r="L45" i="13" s="1"/>
  <c r="I44" i="13"/>
  <c r="M44" i="13" s="1"/>
  <c r="H44" i="13"/>
  <c r="J44" i="13" s="1"/>
  <c r="K44" i="13" s="1"/>
  <c r="G44" i="13"/>
  <c r="L44" i="13" s="1"/>
  <c r="I43" i="13"/>
  <c r="M43" i="13" s="1"/>
  <c r="H43" i="13"/>
  <c r="J43" i="13" s="1"/>
  <c r="K43" i="13" s="1"/>
  <c r="G43" i="13"/>
  <c r="L43" i="13" s="1"/>
  <c r="I42" i="13"/>
  <c r="M42" i="13" s="1"/>
  <c r="H42" i="13"/>
  <c r="J42" i="13" s="1"/>
  <c r="K42" i="13" s="1"/>
  <c r="G42" i="13"/>
  <c r="L42" i="13" s="1"/>
  <c r="I41" i="13"/>
  <c r="M41" i="13" s="1"/>
  <c r="H41" i="13"/>
  <c r="J41" i="13" s="1"/>
  <c r="K41" i="13" s="1"/>
  <c r="G41" i="13"/>
  <c r="L41" i="13" s="1"/>
  <c r="I40" i="13"/>
  <c r="M40" i="13" s="1"/>
  <c r="H40" i="13"/>
  <c r="J40" i="13" s="1"/>
  <c r="K40" i="13" s="1"/>
  <c r="G40" i="13"/>
  <c r="L40" i="13" s="1"/>
  <c r="I39" i="13"/>
  <c r="M39" i="13" s="1"/>
  <c r="H39" i="13"/>
  <c r="J39" i="13" s="1"/>
  <c r="K39" i="13" s="1"/>
  <c r="G39" i="13"/>
  <c r="L39" i="13" s="1"/>
  <c r="I38" i="13"/>
  <c r="M38" i="13" s="1"/>
  <c r="H38" i="13"/>
  <c r="J38" i="13" s="1"/>
  <c r="K38" i="13" s="1"/>
  <c r="G38" i="13"/>
  <c r="L38" i="13" s="1"/>
  <c r="I37" i="13"/>
  <c r="M37" i="13" s="1"/>
  <c r="H37" i="13"/>
  <c r="J37" i="13" s="1"/>
  <c r="K37" i="13" s="1"/>
  <c r="G37" i="13"/>
  <c r="L37" i="13" s="1"/>
  <c r="I36" i="13"/>
  <c r="M36" i="13" s="1"/>
  <c r="H36" i="13"/>
  <c r="J36" i="13" s="1"/>
  <c r="K36" i="13" s="1"/>
  <c r="G36" i="13"/>
  <c r="L36" i="13" s="1"/>
  <c r="I35" i="13"/>
  <c r="M35" i="13" s="1"/>
  <c r="H35" i="13"/>
  <c r="J35" i="13" s="1"/>
  <c r="K35" i="13" s="1"/>
  <c r="G35" i="13"/>
  <c r="L35" i="13" s="1"/>
  <c r="I34" i="13"/>
  <c r="M34" i="13" s="1"/>
  <c r="H34" i="13"/>
  <c r="J34" i="13" s="1"/>
  <c r="K34" i="13" s="1"/>
  <c r="G34" i="13"/>
  <c r="L34" i="13" s="1"/>
  <c r="I33" i="13"/>
  <c r="M33" i="13" s="1"/>
  <c r="H33" i="13"/>
  <c r="J33" i="13" s="1"/>
  <c r="K33" i="13" s="1"/>
  <c r="G33" i="13"/>
  <c r="L33" i="13" s="1"/>
  <c r="I32" i="13"/>
  <c r="M32" i="13" s="1"/>
  <c r="H32" i="13"/>
  <c r="J32" i="13" s="1"/>
  <c r="K32" i="13" s="1"/>
  <c r="G32" i="13"/>
  <c r="L32" i="13" s="1"/>
  <c r="I31" i="13"/>
  <c r="M31" i="13" s="1"/>
  <c r="H31" i="13"/>
  <c r="J31" i="13" s="1"/>
  <c r="K31" i="13" s="1"/>
  <c r="G31" i="13"/>
  <c r="L31" i="13" s="1"/>
  <c r="I30" i="13"/>
  <c r="M30" i="13" s="1"/>
  <c r="H30" i="13"/>
  <c r="J30" i="13" s="1"/>
  <c r="K30" i="13" s="1"/>
  <c r="G30" i="13"/>
  <c r="L30" i="13" s="1"/>
  <c r="I29" i="13"/>
  <c r="M29" i="13" s="1"/>
  <c r="H29" i="13"/>
  <c r="J29" i="13" s="1"/>
  <c r="K29" i="13" s="1"/>
  <c r="G29" i="13"/>
  <c r="L29" i="13" s="1"/>
  <c r="I28" i="13"/>
  <c r="M28" i="13" s="1"/>
  <c r="H28" i="13"/>
  <c r="J28" i="13" s="1"/>
  <c r="K28" i="13" s="1"/>
  <c r="G28" i="13"/>
  <c r="L28" i="13" s="1"/>
  <c r="I27" i="13"/>
  <c r="M27" i="13" s="1"/>
  <c r="H27" i="13"/>
  <c r="J27" i="13" s="1"/>
  <c r="K27" i="13" s="1"/>
  <c r="G27" i="13"/>
  <c r="L27" i="13" s="1"/>
  <c r="I26" i="13"/>
  <c r="M26" i="13" s="1"/>
  <c r="H26" i="13"/>
  <c r="J26" i="13" s="1"/>
  <c r="K26" i="13" s="1"/>
  <c r="G26" i="13"/>
  <c r="L26" i="13" s="1"/>
  <c r="I25" i="13"/>
  <c r="M25" i="13" s="1"/>
  <c r="H25" i="13"/>
  <c r="J25" i="13" s="1"/>
  <c r="K25" i="13" s="1"/>
  <c r="G25" i="13"/>
  <c r="L25" i="13" s="1"/>
  <c r="I24" i="13"/>
  <c r="M24" i="13" s="1"/>
  <c r="H24" i="13"/>
  <c r="J24" i="13" s="1"/>
  <c r="K24" i="13" s="1"/>
  <c r="G24" i="13"/>
  <c r="L24" i="13" s="1"/>
  <c r="I23" i="13"/>
  <c r="M23" i="13" s="1"/>
  <c r="H23" i="13"/>
  <c r="J23" i="13" s="1"/>
  <c r="K23" i="13" s="1"/>
  <c r="G23" i="13"/>
  <c r="L23" i="13" s="1"/>
  <c r="I22" i="13"/>
  <c r="M22" i="13" s="1"/>
  <c r="H22" i="13"/>
  <c r="J22" i="13" s="1"/>
  <c r="K22" i="13" s="1"/>
  <c r="G22" i="13"/>
  <c r="L22" i="13" s="1"/>
  <c r="I21" i="13"/>
  <c r="M21" i="13" s="1"/>
  <c r="H21" i="13"/>
  <c r="J21" i="13" s="1"/>
  <c r="K21" i="13" s="1"/>
  <c r="G21" i="13"/>
  <c r="L21" i="13" s="1"/>
  <c r="I20" i="13"/>
  <c r="M20" i="13" s="1"/>
  <c r="H20" i="13"/>
  <c r="J20" i="13" s="1"/>
  <c r="K20" i="13" s="1"/>
  <c r="G20" i="13"/>
  <c r="L20" i="13" s="1"/>
  <c r="I19" i="13"/>
  <c r="M19" i="13" s="1"/>
  <c r="H19" i="13"/>
  <c r="J19" i="13" s="1"/>
  <c r="K19" i="13" s="1"/>
  <c r="G19" i="13"/>
  <c r="L19" i="13" s="1"/>
  <c r="I18" i="13"/>
  <c r="M18" i="13" s="1"/>
  <c r="H18" i="13"/>
  <c r="J18" i="13" s="1"/>
  <c r="K18" i="13" s="1"/>
  <c r="G18" i="13"/>
  <c r="L18" i="13" s="1"/>
  <c r="I17" i="13"/>
  <c r="M17" i="13" s="1"/>
  <c r="H17" i="13"/>
  <c r="J17" i="13" s="1"/>
  <c r="K17" i="13" s="1"/>
  <c r="G17" i="13"/>
  <c r="L17" i="13" s="1"/>
  <c r="I16" i="13"/>
  <c r="M16" i="13" s="1"/>
  <c r="H16" i="13"/>
  <c r="J16" i="13" s="1"/>
  <c r="K16" i="13" s="1"/>
  <c r="G16" i="13"/>
  <c r="L16" i="13" s="1"/>
  <c r="I15" i="13"/>
  <c r="M15" i="13" s="1"/>
  <c r="H15" i="13"/>
  <c r="J15" i="13" s="1"/>
  <c r="K15" i="13" s="1"/>
  <c r="G15" i="13"/>
  <c r="L15" i="13" s="1"/>
  <c r="I14" i="13"/>
  <c r="M14" i="13" s="1"/>
  <c r="H14" i="13"/>
  <c r="J14" i="13" s="1"/>
  <c r="K14" i="13" s="1"/>
  <c r="G14" i="13"/>
  <c r="L14" i="13" s="1"/>
  <c r="I13" i="13"/>
  <c r="M13" i="13" s="1"/>
  <c r="H13" i="13"/>
  <c r="J13" i="13" s="1"/>
  <c r="K13" i="13" s="1"/>
  <c r="G13" i="13"/>
  <c r="L13" i="13" s="1"/>
  <c r="I12" i="13"/>
  <c r="M12" i="13" s="1"/>
  <c r="H12" i="13"/>
  <c r="J12" i="13" s="1"/>
  <c r="K12" i="13" s="1"/>
  <c r="G12" i="13"/>
  <c r="L12" i="13" s="1"/>
  <c r="I11" i="13"/>
  <c r="M11" i="13" s="1"/>
  <c r="H11" i="13"/>
  <c r="J11" i="13" s="1"/>
  <c r="K11" i="13" s="1"/>
  <c r="G11" i="13"/>
  <c r="L11" i="13" s="1"/>
  <c r="I10" i="13"/>
  <c r="M10" i="13" s="1"/>
  <c r="H10" i="13"/>
  <c r="J10" i="13" s="1"/>
  <c r="K10" i="13" s="1"/>
  <c r="G10" i="13"/>
  <c r="L10" i="13" s="1"/>
  <c r="I9" i="13"/>
  <c r="M9" i="13" s="1"/>
  <c r="H9" i="13"/>
  <c r="J9" i="13" s="1"/>
  <c r="K9" i="13" s="1"/>
  <c r="G9" i="13"/>
  <c r="L9" i="13" s="1"/>
  <c r="I8" i="13"/>
  <c r="M8" i="13" s="1"/>
  <c r="H8" i="13"/>
  <c r="J8" i="13" s="1"/>
  <c r="K8" i="13" s="1"/>
  <c r="G8" i="13"/>
  <c r="L8" i="13" s="1"/>
  <c r="I7" i="13"/>
  <c r="M7" i="13" s="1"/>
  <c r="H7" i="13"/>
  <c r="J7" i="13" s="1"/>
  <c r="K7" i="13" s="1"/>
  <c r="G7" i="13"/>
  <c r="L7" i="13" s="1"/>
  <c r="I74" i="12"/>
  <c r="M74" i="12" s="1"/>
  <c r="H74" i="12"/>
  <c r="J74" i="12" s="1"/>
  <c r="K74" i="12" s="1"/>
  <c r="G74" i="12"/>
  <c r="L74" i="12" s="1"/>
  <c r="I73" i="12"/>
  <c r="M73" i="12" s="1"/>
  <c r="H73" i="12"/>
  <c r="J73" i="12" s="1"/>
  <c r="K73" i="12" s="1"/>
  <c r="G73" i="12"/>
  <c r="L73" i="12" s="1"/>
  <c r="I72" i="12"/>
  <c r="M72" i="12" s="1"/>
  <c r="H72" i="12"/>
  <c r="J72" i="12" s="1"/>
  <c r="K72" i="12" s="1"/>
  <c r="G72" i="12"/>
  <c r="L72" i="12" s="1"/>
  <c r="I71" i="12"/>
  <c r="M71" i="12" s="1"/>
  <c r="H71" i="12"/>
  <c r="J71" i="12" s="1"/>
  <c r="K71" i="12" s="1"/>
  <c r="G71" i="12"/>
  <c r="L71" i="12" s="1"/>
  <c r="I70" i="12"/>
  <c r="M70" i="12" s="1"/>
  <c r="H70" i="12"/>
  <c r="J70" i="12" s="1"/>
  <c r="K70" i="12" s="1"/>
  <c r="G70" i="12"/>
  <c r="L70" i="12" s="1"/>
  <c r="I69" i="12"/>
  <c r="M69" i="12" s="1"/>
  <c r="H69" i="12"/>
  <c r="J69" i="12" s="1"/>
  <c r="K69" i="12" s="1"/>
  <c r="G69" i="12"/>
  <c r="L69" i="12" s="1"/>
  <c r="I68" i="12"/>
  <c r="M68" i="12" s="1"/>
  <c r="H68" i="12"/>
  <c r="J68" i="12" s="1"/>
  <c r="K68" i="12" s="1"/>
  <c r="G68" i="12"/>
  <c r="L68" i="12" s="1"/>
  <c r="I67" i="12"/>
  <c r="M67" i="12" s="1"/>
  <c r="H67" i="12"/>
  <c r="J67" i="12" s="1"/>
  <c r="K67" i="12" s="1"/>
  <c r="G67" i="12"/>
  <c r="L67" i="12" s="1"/>
  <c r="I66" i="12"/>
  <c r="M66" i="12" s="1"/>
  <c r="H66" i="12"/>
  <c r="J66" i="12" s="1"/>
  <c r="K66" i="12" s="1"/>
  <c r="G66" i="12"/>
  <c r="L66" i="12" s="1"/>
  <c r="I65" i="12"/>
  <c r="M65" i="12" s="1"/>
  <c r="H65" i="12"/>
  <c r="J65" i="12" s="1"/>
  <c r="K65" i="12" s="1"/>
  <c r="G65" i="12"/>
  <c r="L65" i="12" s="1"/>
  <c r="I64" i="12"/>
  <c r="M64" i="12" s="1"/>
  <c r="H64" i="12"/>
  <c r="J64" i="12" s="1"/>
  <c r="K64" i="12" s="1"/>
  <c r="G64" i="12"/>
  <c r="L64" i="12" s="1"/>
  <c r="I63" i="12"/>
  <c r="M63" i="12" s="1"/>
  <c r="H63" i="12"/>
  <c r="J63" i="12" s="1"/>
  <c r="K63" i="12" s="1"/>
  <c r="G63" i="12"/>
  <c r="L63" i="12" s="1"/>
  <c r="I62" i="12"/>
  <c r="M62" i="12" s="1"/>
  <c r="H62" i="12"/>
  <c r="J62" i="12" s="1"/>
  <c r="K62" i="12" s="1"/>
  <c r="G62" i="12"/>
  <c r="L62" i="12" s="1"/>
  <c r="I61" i="12"/>
  <c r="M61" i="12" s="1"/>
  <c r="H61" i="12"/>
  <c r="J61" i="12" s="1"/>
  <c r="K61" i="12" s="1"/>
  <c r="G61" i="12"/>
  <c r="L61" i="12" s="1"/>
  <c r="I60" i="12"/>
  <c r="M60" i="12" s="1"/>
  <c r="H60" i="12"/>
  <c r="J60" i="12" s="1"/>
  <c r="K60" i="12" s="1"/>
  <c r="G60" i="12"/>
  <c r="L60" i="12" s="1"/>
  <c r="I59" i="12"/>
  <c r="M59" i="12" s="1"/>
  <c r="H59" i="12"/>
  <c r="J59" i="12" s="1"/>
  <c r="K59" i="12" s="1"/>
  <c r="G59" i="12"/>
  <c r="L59" i="12" s="1"/>
  <c r="I58" i="12"/>
  <c r="M58" i="12" s="1"/>
  <c r="H58" i="12"/>
  <c r="J58" i="12" s="1"/>
  <c r="K58" i="12" s="1"/>
  <c r="G58" i="12"/>
  <c r="L58" i="12" s="1"/>
  <c r="I57" i="12"/>
  <c r="M57" i="12" s="1"/>
  <c r="H57" i="12"/>
  <c r="J57" i="12" s="1"/>
  <c r="K57" i="12" s="1"/>
  <c r="G57" i="12"/>
  <c r="L57" i="12" s="1"/>
  <c r="I56" i="12"/>
  <c r="M56" i="12" s="1"/>
  <c r="H56" i="12"/>
  <c r="J56" i="12" s="1"/>
  <c r="K56" i="12" s="1"/>
  <c r="G56" i="12"/>
  <c r="L56" i="12" s="1"/>
  <c r="I55" i="12"/>
  <c r="M55" i="12" s="1"/>
  <c r="H55" i="12"/>
  <c r="J55" i="12" s="1"/>
  <c r="K55" i="12" s="1"/>
  <c r="G55" i="12"/>
  <c r="L55" i="12" s="1"/>
  <c r="I54" i="12"/>
  <c r="M54" i="12" s="1"/>
  <c r="H54" i="12"/>
  <c r="J54" i="12" s="1"/>
  <c r="K54" i="12" s="1"/>
  <c r="G54" i="12"/>
  <c r="L54" i="12" s="1"/>
  <c r="I53" i="12"/>
  <c r="M53" i="12" s="1"/>
  <c r="H53" i="12"/>
  <c r="J53" i="12" s="1"/>
  <c r="K53" i="12" s="1"/>
  <c r="G53" i="12"/>
  <c r="L53" i="12" s="1"/>
  <c r="I52" i="12"/>
  <c r="M52" i="12" s="1"/>
  <c r="H52" i="12"/>
  <c r="J52" i="12" s="1"/>
  <c r="K52" i="12" s="1"/>
  <c r="G52" i="12"/>
  <c r="L52" i="12" s="1"/>
  <c r="I51" i="12"/>
  <c r="M51" i="12" s="1"/>
  <c r="H51" i="12"/>
  <c r="J51" i="12" s="1"/>
  <c r="K51" i="12" s="1"/>
  <c r="G51" i="12"/>
  <c r="L51" i="12" s="1"/>
  <c r="I50" i="12"/>
  <c r="M50" i="12" s="1"/>
  <c r="H50" i="12"/>
  <c r="J50" i="12" s="1"/>
  <c r="K50" i="12" s="1"/>
  <c r="G50" i="12"/>
  <c r="L50" i="12" s="1"/>
  <c r="I49" i="12"/>
  <c r="M49" i="12" s="1"/>
  <c r="H49" i="12"/>
  <c r="J49" i="12" s="1"/>
  <c r="K49" i="12" s="1"/>
  <c r="G49" i="12"/>
  <c r="L49" i="12" s="1"/>
  <c r="I48" i="12"/>
  <c r="M48" i="12" s="1"/>
  <c r="H48" i="12"/>
  <c r="J48" i="12" s="1"/>
  <c r="K48" i="12" s="1"/>
  <c r="G48" i="12"/>
  <c r="L48" i="12" s="1"/>
  <c r="I47" i="12"/>
  <c r="M47" i="12" s="1"/>
  <c r="H47" i="12"/>
  <c r="J47" i="12" s="1"/>
  <c r="K47" i="12" s="1"/>
  <c r="G47" i="12"/>
  <c r="L47" i="12" s="1"/>
  <c r="I46" i="12"/>
  <c r="M46" i="12" s="1"/>
  <c r="H46" i="12"/>
  <c r="J46" i="12" s="1"/>
  <c r="K46" i="12" s="1"/>
  <c r="G46" i="12"/>
  <c r="L46" i="12" s="1"/>
  <c r="I45" i="12"/>
  <c r="M45" i="12" s="1"/>
  <c r="H45" i="12"/>
  <c r="J45" i="12" s="1"/>
  <c r="K45" i="12" s="1"/>
  <c r="G45" i="12"/>
  <c r="L45" i="12" s="1"/>
  <c r="I44" i="12"/>
  <c r="M44" i="12" s="1"/>
  <c r="H44" i="12"/>
  <c r="J44" i="12" s="1"/>
  <c r="K44" i="12" s="1"/>
  <c r="G44" i="12"/>
  <c r="L44" i="12" s="1"/>
  <c r="I43" i="12"/>
  <c r="M43" i="12" s="1"/>
  <c r="H43" i="12"/>
  <c r="J43" i="12" s="1"/>
  <c r="K43" i="12" s="1"/>
  <c r="G43" i="12"/>
  <c r="L43" i="12" s="1"/>
  <c r="I42" i="12"/>
  <c r="M42" i="12" s="1"/>
  <c r="H42" i="12"/>
  <c r="J42" i="12" s="1"/>
  <c r="K42" i="12" s="1"/>
  <c r="G42" i="12"/>
  <c r="L42" i="12" s="1"/>
  <c r="I41" i="12"/>
  <c r="M41" i="12" s="1"/>
  <c r="H41" i="12"/>
  <c r="J41" i="12" s="1"/>
  <c r="K41" i="12" s="1"/>
  <c r="G41" i="12"/>
  <c r="L41" i="12" s="1"/>
  <c r="I40" i="12"/>
  <c r="M40" i="12" s="1"/>
  <c r="H40" i="12"/>
  <c r="J40" i="12" s="1"/>
  <c r="K40" i="12" s="1"/>
  <c r="G40" i="12"/>
  <c r="L40" i="12" s="1"/>
  <c r="I39" i="12"/>
  <c r="M39" i="12" s="1"/>
  <c r="H39" i="12"/>
  <c r="J39" i="12" s="1"/>
  <c r="K39" i="12" s="1"/>
  <c r="G39" i="12"/>
  <c r="L39" i="12" s="1"/>
  <c r="I38" i="12"/>
  <c r="M38" i="12" s="1"/>
  <c r="H38" i="12"/>
  <c r="J38" i="12" s="1"/>
  <c r="K38" i="12" s="1"/>
  <c r="G38" i="12"/>
  <c r="L38" i="12" s="1"/>
  <c r="I37" i="12"/>
  <c r="M37" i="12" s="1"/>
  <c r="H37" i="12"/>
  <c r="J37" i="12" s="1"/>
  <c r="K37" i="12" s="1"/>
  <c r="G37" i="12"/>
  <c r="L37" i="12" s="1"/>
  <c r="I36" i="12"/>
  <c r="M36" i="12" s="1"/>
  <c r="H36" i="12"/>
  <c r="J36" i="12" s="1"/>
  <c r="K36" i="12" s="1"/>
  <c r="G36" i="12"/>
  <c r="L36" i="12" s="1"/>
  <c r="I35" i="12"/>
  <c r="M35" i="12" s="1"/>
  <c r="H35" i="12"/>
  <c r="J35" i="12" s="1"/>
  <c r="K35" i="12" s="1"/>
  <c r="G35" i="12"/>
  <c r="L35" i="12" s="1"/>
  <c r="I34" i="12"/>
  <c r="M34" i="12" s="1"/>
  <c r="H34" i="12"/>
  <c r="J34" i="12" s="1"/>
  <c r="K34" i="12" s="1"/>
  <c r="G34" i="12"/>
  <c r="L34" i="12" s="1"/>
  <c r="I33" i="12"/>
  <c r="M33" i="12" s="1"/>
  <c r="H33" i="12"/>
  <c r="J33" i="12" s="1"/>
  <c r="K33" i="12" s="1"/>
  <c r="G33" i="12"/>
  <c r="L33" i="12" s="1"/>
  <c r="I32" i="12"/>
  <c r="M32" i="12" s="1"/>
  <c r="H32" i="12"/>
  <c r="J32" i="12" s="1"/>
  <c r="K32" i="12" s="1"/>
  <c r="G32" i="12"/>
  <c r="L32" i="12" s="1"/>
  <c r="I31" i="12"/>
  <c r="M31" i="12" s="1"/>
  <c r="H31" i="12"/>
  <c r="J31" i="12" s="1"/>
  <c r="K31" i="12" s="1"/>
  <c r="G31" i="12"/>
  <c r="L31" i="12" s="1"/>
  <c r="I30" i="12"/>
  <c r="M30" i="12" s="1"/>
  <c r="H30" i="12"/>
  <c r="J30" i="12" s="1"/>
  <c r="K30" i="12" s="1"/>
  <c r="G30" i="12"/>
  <c r="L30" i="12" s="1"/>
  <c r="I29" i="12"/>
  <c r="M29" i="12" s="1"/>
  <c r="H29" i="12"/>
  <c r="J29" i="12" s="1"/>
  <c r="K29" i="12" s="1"/>
  <c r="G29" i="12"/>
  <c r="L29" i="12" s="1"/>
  <c r="I28" i="12"/>
  <c r="M28" i="12" s="1"/>
  <c r="H28" i="12"/>
  <c r="J28" i="12" s="1"/>
  <c r="K28" i="12" s="1"/>
  <c r="G28" i="12"/>
  <c r="L28" i="12" s="1"/>
  <c r="I27" i="12"/>
  <c r="M27" i="12" s="1"/>
  <c r="H27" i="12"/>
  <c r="J27" i="12" s="1"/>
  <c r="K27" i="12" s="1"/>
  <c r="G27" i="12"/>
  <c r="L27" i="12" s="1"/>
  <c r="I26" i="12"/>
  <c r="M26" i="12" s="1"/>
  <c r="H26" i="12"/>
  <c r="J26" i="12" s="1"/>
  <c r="K26" i="12" s="1"/>
  <c r="G26" i="12"/>
  <c r="L26" i="12" s="1"/>
  <c r="I25" i="12"/>
  <c r="M25" i="12" s="1"/>
  <c r="H25" i="12"/>
  <c r="J25" i="12" s="1"/>
  <c r="K25" i="12" s="1"/>
  <c r="G25" i="12"/>
  <c r="L25" i="12" s="1"/>
  <c r="I24" i="12"/>
  <c r="M24" i="12" s="1"/>
  <c r="H24" i="12"/>
  <c r="J24" i="12" s="1"/>
  <c r="K24" i="12" s="1"/>
  <c r="G24" i="12"/>
  <c r="L24" i="12" s="1"/>
  <c r="I23" i="12"/>
  <c r="M23" i="12" s="1"/>
  <c r="H23" i="12"/>
  <c r="J23" i="12" s="1"/>
  <c r="K23" i="12" s="1"/>
  <c r="G23" i="12"/>
  <c r="L23" i="12" s="1"/>
  <c r="I22" i="12"/>
  <c r="M22" i="12" s="1"/>
  <c r="H22" i="12"/>
  <c r="J22" i="12" s="1"/>
  <c r="K22" i="12" s="1"/>
  <c r="G22" i="12"/>
  <c r="L22" i="12" s="1"/>
  <c r="I21" i="12"/>
  <c r="M21" i="12" s="1"/>
  <c r="H21" i="12"/>
  <c r="J21" i="12" s="1"/>
  <c r="K21" i="12" s="1"/>
  <c r="G21" i="12"/>
  <c r="L21" i="12" s="1"/>
  <c r="I20" i="12"/>
  <c r="M20" i="12" s="1"/>
  <c r="H20" i="12"/>
  <c r="J20" i="12" s="1"/>
  <c r="K20" i="12" s="1"/>
  <c r="G20" i="12"/>
  <c r="L20" i="12" s="1"/>
  <c r="I19" i="12"/>
  <c r="M19" i="12" s="1"/>
  <c r="H19" i="12"/>
  <c r="J19" i="12" s="1"/>
  <c r="K19" i="12" s="1"/>
  <c r="G19" i="12"/>
  <c r="L19" i="12" s="1"/>
  <c r="I18" i="12"/>
  <c r="M18" i="12" s="1"/>
  <c r="H18" i="12"/>
  <c r="J18" i="12" s="1"/>
  <c r="K18" i="12" s="1"/>
  <c r="G18" i="12"/>
  <c r="L18" i="12" s="1"/>
  <c r="I17" i="12"/>
  <c r="M17" i="12" s="1"/>
  <c r="H17" i="12"/>
  <c r="J17" i="12" s="1"/>
  <c r="K17" i="12" s="1"/>
  <c r="G17" i="12"/>
  <c r="L17" i="12" s="1"/>
  <c r="I16" i="12"/>
  <c r="M16" i="12" s="1"/>
  <c r="H16" i="12"/>
  <c r="J16" i="12" s="1"/>
  <c r="K16" i="12" s="1"/>
  <c r="G16" i="12"/>
  <c r="L16" i="12" s="1"/>
  <c r="I15" i="12"/>
  <c r="M15" i="12" s="1"/>
  <c r="H15" i="12"/>
  <c r="J15" i="12" s="1"/>
  <c r="K15" i="12" s="1"/>
  <c r="G15" i="12"/>
  <c r="L15" i="12" s="1"/>
  <c r="I14" i="12"/>
  <c r="M14" i="12" s="1"/>
  <c r="H14" i="12"/>
  <c r="J14" i="12" s="1"/>
  <c r="K14" i="12" s="1"/>
  <c r="G14" i="12"/>
  <c r="L14" i="12" s="1"/>
  <c r="I13" i="12"/>
  <c r="M13" i="12" s="1"/>
  <c r="H13" i="12"/>
  <c r="J13" i="12" s="1"/>
  <c r="K13" i="12" s="1"/>
  <c r="G13" i="12"/>
  <c r="L13" i="12" s="1"/>
  <c r="I12" i="12"/>
  <c r="M12" i="12" s="1"/>
  <c r="H12" i="12"/>
  <c r="J12" i="12" s="1"/>
  <c r="K12" i="12" s="1"/>
  <c r="G12" i="12"/>
  <c r="L12" i="12" s="1"/>
  <c r="I11" i="12"/>
  <c r="M11" i="12" s="1"/>
  <c r="H11" i="12"/>
  <c r="J11" i="12" s="1"/>
  <c r="K11" i="12" s="1"/>
  <c r="G11" i="12"/>
  <c r="L11" i="12" s="1"/>
  <c r="I10" i="12"/>
  <c r="M10" i="12" s="1"/>
  <c r="H10" i="12"/>
  <c r="J10" i="12" s="1"/>
  <c r="K10" i="12" s="1"/>
  <c r="G10" i="12"/>
  <c r="L10" i="12" s="1"/>
  <c r="I9" i="12"/>
  <c r="M9" i="12" s="1"/>
  <c r="H9" i="12"/>
  <c r="J9" i="12" s="1"/>
  <c r="K9" i="12" s="1"/>
  <c r="G9" i="12"/>
  <c r="L9" i="12" s="1"/>
  <c r="I8" i="12"/>
  <c r="M8" i="12" s="1"/>
  <c r="H8" i="12"/>
  <c r="J8" i="12" s="1"/>
  <c r="K8" i="12" s="1"/>
  <c r="G8" i="12"/>
  <c r="L8" i="12" s="1"/>
  <c r="I7" i="12"/>
  <c r="M7" i="12" s="1"/>
  <c r="H7" i="12"/>
  <c r="J7" i="12" s="1"/>
  <c r="K7" i="12" s="1"/>
  <c r="G7" i="12"/>
  <c r="L7" i="12" s="1"/>
  <c r="I66" i="11"/>
  <c r="M66" i="11" s="1"/>
  <c r="H66" i="11"/>
  <c r="J66" i="11" s="1"/>
  <c r="K66" i="11" s="1"/>
  <c r="G66" i="11"/>
  <c r="L66" i="11" s="1"/>
  <c r="I65" i="11"/>
  <c r="M65" i="11" s="1"/>
  <c r="H65" i="11"/>
  <c r="J65" i="11" s="1"/>
  <c r="K65" i="11" s="1"/>
  <c r="G65" i="11"/>
  <c r="L65" i="11" s="1"/>
  <c r="I64" i="11"/>
  <c r="M64" i="11" s="1"/>
  <c r="H64" i="11"/>
  <c r="J64" i="11" s="1"/>
  <c r="K64" i="11" s="1"/>
  <c r="G64" i="11"/>
  <c r="L64" i="11" s="1"/>
  <c r="I63" i="11"/>
  <c r="M63" i="11" s="1"/>
  <c r="H63" i="11"/>
  <c r="J63" i="11" s="1"/>
  <c r="K63" i="11" s="1"/>
  <c r="G63" i="11"/>
  <c r="L63" i="11" s="1"/>
  <c r="I62" i="11"/>
  <c r="M62" i="11" s="1"/>
  <c r="H62" i="11"/>
  <c r="J62" i="11" s="1"/>
  <c r="K62" i="11" s="1"/>
  <c r="G62" i="11"/>
  <c r="L62" i="11" s="1"/>
  <c r="I61" i="11"/>
  <c r="M61" i="11" s="1"/>
  <c r="H61" i="11"/>
  <c r="J61" i="11" s="1"/>
  <c r="K61" i="11" s="1"/>
  <c r="G61" i="11"/>
  <c r="L61" i="11" s="1"/>
  <c r="I60" i="11"/>
  <c r="M60" i="11" s="1"/>
  <c r="H60" i="11"/>
  <c r="J60" i="11" s="1"/>
  <c r="K60" i="11" s="1"/>
  <c r="G60" i="11"/>
  <c r="L60" i="11" s="1"/>
  <c r="I59" i="11"/>
  <c r="M59" i="11" s="1"/>
  <c r="H59" i="11"/>
  <c r="J59" i="11" s="1"/>
  <c r="K59" i="11" s="1"/>
  <c r="G59" i="11"/>
  <c r="L59" i="11" s="1"/>
  <c r="I58" i="11"/>
  <c r="M58" i="11" s="1"/>
  <c r="H58" i="11"/>
  <c r="J58" i="11" s="1"/>
  <c r="K58" i="11" s="1"/>
  <c r="G58" i="11"/>
  <c r="L58" i="11" s="1"/>
  <c r="I57" i="11"/>
  <c r="M57" i="11" s="1"/>
  <c r="H57" i="11"/>
  <c r="J57" i="11" s="1"/>
  <c r="K57" i="11" s="1"/>
  <c r="G57" i="11"/>
  <c r="L57" i="11" s="1"/>
  <c r="I56" i="11"/>
  <c r="M56" i="11" s="1"/>
  <c r="H56" i="11"/>
  <c r="J56" i="11" s="1"/>
  <c r="K56" i="11" s="1"/>
  <c r="G56" i="11"/>
  <c r="L56" i="11" s="1"/>
  <c r="I55" i="11"/>
  <c r="M55" i="11" s="1"/>
  <c r="H55" i="11"/>
  <c r="J55" i="11" s="1"/>
  <c r="K55" i="11" s="1"/>
  <c r="G55" i="11"/>
  <c r="L55" i="11" s="1"/>
  <c r="I54" i="11"/>
  <c r="M54" i="11" s="1"/>
  <c r="H54" i="11"/>
  <c r="J54" i="11" s="1"/>
  <c r="K54" i="11" s="1"/>
  <c r="G54" i="11"/>
  <c r="L54" i="11" s="1"/>
  <c r="I53" i="11"/>
  <c r="M53" i="11" s="1"/>
  <c r="H53" i="11"/>
  <c r="J53" i="11" s="1"/>
  <c r="K53" i="11" s="1"/>
  <c r="G53" i="11"/>
  <c r="L53" i="11" s="1"/>
  <c r="I52" i="11"/>
  <c r="M52" i="11" s="1"/>
  <c r="H52" i="11"/>
  <c r="J52" i="11" s="1"/>
  <c r="K52" i="11" s="1"/>
  <c r="G52" i="11"/>
  <c r="L52" i="11" s="1"/>
  <c r="I51" i="11"/>
  <c r="M51" i="11" s="1"/>
  <c r="H51" i="11"/>
  <c r="J51" i="11" s="1"/>
  <c r="K51" i="11" s="1"/>
  <c r="G51" i="11"/>
  <c r="L51" i="11" s="1"/>
  <c r="I50" i="11"/>
  <c r="M50" i="11" s="1"/>
  <c r="H50" i="11"/>
  <c r="J50" i="11" s="1"/>
  <c r="K50" i="11" s="1"/>
  <c r="G50" i="11"/>
  <c r="L50" i="11" s="1"/>
  <c r="I49" i="11"/>
  <c r="M49" i="11" s="1"/>
  <c r="H49" i="11"/>
  <c r="J49" i="11" s="1"/>
  <c r="K49" i="11" s="1"/>
  <c r="G49" i="11"/>
  <c r="L49" i="11" s="1"/>
  <c r="I48" i="11"/>
  <c r="M48" i="11" s="1"/>
  <c r="H48" i="11"/>
  <c r="J48" i="11" s="1"/>
  <c r="K48" i="11" s="1"/>
  <c r="G48" i="11"/>
  <c r="L48" i="11" s="1"/>
  <c r="I47" i="11"/>
  <c r="M47" i="11" s="1"/>
  <c r="H47" i="11"/>
  <c r="J47" i="11" s="1"/>
  <c r="K47" i="11" s="1"/>
  <c r="G47" i="11"/>
  <c r="L47" i="11" s="1"/>
  <c r="I46" i="11"/>
  <c r="M46" i="11" s="1"/>
  <c r="H46" i="11"/>
  <c r="J46" i="11" s="1"/>
  <c r="K46" i="11" s="1"/>
  <c r="G46" i="11"/>
  <c r="L46" i="11" s="1"/>
  <c r="I45" i="11"/>
  <c r="M45" i="11" s="1"/>
  <c r="H45" i="11"/>
  <c r="J45" i="11" s="1"/>
  <c r="K45" i="11" s="1"/>
  <c r="G45" i="11"/>
  <c r="L45" i="11" s="1"/>
  <c r="I44" i="11"/>
  <c r="M44" i="11" s="1"/>
  <c r="H44" i="11"/>
  <c r="J44" i="11" s="1"/>
  <c r="K44" i="11" s="1"/>
  <c r="G44" i="11"/>
  <c r="L44" i="11" s="1"/>
  <c r="I43" i="11"/>
  <c r="M43" i="11" s="1"/>
  <c r="H43" i="11"/>
  <c r="J43" i="11" s="1"/>
  <c r="K43" i="11" s="1"/>
  <c r="G43" i="11"/>
  <c r="L43" i="11" s="1"/>
  <c r="I42" i="11"/>
  <c r="M42" i="11" s="1"/>
  <c r="H42" i="11"/>
  <c r="J42" i="11" s="1"/>
  <c r="K42" i="11" s="1"/>
  <c r="G42" i="11"/>
  <c r="L42" i="11" s="1"/>
  <c r="I41" i="11"/>
  <c r="M41" i="11" s="1"/>
  <c r="H41" i="11"/>
  <c r="J41" i="11" s="1"/>
  <c r="K41" i="11" s="1"/>
  <c r="G41" i="11"/>
  <c r="L41" i="11" s="1"/>
  <c r="I40" i="11"/>
  <c r="M40" i="11" s="1"/>
  <c r="H40" i="11"/>
  <c r="J40" i="11" s="1"/>
  <c r="K40" i="11" s="1"/>
  <c r="G40" i="11"/>
  <c r="L40" i="11" s="1"/>
  <c r="I39" i="11"/>
  <c r="M39" i="11" s="1"/>
  <c r="H39" i="11"/>
  <c r="J39" i="11" s="1"/>
  <c r="K39" i="11" s="1"/>
  <c r="G39" i="11"/>
  <c r="L39" i="11" s="1"/>
  <c r="I38" i="11"/>
  <c r="M38" i="11" s="1"/>
  <c r="H38" i="11"/>
  <c r="J38" i="11" s="1"/>
  <c r="K38" i="11" s="1"/>
  <c r="G38" i="11"/>
  <c r="L38" i="11" s="1"/>
  <c r="I37" i="11"/>
  <c r="M37" i="11" s="1"/>
  <c r="H37" i="11"/>
  <c r="J37" i="11" s="1"/>
  <c r="K37" i="11" s="1"/>
  <c r="G37" i="11"/>
  <c r="L37" i="11" s="1"/>
  <c r="I36" i="11"/>
  <c r="M36" i="11" s="1"/>
  <c r="H36" i="11"/>
  <c r="J36" i="11" s="1"/>
  <c r="K36" i="11" s="1"/>
  <c r="G36" i="11"/>
  <c r="L36" i="11" s="1"/>
  <c r="I35" i="11"/>
  <c r="M35" i="11" s="1"/>
  <c r="H35" i="11"/>
  <c r="J35" i="11" s="1"/>
  <c r="K35" i="11" s="1"/>
  <c r="G35" i="11"/>
  <c r="L35" i="11" s="1"/>
  <c r="I34" i="11"/>
  <c r="M34" i="11" s="1"/>
  <c r="H34" i="11"/>
  <c r="J34" i="11" s="1"/>
  <c r="K34" i="11" s="1"/>
  <c r="G34" i="11"/>
  <c r="L34" i="11" s="1"/>
  <c r="I33" i="11"/>
  <c r="M33" i="11" s="1"/>
  <c r="H33" i="11"/>
  <c r="J33" i="11" s="1"/>
  <c r="K33" i="11" s="1"/>
  <c r="G33" i="11"/>
  <c r="L33" i="11" s="1"/>
  <c r="I32" i="11"/>
  <c r="M32" i="11" s="1"/>
  <c r="H32" i="11"/>
  <c r="J32" i="11" s="1"/>
  <c r="K32" i="11" s="1"/>
  <c r="G32" i="11"/>
  <c r="L32" i="11" s="1"/>
  <c r="I31" i="11"/>
  <c r="M31" i="11" s="1"/>
  <c r="H31" i="11"/>
  <c r="J31" i="11" s="1"/>
  <c r="K31" i="11" s="1"/>
  <c r="G31" i="11"/>
  <c r="L31" i="11" s="1"/>
  <c r="I30" i="11"/>
  <c r="M30" i="11" s="1"/>
  <c r="H30" i="11"/>
  <c r="J30" i="11" s="1"/>
  <c r="K30" i="11" s="1"/>
  <c r="G30" i="11"/>
  <c r="L30" i="11" s="1"/>
  <c r="I29" i="11"/>
  <c r="M29" i="11" s="1"/>
  <c r="H29" i="11"/>
  <c r="J29" i="11" s="1"/>
  <c r="K29" i="11" s="1"/>
  <c r="G29" i="11"/>
  <c r="L29" i="11" s="1"/>
  <c r="I28" i="11"/>
  <c r="M28" i="11" s="1"/>
  <c r="H28" i="11"/>
  <c r="J28" i="11" s="1"/>
  <c r="K28" i="11" s="1"/>
  <c r="G28" i="11"/>
  <c r="L28" i="11" s="1"/>
  <c r="I27" i="11"/>
  <c r="M27" i="11" s="1"/>
  <c r="H27" i="11"/>
  <c r="J27" i="11" s="1"/>
  <c r="K27" i="11" s="1"/>
  <c r="G27" i="11"/>
  <c r="L27" i="11" s="1"/>
  <c r="I26" i="11"/>
  <c r="M26" i="11" s="1"/>
  <c r="H26" i="11"/>
  <c r="J26" i="11" s="1"/>
  <c r="K26" i="11" s="1"/>
  <c r="G26" i="11"/>
  <c r="L26" i="11" s="1"/>
  <c r="I25" i="11"/>
  <c r="M25" i="11" s="1"/>
  <c r="H25" i="11"/>
  <c r="J25" i="11" s="1"/>
  <c r="K25" i="11" s="1"/>
  <c r="G25" i="11"/>
  <c r="L25" i="11" s="1"/>
  <c r="I24" i="11"/>
  <c r="M24" i="11" s="1"/>
  <c r="H24" i="11"/>
  <c r="J24" i="11" s="1"/>
  <c r="K24" i="11" s="1"/>
  <c r="G24" i="11"/>
  <c r="L24" i="11" s="1"/>
  <c r="I23" i="11"/>
  <c r="M23" i="11" s="1"/>
  <c r="H23" i="11"/>
  <c r="J23" i="11" s="1"/>
  <c r="K23" i="11" s="1"/>
  <c r="G23" i="11"/>
  <c r="L23" i="11" s="1"/>
  <c r="I22" i="11"/>
  <c r="M22" i="11" s="1"/>
  <c r="H22" i="11"/>
  <c r="J22" i="11" s="1"/>
  <c r="K22" i="11" s="1"/>
  <c r="G22" i="11"/>
  <c r="L22" i="11" s="1"/>
  <c r="I21" i="11"/>
  <c r="M21" i="11" s="1"/>
  <c r="H21" i="11"/>
  <c r="J21" i="11" s="1"/>
  <c r="K21" i="11" s="1"/>
  <c r="G21" i="11"/>
  <c r="L21" i="11" s="1"/>
  <c r="I20" i="11"/>
  <c r="M20" i="11" s="1"/>
  <c r="H20" i="11"/>
  <c r="J20" i="11" s="1"/>
  <c r="K20" i="11" s="1"/>
  <c r="G20" i="11"/>
  <c r="L20" i="11" s="1"/>
  <c r="I19" i="11"/>
  <c r="M19" i="11" s="1"/>
  <c r="H19" i="11"/>
  <c r="J19" i="11" s="1"/>
  <c r="K19" i="11" s="1"/>
  <c r="G19" i="11"/>
  <c r="L19" i="11" s="1"/>
  <c r="I18" i="11"/>
  <c r="M18" i="11" s="1"/>
  <c r="H18" i="11"/>
  <c r="J18" i="11" s="1"/>
  <c r="K18" i="11" s="1"/>
  <c r="G18" i="11"/>
  <c r="L18" i="11" s="1"/>
  <c r="I17" i="11"/>
  <c r="M17" i="11" s="1"/>
  <c r="H17" i="11"/>
  <c r="J17" i="11" s="1"/>
  <c r="K17" i="11" s="1"/>
  <c r="G17" i="11"/>
  <c r="L17" i="11" s="1"/>
  <c r="I16" i="11"/>
  <c r="M16" i="11" s="1"/>
  <c r="H16" i="11"/>
  <c r="J16" i="11" s="1"/>
  <c r="K16" i="11" s="1"/>
  <c r="G16" i="11"/>
  <c r="L16" i="11" s="1"/>
  <c r="I15" i="11"/>
  <c r="M15" i="11" s="1"/>
  <c r="H15" i="11"/>
  <c r="J15" i="11" s="1"/>
  <c r="K15" i="11" s="1"/>
  <c r="G15" i="11"/>
  <c r="L15" i="11" s="1"/>
  <c r="I14" i="11"/>
  <c r="M14" i="11" s="1"/>
  <c r="H14" i="11"/>
  <c r="J14" i="11" s="1"/>
  <c r="K14" i="11" s="1"/>
  <c r="G14" i="11"/>
  <c r="L14" i="11" s="1"/>
  <c r="I13" i="11"/>
  <c r="M13" i="11" s="1"/>
  <c r="H13" i="11"/>
  <c r="J13" i="11" s="1"/>
  <c r="K13" i="11" s="1"/>
  <c r="G13" i="11"/>
  <c r="L13" i="11" s="1"/>
  <c r="I12" i="11"/>
  <c r="M12" i="11" s="1"/>
  <c r="H12" i="11"/>
  <c r="J12" i="11" s="1"/>
  <c r="K12" i="11" s="1"/>
  <c r="G12" i="11"/>
  <c r="L12" i="11" s="1"/>
  <c r="I11" i="11"/>
  <c r="M11" i="11" s="1"/>
  <c r="H11" i="11"/>
  <c r="J11" i="11" s="1"/>
  <c r="K11" i="11" s="1"/>
  <c r="G11" i="11"/>
  <c r="L11" i="11" s="1"/>
  <c r="I10" i="11"/>
  <c r="M10" i="11" s="1"/>
  <c r="H10" i="11"/>
  <c r="J10" i="11" s="1"/>
  <c r="K10" i="11" s="1"/>
  <c r="G10" i="11"/>
  <c r="L10" i="11" s="1"/>
  <c r="I9" i="11"/>
  <c r="M9" i="11" s="1"/>
  <c r="H9" i="11"/>
  <c r="J9" i="11" s="1"/>
  <c r="K9" i="11" s="1"/>
  <c r="G9" i="11"/>
  <c r="L9" i="11" s="1"/>
  <c r="I8" i="11"/>
  <c r="M8" i="11" s="1"/>
  <c r="H8" i="11"/>
  <c r="J8" i="11" s="1"/>
  <c r="K8" i="11" s="1"/>
  <c r="G8" i="11"/>
  <c r="L8" i="11" s="1"/>
  <c r="I7" i="11"/>
  <c r="M7" i="11" s="1"/>
  <c r="H7" i="11"/>
  <c r="J7" i="11" s="1"/>
  <c r="K7" i="11" s="1"/>
  <c r="G7" i="11"/>
  <c r="L7" i="11" s="1"/>
  <c r="I79" i="10"/>
  <c r="M79" i="10" s="1"/>
  <c r="H79" i="10"/>
  <c r="J79" i="10" s="1"/>
  <c r="K79" i="10" s="1"/>
  <c r="G79" i="10"/>
  <c r="L79" i="10" s="1"/>
  <c r="I78" i="10"/>
  <c r="M78" i="10" s="1"/>
  <c r="H78" i="10"/>
  <c r="J78" i="10" s="1"/>
  <c r="K78" i="10" s="1"/>
  <c r="G78" i="10"/>
  <c r="L78" i="10" s="1"/>
  <c r="I77" i="10"/>
  <c r="M77" i="10" s="1"/>
  <c r="H77" i="10"/>
  <c r="J77" i="10" s="1"/>
  <c r="K77" i="10" s="1"/>
  <c r="G77" i="10"/>
  <c r="L77" i="10" s="1"/>
  <c r="I76" i="10"/>
  <c r="M76" i="10" s="1"/>
  <c r="H76" i="10"/>
  <c r="J76" i="10" s="1"/>
  <c r="K76" i="10" s="1"/>
  <c r="G76" i="10"/>
  <c r="L76" i="10" s="1"/>
  <c r="I75" i="10"/>
  <c r="M75" i="10" s="1"/>
  <c r="H75" i="10"/>
  <c r="J75" i="10" s="1"/>
  <c r="K75" i="10" s="1"/>
  <c r="G75" i="10"/>
  <c r="L75" i="10" s="1"/>
  <c r="I74" i="10"/>
  <c r="M74" i="10" s="1"/>
  <c r="H74" i="10"/>
  <c r="J74" i="10" s="1"/>
  <c r="K74" i="10" s="1"/>
  <c r="G74" i="10"/>
  <c r="L74" i="10" s="1"/>
  <c r="I73" i="10"/>
  <c r="M73" i="10" s="1"/>
  <c r="H73" i="10"/>
  <c r="J73" i="10" s="1"/>
  <c r="K73" i="10" s="1"/>
  <c r="G73" i="10"/>
  <c r="L73" i="10" s="1"/>
  <c r="I72" i="10"/>
  <c r="M72" i="10" s="1"/>
  <c r="H72" i="10"/>
  <c r="J72" i="10" s="1"/>
  <c r="K72" i="10" s="1"/>
  <c r="G72" i="10"/>
  <c r="L72" i="10" s="1"/>
  <c r="I71" i="10"/>
  <c r="M71" i="10" s="1"/>
  <c r="H71" i="10"/>
  <c r="J71" i="10" s="1"/>
  <c r="K71" i="10" s="1"/>
  <c r="G71" i="10"/>
  <c r="L71" i="10" s="1"/>
  <c r="I70" i="10"/>
  <c r="M70" i="10" s="1"/>
  <c r="H70" i="10"/>
  <c r="J70" i="10" s="1"/>
  <c r="K70" i="10" s="1"/>
  <c r="G70" i="10"/>
  <c r="L70" i="10" s="1"/>
  <c r="I69" i="10"/>
  <c r="M69" i="10" s="1"/>
  <c r="H69" i="10"/>
  <c r="J69" i="10" s="1"/>
  <c r="K69" i="10" s="1"/>
  <c r="G69" i="10"/>
  <c r="L69" i="10" s="1"/>
  <c r="I68" i="10"/>
  <c r="M68" i="10" s="1"/>
  <c r="H68" i="10"/>
  <c r="J68" i="10" s="1"/>
  <c r="K68" i="10" s="1"/>
  <c r="G68" i="10"/>
  <c r="L68" i="10" s="1"/>
  <c r="I67" i="10"/>
  <c r="M67" i="10" s="1"/>
  <c r="H67" i="10"/>
  <c r="J67" i="10" s="1"/>
  <c r="K67" i="10" s="1"/>
  <c r="G67" i="10"/>
  <c r="L67" i="10" s="1"/>
  <c r="I66" i="10"/>
  <c r="M66" i="10" s="1"/>
  <c r="H66" i="10"/>
  <c r="J66" i="10" s="1"/>
  <c r="K66" i="10" s="1"/>
  <c r="G66" i="10"/>
  <c r="L66" i="10" s="1"/>
  <c r="I65" i="10"/>
  <c r="M65" i="10" s="1"/>
  <c r="H65" i="10"/>
  <c r="J65" i="10" s="1"/>
  <c r="K65" i="10" s="1"/>
  <c r="G65" i="10"/>
  <c r="L65" i="10" s="1"/>
  <c r="I64" i="10"/>
  <c r="M64" i="10" s="1"/>
  <c r="H64" i="10"/>
  <c r="J64" i="10" s="1"/>
  <c r="K64" i="10" s="1"/>
  <c r="G64" i="10"/>
  <c r="L64" i="10" s="1"/>
  <c r="I63" i="10"/>
  <c r="M63" i="10" s="1"/>
  <c r="H63" i="10"/>
  <c r="J63" i="10" s="1"/>
  <c r="K63" i="10" s="1"/>
  <c r="G63" i="10"/>
  <c r="L63" i="10" s="1"/>
  <c r="I62" i="10"/>
  <c r="M62" i="10" s="1"/>
  <c r="H62" i="10"/>
  <c r="J62" i="10" s="1"/>
  <c r="K62" i="10" s="1"/>
  <c r="G62" i="10"/>
  <c r="L62" i="10" s="1"/>
  <c r="I61" i="10"/>
  <c r="M61" i="10" s="1"/>
  <c r="H61" i="10"/>
  <c r="J61" i="10" s="1"/>
  <c r="K61" i="10" s="1"/>
  <c r="G61" i="10"/>
  <c r="L61" i="10" s="1"/>
  <c r="I60" i="10"/>
  <c r="M60" i="10" s="1"/>
  <c r="H60" i="10"/>
  <c r="J60" i="10" s="1"/>
  <c r="K60" i="10" s="1"/>
  <c r="G60" i="10"/>
  <c r="L60" i="10" s="1"/>
  <c r="I59" i="10"/>
  <c r="M59" i="10" s="1"/>
  <c r="H59" i="10"/>
  <c r="J59" i="10" s="1"/>
  <c r="K59" i="10" s="1"/>
  <c r="G59" i="10"/>
  <c r="L59" i="10" s="1"/>
  <c r="I58" i="10"/>
  <c r="M58" i="10" s="1"/>
  <c r="H58" i="10"/>
  <c r="J58" i="10" s="1"/>
  <c r="K58" i="10" s="1"/>
  <c r="G58" i="10"/>
  <c r="L58" i="10" s="1"/>
  <c r="I57" i="10"/>
  <c r="M57" i="10" s="1"/>
  <c r="H57" i="10"/>
  <c r="J57" i="10" s="1"/>
  <c r="K57" i="10" s="1"/>
  <c r="G57" i="10"/>
  <c r="L57" i="10" s="1"/>
  <c r="I56" i="10"/>
  <c r="M56" i="10" s="1"/>
  <c r="H56" i="10"/>
  <c r="J56" i="10" s="1"/>
  <c r="K56" i="10" s="1"/>
  <c r="G56" i="10"/>
  <c r="L56" i="10" s="1"/>
  <c r="I55" i="10"/>
  <c r="M55" i="10" s="1"/>
  <c r="H55" i="10"/>
  <c r="J55" i="10" s="1"/>
  <c r="K55" i="10" s="1"/>
  <c r="G55" i="10"/>
  <c r="L55" i="10" s="1"/>
  <c r="I54" i="10"/>
  <c r="M54" i="10" s="1"/>
  <c r="H54" i="10"/>
  <c r="J54" i="10" s="1"/>
  <c r="K54" i="10" s="1"/>
  <c r="G54" i="10"/>
  <c r="L54" i="10" s="1"/>
  <c r="I53" i="10"/>
  <c r="M53" i="10" s="1"/>
  <c r="H53" i="10"/>
  <c r="J53" i="10" s="1"/>
  <c r="K53" i="10" s="1"/>
  <c r="G53" i="10"/>
  <c r="L53" i="10" s="1"/>
  <c r="I52" i="10"/>
  <c r="M52" i="10" s="1"/>
  <c r="H52" i="10"/>
  <c r="J52" i="10" s="1"/>
  <c r="K52" i="10" s="1"/>
  <c r="G52" i="10"/>
  <c r="L52" i="10" s="1"/>
  <c r="I51" i="10"/>
  <c r="M51" i="10" s="1"/>
  <c r="H51" i="10"/>
  <c r="J51" i="10" s="1"/>
  <c r="K51" i="10" s="1"/>
  <c r="G51" i="10"/>
  <c r="L51" i="10" s="1"/>
  <c r="I50" i="10"/>
  <c r="M50" i="10" s="1"/>
  <c r="H50" i="10"/>
  <c r="J50" i="10" s="1"/>
  <c r="K50" i="10" s="1"/>
  <c r="G50" i="10"/>
  <c r="L50" i="10" s="1"/>
  <c r="I49" i="10"/>
  <c r="M49" i="10" s="1"/>
  <c r="H49" i="10"/>
  <c r="J49" i="10" s="1"/>
  <c r="K49" i="10" s="1"/>
  <c r="G49" i="10"/>
  <c r="L49" i="10" s="1"/>
  <c r="I48" i="10"/>
  <c r="M48" i="10" s="1"/>
  <c r="H48" i="10"/>
  <c r="J48" i="10" s="1"/>
  <c r="K48" i="10" s="1"/>
  <c r="G48" i="10"/>
  <c r="I47" i="10"/>
  <c r="M47" i="10" s="1"/>
  <c r="H47" i="10"/>
  <c r="J47" i="10" s="1"/>
  <c r="K47" i="10" s="1"/>
  <c r="G47" i="10"/>
  <c r="I46" i="10"/>
  <c r="M46" i="10" s="1"/>
  <c r="H46" i="10"/>
  <c r="J46" i="10" s="1"/>
  <c r="K46" i="10" s="1"/>
  <c r="G46" i="10"/>
  <c r="I45" i="10"/>
  <c r="M45" i="10" s="1"/>
  <c r="H45" i="10"/>
  <c r="J45" i="10" s="1"/>
  <c r="K45" i="10" s="1"/>
  <c r="G45" i="10"/>
  <c r="I44" i="10"/>
  <c r="M44" i="10" s="1"/>
  <c r="H44" i="10"/>
  <c r="J44" i="10" s="1"/>
  <c r="K44" i="10" s="1"/>
  <c r="G44" i="10"/>
  <c r="M43" i="10"/>
  <c r="I43" i="10"/>
  <c r="H43" i="10"/>
  <c r="J43" i="10" s="1"/>
  <c r="K43" i="10" s="1"/>
  <c r="L43" i="10" s="1"/>
  <c r="G43" i="10"/>
  <c r="I42" i="10"/>
  <c r="M42" i="10" s="1"/>
  <c r="H42" i="10"/>
  <c r="J42" i="10" s="1"/>
  <c r="K42" i="10" s="1"/>
  <c r="G42" i="10"/>
  <c r="L42" i="10" s="1"/>
  <c r="I41" i="10"/>
  <c r="M41" i="10" s="1"/>
  <c r="H41" i="10"/>
  <c r="J41" i="10" s="1"/>
  <c r="K41" i="10" s="1"/>
  <c r="G41" i="10"/>
  <c r="L41" i="10" s="1"/>
  <c r="I40" i="10"/>
  <c r="M40" i="10" s="1"/>
  <c r="H40" i="10"/>
  <c r="J40" i="10" s="1"/>
  <c r="K40" i="10" s="1"/>
  <c r="G40" i="10"/>
  <c r="L40" i="10" s="1"/>
  <c r="I39" i="10"/>
  <c r="M39" i="10" s="1"/>
  <c r="H39" i="10"/>
  <c r="J39" i="10" s="1"/>
  <c r="K39" i="10" s="1"/>
  <c r="G39" i="10"/>
  <c r="L39" i="10" s="1"/>
  <c r="I38" i="10"/>
  <c r="M38" i="10" s="1"/>
  <c r="H38" i="10"/>
  <c r="J38" i="10" s="1"/>
  <c r="K38" i="10" s="1"/>
  <c r="G38" i="10"/>
  <c r="L38" i="10" s="1"/>
  <c r="I37" i="10"/>
  <c r="M37" i="10" s="1"/>
  <c r="H37" i="10"/>
  <c r="J37" i="10" s="1"/>
  <c r="K37" i="10" s="1"/>
  <c r="G37" i="10"/>
  <c r="L37" i="10" s="1"/>
  <c r="I36" i="10"/>
  <c r="M36" i="10" s="1"/>
  <c r="H36" i="10"/>
  <c r="J36" i="10" s="1"/>
  <c r="K36" i="10" s="1"/>
  <c r="G36" i="10"/>
  <c r="L36" i="10" s="1"/>
  <c r="I35" i="10"/>
  <c r="M35" i="10" s="1"/>
  <c r="H35" i="10"/>
  <c r="J35" i="10" s="1"/>
  <c r="K35" i="10" s="1"/>
  <c r="G35" i="10"/>
  <c r="L35" i="10" s="1"/>
  <c r="I34" i="10"/>
  <c r="M34" i="10" s="1"/>
  <c r="H34" i="10"/>
  <c r="J34" i="10" s="1"/>
  <c r="K34" i="10" s="1"/>
  <c r="G34" i="10"/>
  <c r="L34" i="10" s="1"/>
  <c r="I33" i="10"/>
  <c r="M33" i="10" s="1"/>
  <c r="H33" i="10"/>
  <c r="J33" i="10" s="1"/>
  <c r="K33" i="10" s="1"/>
  <c r="G33" i="10"/>
  <c r="L33" i="10" s="1"/>
  <c r="I32" i="10"/>
  <c r="M32" i="10" s="1"/>
  <c r="H32" i="10"/>
  <c r="J32" i="10" s="1"/>
  <c r="K32" i="10" s="1"/>
  <c r="G32" i="10"/>
  <c r="L32" i="10" s="1"/>
  <c r="I31" i="10"/>
  <c r="M31" i="10" s="1"/>
  <c r="H31" i="10"/>
  <c r="J31" i="10" s="1"/>
  <c r="K31" i="10" s="1"/>
  <c r="G31" i="10"/>
  <c r="L31" i="10" s="1"/>
  <c r="I30" i="10"/>
  <c r="M30" i="10" s="1"/>
  <c r="H30" i="10"/>
  <c r="J30" i="10" s="1"/>
  <c r="K30" i="10" s="1"/>
  <c r="G30" i="10"/>
  <c r="L30" i="10" s="1"/>
  <c r="I29" i="10"/>
  <c r="M29" i="10" s="1"/>
  <c r="H29" i="10"/>
  <c r="J29" i="10" s="1"/>
  <c r="K29" i="10" s="1"/>
  <c r="G29" i="10"/>
  <c r="L29" i="10" s="1"/>
  <c r="I28" i="10"/>
  <c r="M28" i="10" s="1"/>
  <c r="H28" i="10"/>
  <c r="J28" i="10" s="1"/>
  <c r="K28" i="10" s="1"/>
  <c r="G28" i="10"/>
  <c r="L28" i="10" s="1"/>
  <c r="I27" i="10"/>
  <c r="M27" i="10" s="1"/>
  <c r="H27" i="10"/>
  <c r="J27" i="10" s="1"/>
  <c r="K27" i="10" s="1"/>
  <c r="G27" i="10"/>
  <c r="L27" i="10" s="1"/>
  <c r="I26" i="10"/>
  <c r="M26" i="10" s="1"/>
  <c r="H26" i="10"/>
  <c r="J26" i="10" s="1"/>
  <c r="K26" i="10" s="1"/>
  <c r="G26" i="10"/>
  <c r="L26" i="10" s="1"/>
  <c r="I25" i="10"/>
  <c r="M25" i="10" s="1"/>
  <c r="H25" i="10"/>
  <c r="J25" i="10" s="1"/>
  <c r="K25" i="10" s="1"/>
  <c r="G25" i="10"/>
  <c r="L25" i="10" s="1"/>
  <c r="I24" i="10"/>
  <c r="M24" i="10" s="1"/>
  <c r="H24" i="10"/>
  <c r="J24" i="10" s="1"/>
  <c r="K24" i="10" s="1"/>
  <c r="G24" i="10"/>
  <c r="L24" i="10" s="1"/>
  <c r="I23" i="10"/>
  <c r="M23" i="10" s="1"/>
  <c r="H23" i="10"/>
  <c r="J23" i="10" s="1"/>
  <c r="K23" i="10" s="1"/>
  <c r="G23" i="10"/>
  <c r="L23" i="10" s="1"/>
  <c r="I22" i="10"/>
  <c r="M22" i="10" s="1"/>
  <c r="H22" i="10"/>
  <c r="J22" i="10" s="1"/>
  <c r="K22" i="10" s="1"/>
  <c r="G22" i="10"/>
  <c r="L22" i="10" s="1"/>
  <c r="I21" i="10"/>
  <c r="M21" i="10" s="1"/>
  <c r="H21" i="10"/>
  <c r="J21" i="10" s="1"/>
  <c r="K21" i="10" s="1"/>
  <c r="G21" i="10"/>
  <c r="L21" i="10" s="1"/>
  <c r="I20" i="10"/>
  <c r="M20" i="10" s="1"/>
  <c r="H20" i="10"/>
  <c r="J20" i="10" s="1"/>
  <c r="K20" i="10" s="1"/>
  <c r="G20" i="10"/>
  <c r="L20" i="10" s="1"/>
  <c r="I19" i="10"/>
  <c r="M19" i="10" s="1"/>
  <c r="H19" i="10"/>
  <c r="J19" i="10" s="1"/>
  <c r="K19" i="10" s="1"/>
  <c r="G19" i="10"/>
  <c r="L19" i="10" s="1"/>
  <c r="I18" i="10"/>
  <c r="M18" i="10" s="1"/>
  <c r="H18" i="10"/>
  <c r="J18" i="10" s="1"/>
  <c r="K18" i="10" s="1"/>
  <c r="G18" i="10"/>
  <c r="L18" i="10" s="1"/>
  <c r="I17" i="10"/>
  <c r="M17" i="10" s="1"/>
  <c r="H17" i="10"/>
  <c r="J17" i="10" s="1"/>
  <c r="K17" i="10" s="1"/>
  <c r="G17" i="10"/>
  <c r="L17" i="10" s="1"/>
  <c r="I16" i="10"/>
  <c r="M16" i="10" s="1"/>
  <c r="H16" i="10"/>
  <c r="J16" i="10" s="1"/>
  <c r="K16" i="10" s="1"/>
  <c r="G16" i="10"/>
  <c r="L16" i="10" s="1"/>
  <c r="I15" i="10"/>
  <c r="M15" i="10" s="1"/>
  <c r="H15" i="10"/>
  <c r="J15" i="10" s="1"/>
  <c r="K15" i="10" s="1"/>
  <c r="G15" i="10"/>
  <c r="L15" i="10" s="1"/>
  <c r="I14" i="10"/>
  <c r="M14" i="10" s="1"/>
  <c r="H14" i="10"/>
  <c r="J14" i="10" s="1"/>
  <c r="K14" i="10" s="1"/>
  <c r="G14" i="10"/>
  <c r="L14" i="10" s="1"/>
  <c r="I13" i="10"/>
  <c r="M13" i="10" s="1"/>
  <c r="H13" i="10"/>
  <c r="J13" i="10" s="1"/>
  <c r="K13" i="10" s="1"/>
  <c r="G13" i="10"/>
  <c r="L13" i="10" s="1"/>
  <c r="I12" i="10"/>
  <c r="M12" i="10" s="1"/>
  <c r="H12" i="10"/>
  <c r="J12" i="10" s="1"/>
  <c r="K12" i="10" s="1"/>
  <c r="G12" i="10"/>
  <c r="L12" i="10" s="1"/>
  <c r="I11" i="10"/>
  <c r="M11" i="10" s="1"/>
  <c r="H11" i="10"/>
  <c r="J11" i="10" s="1"/>
  <c r="K11" i="10" s="1"/>
  <c r="G11" i="10"/>
  <c r="L11" i="10" s="1"/>
  <c r="I10" i="10"/>
  <c r="M10" i="10" s="1"/>
  <c r="H10" i="10"/>
  <c r="J10" i="10" s="1"/>
  <c r="K10" i="10" s="1"/>
  <c r="G10" i="10"/>
  <c r="L10" i="10" s="1"/>
  <c r="I9" i="10"/>
  <c r="M9" i="10" s="1"/>
  <c r="H9" i="10"/>
  <c r="J9" i="10" s="1"/>
  <c r="K9" i="10" s="1"/>
  <c r="G9" i="10"/>
  <c r="L9" i="10" s="1"/>
  <c r="I8" i="10"/>
  <c r="M8" i="10" s="1"/>
  <c r="H8" i="10"/>
  <c r="J8" i="10" s="1"/>
  <c r="K8" i="10" s="1"/>
  <c r="G8" i="10"/>
  <c r="L8" i="10" s="1"/>
  <c r="I7" i="10"/>
  <c r="M7" i="10" s="1"/>
  <c r="H7" i="10"/>
  <c r="J7" i="10" s="1"/>
  <c r="K7" i="10" s="1"/>
  <c r="G7" i="10"/>
  <c r="L7" i="10" s="1"/>
  <c r="I64" i="9"/>
  <c r="M64" i="9" s="1"/>
  <c r="H64" i="9"/>
  <c r="J64" i="9" s="1"/>
  <c r="K64" i="9" s="1"/>
  <c r="G64" i="9"/>
  <c r="L64" i="9" s="1"/>
  <c r="I63" i="9"/>
  <c r="M63" i="9" s="1"/>
  <c r="H63" i="9"/>
  <c r="J63" i="9" s="1"/>
  <c r="K63" i="9" s="1"/>
  <c r="G63" i="9"/>
  <c r="L63" i="9" s="1"/>
  <c r="I62" i="9"/>
  <c r="M62" i="9" s="1"/>
  <c r="H62" i="9"/>
  <c r="J62" i="9" s="1"/>
  <c r="K62" i="9" s="1"/>
  <c r="G62" i="9"/>
  <c r="L62" i="9" s="1"/>
  <c r="I61" i="9"/>
  <c r="M61" i="9" s="1"/>
  <c r="H61" i="9"/>
  <c r="J61" i="9" s="1"/>
  <c r="K61" i="9" s="1"/>
  <c r="G61" i="9"/>
  <c r="L61" i="9" s="1"/>
  <c r="I60" i="9"/>
  <c r="M60" i="9" s="1"/>
  <c r="H60" i="9"/>
  <c r="J60" i="9" s="1"/>
  <c r="K60" i="9" s="1"/>
  <c r="G60" i="9"/>
  <c r="L60" i="9" s="1"/>
  <c r="I59" i="9"/>
  <c r="M59" i="9" s="1"/>
  <c r="H59" i="9"/>
  <c r="J59" i="9" s="1"/>
  <c r="K59" i="9" s="1"/>
  <c r="G59" i="9"/>
  <c r="L59" i="9" s="1"/>
  <c r="I58" i="9"/>
  <c r="M58" i="9" s="1"/>
  <c r="H58" i="9"/>
  <c r="J58" i="9" s="1"/>
  <c r="K58" i="9" s="1"/>
  <c r="G58" i="9"/>
  <c r="L58" i="9" s="1"/>
  <c r="I57" i="9"/>
  <c r="M57" i="9" s="1"/>
  <c r="H57" i="9"/>
  <c r="J57" i="9" s="1"/>
  <c r="K57" i="9" s="1"/>
  <c r="G57" i="9"/>
  <c r="L57" i="9" s="1"/>
  <c r="I56" i="9"/>
  <c r="M56" i="9" s="1"/>
  <c r="H56" i="9"/>
  <c r="J56" i="9" s="1"/>
  <c r="K56" i="9" s="1"/>
  <c r="G56" i="9"/>
  <c r="L56" i="9" s="1"/>
  <c r="I55" i="9"/>
  <c r="M55" i="9" s="1"/>
  <c r="H55" i="9"/>
  <c r="J55" i="9" s="1"/>
  <c r="K55" i="9" s="1"/>
  <c r="G55" i="9"/>
  <c r="L55" i="9" s="1"/>
  <c r="I54" i="9"/>
  <c r="M54" i="9" s="1"/>
  <c r="H54" i="9"/>
  <c r="J54" i="9" s="1"/>
  <c r="K54" i="9" s="1"/>
  <c r="G54" i="9"/>
  <c r="L54" i="9" s="1"/>
  <c r="I53" i="9"/>
  <c r="M53" i="9" s="1"/>
  <c r="H53" i="9"/>
  <c r="J53" i="9" s="1"/>
  <c r="K53" i="9" s="1"/>
  <c r="G53" i="9"/>
  <c r="L53" i="9" s="1"/>
  <c r="I52" i="9"/>
  <c r="M52" i="9" s="1"/>
  <c r="H52" i="9"/>
  <c r="J52" i="9" s="1"/>
  <c r="K52" i="9" s="1"/>
  <c r="G52" i="9"/>
  <c r="L52" i="9" s="1"/>
  <c r="I51" i="9"/>
  <c r="M51" i="9" s="1"/>
  <c r="H51" i="9"/>
  <c r="J51" i="9" s="1"/>
  <c r="K51" i="9" s="1"/>
  <c r="G51" i="9"/>
  <c r="L51" i="9" s="1"/>
  <c r="I50" i="9"/>
  <c r="M50" i="9" s="1"/>
  <c r="H50" i="9"/>
  <c r="J50" i="9" s="1"/>
  <c r="K50" i="9" s="1"/>
  <c r="G50" i="9"/>
  <c r="L50" i="9" s="1"/>
  <c r="I49" i="9"/>
  <c r="M49" i="9" s="1"/>
  <c r="H49" i="9"/>
  <c r="J49" i="9" s="1"/>
  <c r="K49" i="9" s="1"/>
  <c r="G49" i="9"/>
  <c r="L49" i="9" s="1"/>
  <c r="I48" i="9"/>
  <c r="M48" i="9" s="1"/>
  <c r="H48" i="9"/>
  <c r="J48" i="9" s="1"/>
  <c r="K48" i="9" s="1"/>
  <c r="G48" i="9"/>
  <c r="L48" i="9" s="1"/>
  <c r="I47" i="9"/>
  <c r="M47" i="9" s="1"/>
  <c r="H47" i="9"/>
  <c r="J47" i="9" s="1"/>
  <c r="K47" i="9" s="1"/>
  <c r="G47" i="9"/>
  <c r="L47" i="9" s="1"/>
  <c r="I46" i="9"/>
  <c r="M46" i="9" s="1"/>
  <c r="H46" i="9"/>
  <c r="J46" i="9" s="1"/>
  <c r="K46" i="9" s="1"/>
  <c r="G46" i="9"/>
  <c r="L46" i="9" s="1"/>
  <c r="I45" i="9"/>
  <c r="M45" i="9" s="1"/>
  <c r="H45" i="9"/>
  <c r="J45" i="9" s="1"/>
  <c r="K45" i="9" s="1"/>
  <c r="G45" i="9"/>
  <c r="L45" i="9" s="1"/>
  <c r="I44" i="9"/>
  <c r="M44" i="9" s="1"/>
  <c r="H44" i="9"/>
  <c r="J44" i="9" s="1"/>
  <c r="K44" i="9" s="1"/>
  <c r="G44" i="9"/>
  <c r="L44" i="9" s="1"/>
  <c r="I43" i="9"/>
  <c r="M43" i="9" s="1"/>
  <c r="H43" i="9"/>
  <c r="J43" i="9" s="1"/>
  <c r="K43" i="9" s="1"/>
  <c r="G43" i="9"/>
  <c r="L43" i="9" s="1"/>
  <c r="I42" i="9"/>
  <c r="M42" i="9" s="1"/>
  <c r="H42" i="9"/>
  <c r="J42" i="9" s="1"/>
  <c r="K42" i="9" s="1"/>
  <c r="G42" i="9"/>
  <c r="L42" i="9" s="1"/>
  <c r="I41" i="9"/>
  <c r="M41" i="9" s="1"/>
  <c r="H41" i="9"/>
  <c r="J41" i="9" s="1"/>
  <c r="K41" i="9" s="1"/>
  <c r="G41" i="9"/>
  <c r="L41" i="9" s="1"/>
  <c r="I40" i="9"/>
  <c r="M40" i="9" s="1"/>
  <c r="H40" i="9"/>
  <c r="J40" i="9" s="1"/>
  <c r="K40" i="9" s="1"/>
  <c r="G40" i="9"/>
  <c r="L40" i="9" s="1"/>
  <c r="I39" i="9"/>
  <c r="M39" i="9" s="1"/>
  <c r="H39" i="9"/>
  <c r="J39" i="9" s="1"/>
  <c r="K39" i="9" s="1"/>
  <c r="G39" i="9"/>
  <c r="L39" i="9" s="1"/>
  <c r="I38" i="9"/>
  <c r="M38" i="9" s="1"/>
  <c r="H38" i="9"/>
  <c r="J38" i="9" s="1"/>
  <c r="K38" i="9" s="1"/>
  <c r="G38" i="9"/>
  <c r="L38" i="9" s="1"/>
  <c r="I37" i="9"/>
  <c r="M37" i="9" s="1"/>
  <c r="H37" i="9"/>
  <c r="J37" i="9" s="1"/>
  <c r="K37" i="9" s="1"/>
  <c r="G37" i="9"/>
  <c r="L37" i="9" s="1"/>
  <c r="I36" i="9"/>
  <c r="M36" i="9" s="1"/>
  <c r="H36" i="9"/>
  <c r="J36" i="9" s="1"/>
  <c r="K36" i="9" s="1"/>
  <c r="G36" i="9"/>
  <c r="L36" i="9" s="1"/>
  <c r="I35" i="9"/>
  <c r="M35" i="9" s="1"/>
  <c r="H35" i="9"/>
  <c r="J35" i="9" s="1"/>
  <c r="K35" i="9" s="1"/>
  <c r="G35" i="9"/>
  <c r="L35" i="9" s="1"/>
  <c r="I34" i="9"/>
  <c r="M34" i="9" s="1"/>
  <c r="H34" i="9"/>
  <c r="J34" i="9" s="1"/>
  <c r="K34" i="9" s="1"/>
  <c r="G34" i="9"/>
  <c r="L34" i="9" s="1"/>
  <c r="I33" i="9"/>
  <c r="M33" i="9" s="1"/>
  <c r="H33" i="9"/>
  <c r="J33" i="9" s="1"/>
  <c r="K33" i="9" s="1"/>
  <c r="G33" i="9"/>
  <c r="L33" i="9" s="1"/>
  <c r="I32" i="9"/>
  <c r="M32" i="9" s="1"/>
  <c r="H32" i="9"/>
  <c r="J32" i="9" s="1"/>
  <c r="K32" i="9" s="1"/>
  <c r="G32" i="9"/>
  <c r="L32" i="9" s="1"/>
  <c r="I31" i="9"/>
  <c r="M31" i="9" s="1"/>
  <c r="H31" i="9"/>
  <c r="J31" i="9" s="1"/>
  <c r="K31" i="9" s="1"/>
  <c r="G31" i="9"/>
  <c r="L31" i="9" s="1"/>
  <c r="I30" i="9"/>
  <c r="M30" i="9" s="1"/>
  <c r="H30" i="9"/>
  <c r="J30" i="9" s="1"/>
  <c r="K30" i="9" s="1"/>
  <c r="G30" i="9"/>
  <c r="L30" i="9" s="1"/>
  <c r="I29" i="9"/>
  <c r="M29" i="9" s="1"/>
  <c r="H29" i="9"/>
  <c r="J29" i="9" s="1"/>
  <c r="K29" i="9" s="1"/>
  <c r="G29" i="9"/>
  <c r="L29" i="9" s="1"/>
  <c r="I28" i="9"/>
  <c r="M28" i="9" s="1"/>
  <c r="H28" i="9"/>
  <c r="J28" i="9" s="1"/>
  <c r="K28" i="9" s="1"/>
  <c r="G28" i="9"/>
  <c r="L28" i="9" s="1"/>
  <c r="I27" i="9"/>
  <c r="M27" i="9" s="1"/>
  <c r="H27" i="9"/>
  <c r="J27" i="9" s="1"/>
  <c r="K27" i="9" s="1"/>
  <c r="G27" i="9"/>
  <c r="L27" i="9" s="1"/>
  <c r="I26" i="9"/>
  <c r="M26" i="9" s="1"/>
  <c r="H26" i="9"/>
  <c r="J26" i="9" s="1"/>
  <c r="K26" i="9" s="1"/>
  <c r="G26" i="9"/>
  <c r="L26" i="9" s="1"/>
  <c r="I25" i="9"/>
  <c r="M25" i="9" s="1"/>
  <c r="H25" i="9"/>
  <c r="J25" i="9" s="1"/>
  <c r="K25" i="9" s="1"/>
  <c r="G25" i="9"/>
  <c r="L25" i="9" s="1"/>
  <c r="I24" i="9"/>
  <c r="M24" i="9" s="1"/>
  <c r="H24" i="9"/>
  <c r="J24" i="9" s="1"/>
  <c r="K24" i="9" s="1"/>
  <c r="G24" i="9"/>
  <c r="L24" i="9" s="1"/>
  <c r="I23" i="9"/>
  <c r="M23" i="9" s="1"/>
  <c r="H23" i="9"/>
  <c r="J23" i="9" s="1"/>
  <c r="K23" i="9" s="1"/>
  <c r="G23" i="9"/>
  <c r="L23" i="9" s="1"/>
  <c r="I22" i="9"/>
  <c r="M22" i="9" s="1"/>
  <c r="H22" i="9"/>
  <c r="J22" i="9" s="1"/>
  <c r="K22" i="9" s="1"/>
  <c r="G22" i="9"/>
  <c r="L22" i="9" s="1"/>
  <c r="I21" i="9"/>
  <c r="M21" i="9" s="1"/>
  <c r="H21" i="9"/>
  <c r="J21" i="9" s="1"/>
  <c r="K21" i="9" s="1"/>
  <c r="G21" i="9"/>
  <c r="L21" i="9" s="1"/>
  <c r="I20" i="9"/>
  <c r="M20" i="9" s="1"/>
  <c r="H20" i="9"/>
  <c r="J20" i="9" s="1"/>
  <c r="K20" i="9" s="1"/>
  <c r="G20" i="9"/>
  <c r="L20" i="9" s="1"/>
  <c r="I19" i="9"/>
  <c r="M19" i="9" s="1"/>
  <c r="H19" i="9"/>
  <c r="J19" i="9" s="1"/>
  <c r="K19" i="9" s="1"/>
  <c r="G19" i="9"/>
  <c r="L19" i="9" s="1"/>
  <c r="I18" i="9"/>
  <c r="M18" i="9" s="1"/>
  <c r="H18" i="9"/>
  <c r="J18" i="9" s="1"/>
  <c r="K18" i="9" s="1"/>
  <c r="G18" i="9"/>
  <c r="L18" i="9" s="1"/>
  <c r="I17" i="9"/>
  <c r="M17" i="9" s="1"/>
  <c r="H17" i="9"/>
  <c r="J17" i="9" s="1"/>
  <c r="K17" i="9" s="1"/>
  <c r="G17" i="9"/>
  <c r="L17" i="9" s="1"/>
  <c r="I16" i="9"/>
  <c r="M16" i="9" s="1"/>
  <c r="H16" i="9"/>
  <c r="J16" i="9" s="1"/>
  <c r="K16" i="9" s="1"/>
  <c r="G16" i="9"/>
  <c r="L16" i="9" s="1"/>
  <c r="I15" i="9"/>
  <c r="M15" i="9" s="1"/>
  <c r="H15" i="9"/>
  <c r="J15" i="9" s="1"/>
  <c r="K15" i="9" s="1"/>
  <c r="G15" i="9"/>
  <c r="L15" i="9" s="1"/>
  <c r="I14" i="9"/>
  <c r="M14" i="9" s="1"/>
  <c r="H14" i="9"/>
  <c r="J14" i="9" s="1"/>
  <c r="K14" i="9" s="1"/>
  <c r="G14" i="9"/>
  <c r="L14" i="9" s="1"/>
  <c r="I13" i="9"/>
  <c r="M13" i="9" s="1"/>
  <c r="H13" i="9"/>
  <c r="J13" i="9" s="1"/>
  <c r="K13" i="9" s="1"/>
  <c r="G13" i="9"/>
  <c r="L13" i="9" s="1"/>
  <c r="I12" i="9"/>
  <c r="M12" i="9" s="1"/>
  <c r="H12" i="9"/>
  <c r="J12" i="9" s="1"/>
  <c r="K12" i="9" s="1"/>
  <c r="G12" i="9"/>
  <c r="L12" i="9" s="1"/>
  <c r="I11" i="9"/>
  <c r="M11" i="9" s="1"/>
  <c r="H11" i="9"/>
  <c r="J11" i="9" s="1"/>
  <c r="K11" i="9" s="1"/>
  <c r="G11" i="9"/>
  <c r="L11" i="9" s="1"/>
  <c r="I10" i="9"/>
  <c r="M10" i="9" s="1"/>
  <c r="H10" i="9"/>
  <c r="J10" i="9" s="1"/>
  <c r="K10" i="9" s="1"/>
  <c r="G10" i="9"/>
  <c r="L10" i="9" s="1"/>
  <c r="I9" i="9"/>
  <c r="M9" i="9" s="1"/>
  <c r="H9" i="9"/>
  <c r="J9" i="9" s="1"/>
  <c r="K9" i="9" s="1"/>
  <c r="G9" i="9"/>
  <c r="L9" i="9" s="1"/>
  <c r="I8" i="9"/>
  <c r="M8" i="9" s="1"/>
  <c r="H8" i="9"/>
  <c r="J8" i="9" s="1"/>
  <c r="K8" i="9" s="1"/>
  <c r="G8" i="9"/>
  <c r="L8" i="9" s="1"/>
  <c r="I7" i="9"/>
  <c r="M7" i="9" s="1"/>
  <c r="H7" i="9"/>
  <c r="J7" i="9" s="1"/>
  <c r="K7" i="9" s="1"/>
  <c r="G7" i="9"/>
  <c r="L7" i="9" s="1"/>
  <c r="I73" i="8"/>
  <c r="M73" i="8" s="1"/>
  <c r="H73" i="8"/>
  <c r="J73" i="8" s="1"/>
  <c r="K73" i="8" s="1"/>
  <c r="G73" i="8"/>
  <c r="L73" i="8" s="1"/>
  <c r="I72" i="8"/>
  <c r="M72" i="8" s="1"/>
  <c r="H72" i="8"/>
  <c r="J72" i="8" s="1"/>
  <c r="K72" i="8" s="1"/>
  <c r="G72" i="8"/>
  <c r="L72" i="8" s="1"/>
  <c r="I71" i="8"/>
  <c r="M71" i="8" s="1"/>
  <c r="H71" i="8"/>
  <c r="J71" i="8" s="1"/>
  <c r="K71" i="8" s="1"/>
  <c r="G71" i="8"/>
  <c r="L71" i="8" s="1"/>
  <c r="I70" i="8"/>
  <c r="M70" i="8" s="1"/>
  <c r="H70" i="8"/>
  <c r="J70" i="8" s="1"/>
  <c r="K70" i="8" s="1"/>
  <c r="G70" i="8"/>
  <c r="L70" i="8" s="1"/>
  <c r="I69" i="8"/>
  <c r="M69" i="8" s="1"/>
  <c r="H69" i="8"/>
  <c r="J69" i="8" s="1"/>
  <c r="K69" i="8" s="1"/>
  <c r="G69" i="8"/>
  <c r="L69" i="8" s="1"/>
  <c r="I68" i="8"/>
  <c r="M68" i="8" s="1"/>
  <c r="H68" i="8"/>
  <c r="J68" i="8" s="1"/>
  <c r="K68" i="8" s="1"/>
  <c r="G68" i="8"/>
  <c r="L68" i="8" s="1"/>
  <c r="I67" i="8"/>
  <c r="M67" i="8" s="1"/>
  <c r="H67" i="8"/>
  <c r="J67" i="8" s="1"/>
  <c r="K67" i="8" s="1"/>
  <c r="G67" i="8"/>
  <c r="L67" i="8" s="1"/>
  <c r="I66" i="8"/>
  <c r="M66" i="8" s="1"/>
  <c r="H66" i="8"/>
  <c r="J66" i="8" s="1"/>
  <c r="K66" i="8" s="1"/>
  <c r="G66" i="8"/>
  <c r="L66" i="8" s="1"/>
  <c r="I65" i="8"/>
  <c r="M65" i="8" s="1"/>
  <c r="H65" i="8"/>
  <c r="J65" i="8" s="1"/>
  <c r="K65" i="8" s="1"/>
  <c r="G65" i="8"/>
  <c r="L65" i="8" s="1"/>
  <c r="I64" i="8"/>
  <c r="M64" i="8" s="1"/>
  <c r="H64" i="8"/>
  <c r="J64" i="8" s="1"/>
  <c r="K64" i="8" s="1"/>
  <c r="G64" i="8"/>
  <c r="L64" i="8" s="1"/>
  <c r="I63" i="8"/>
  <c r="M63" i="8" s="1"/>
  <c r="H63" i="8"/>
  <c r="J63" i="8" s="1"/>
  <c r="K63" i="8" s="1"/>
  <c r="G63" i="8"/>
  <c r="L63" i="8" s="1"/>
  <c r="I62" i="8"/>
  <c r="M62" i="8" s="1"/>
  <c r="H62" i="8"/>
  <c r="J62" i="8" s="1"/>
  <c r="K62" i="8" s="1"/>
  <c r="G62" i="8"/>
  <c r="L62" i="8" s="1"/>
  <c r="I61" i="8"/>
  <c r="M61" i="8" s="1"/>
  <c r="H61" i="8"/>
  <c r="J61" i="8" s="1"/>
  <c r="K61" i="8" s="1"/>
  <c r="G61" i="8"/>
  <c r="L61" i="8" s="1"/>
  <c r="I60" i="8"/>
  <c r="M60" i="8" s="1"/>
  <c r="H60" i="8"/>
  <c r="J60" i="8" s="1"/>
  <c r="K60" i="8" s="1"/>
  <c r="G60" i="8"/>
  <c r="L60" i="8" s="1"/>
  <c r="I59" i="8"/>
  <c r="M59" i="8" s="1"/>
  <c r="H59" i="8"/>
  <c r="J59" i="8" s="1"/>
  <c r="K59" i="8" s="1"/>
  <c r="G59" i="8"/>
  <c r="L59" i="8" s="1"/>
  <c r="I58" i="8"/>
  <c r="M58" i="8" s="1"/>
  <c r="H58" i="8"/>
  <c r="J58" i="8" s="1"/>
  <c r="K58" i="8" s="1"/>
  <c r="G58" i="8"/>
  <c r="L58" i="8" s="1"/>
  <c r="I57" i="8"/>
  <c r="M57" i="8" s="1"/>
  <c r="H57" i="8"/>
  <c r="J57" i="8" s="1"/>
  <c r="K57" i="8" s="1"/>
  <c r="G57" i="8"/>
  <c r="L57" i="8" s="1"/>
  <c r="I56" i="8"/>
  <c r="M56" i="8" s="1"/>
  <c r="H56" i="8"/>
  <c r="J56" i="8" s="1"/>
  <c r="K56" i="8" s="1"/>
  <c r="G56" i="8"/>
  <c r="L56" i="8" s="1"/>
  <c r="I55" i="8"/>
  <c r="M55" i="8" s="1"/>
  <c r="H55" i="8"/>
  <c r="J55" i="8" s="1"/>
  <c r="K55" i="8" s="1"/>
  <c r="G55" i="8"/>
  <c r="L55" i="8" s="1"/>
  <c r="I54" i="8"/>
  <c r="M54" i="8" s="1"/>
  <c r="H54" i="8"/>
  <c r="J54" i="8" s="1"/>
  <c r="K54" i="8" s="1"/>
  <c r="G54" i="8"/>
  <c r="L54" i="8" s="1"/>
  <c r="I53" i="8"/>
  <c r="M53" i="8" s="1"/>
  <c r="H53" i="8"/>
  <c r="J53" i="8" s="1"/>
  <c r="K53" i="8" s="1"/>
  <c r="G53" i="8"/>
  <c r="L53" i="8" s="1"/>
  <c r="I52" i="8"/>
  <c r="M52" i="8" s="1"/>
  <c r="H52" i="8"/>
  <c r="J52" i="8" s="1"/>
  <c r="K52" i="8" s="1"/>
  <c r="G52" i="8"/>
  <c r="L52" i="8" s="1"/>
  <c r="I51" i="8"/>
  <c r="M51" i="8" s="1"/>
  <c r="H51" i="8"/>
  <c r="J51" i="8" s="1"/>
  <c r="K51" i="8" s="1"/>
  <c r="G51" i="8"/>
  <c r="L51" i="8" s="1"/>
  <c r="I50" i="8"/>
  <c r="M50" i="8" s="1"/>
  <c r="H50" i="8"/>
  <c r="J50" i="8" s="1"/>
  <c r="K50" i="8" s="1"/>
  <c r="G50" i="8"/>
  <c r="L50" i="8" s="1"/>
  <c r="I49" i="8"/>
  <c r="M49" i="8" s="1"/>
  <c r="H49" i="8"/>
  <c r="J49" i="8" s="1"/>
  <c r="K49" i="8" s="1"/>
  <c r="G49" i="8"/>
  <c r="L49" i="8" s="1"/>
  <c r="I48" i="8"/>
  <c r="M48" i="8" s="1"/>
  <c r="H48" i="8"/>
  <c r="J48" i="8" s="1"/>
  <c r="K48" i="8" s="1"/>
  <c r="G48" i="8"/>
  <c r="L48" i="8" s="1"/>
  <c r="I47" i="8"/>
  <c r="M47" i="8" s="1"/>
  <c r="H47" i="8"/>
  <c r="J47" i="8" s="1"/>
  <c r="K47" i="8" s="1"/>
  <c r="G47" i="8"/>
  <c r="L47" i="8" s="1"/>
  <c r="I46" i="8"/>
  <c r="M46" i="8" s="1"/>
  <c r="H46" i="8"/>
  <c r="J46" i="8" s="1"/>
  <c r="K46" i="8" s="1"/>
  <c r="G46" i="8"/>
  <c r="L46" i="8" s="1"/>
  <c r="I45" i="8"/>
  <c r="M45" i="8" s="1"/>
  <c r="H45" i="8"/>
  <c r="J45" i="8" s="1"/>
  <c r="K45" i="8" s="1"/>
  <c r="G45" i="8"/>
  <c r="L45" i="8" s="1"/>
  <c r="I44" i="8"/>
  <c r="M44" i="8" s="1"/>
  <c r="H44" i="8"/>
  <c r="J44" i="8" s="1"/>
  <c r="K44" i="8" s="1"/>
  <c r="G44" i="8"/>
  <c r="L44" i="8" s="1"/>
  <c r="I43" i="8"/>
  <c r="M43" i="8" s="1"/>
  <c r="H43" i="8"/>
  <c r="J43" i="8" s="1"/>
  <c r="K43" i="8" s="1"/>
  <c r="G43" i="8"/>
  <c r="L43" i="8" s="1"/>
  <c r="I42" i="8"/>
  <c r="M42" i="8" s="1"/>
  <c r="H42" i="8"/>
  <c r="J42" i="8" s="1"/>
  <c r="K42" i="8" s="1"/>
  <c r="G42" i="8"/>
  <c r="L42" i="8" s="1"/>
  <c r="I41" i="8"/>
  <c r="M41" i="8" s="1"/>
  <c r="H41" i="8"/>
  <c r="J41" i="8" s="1"/>
  <c r="K41" i="8" s="1"/>
  <c r="G41" i="8"/>
  <c r="L41" i="8" s="1"/>
  <c r="I40" i="8"/>
  <c r="M40" i="8" s="1"/>
  <c r="H40" i="8"/>
  <c r="J40" i="8" s="1"/>
  <c r="K40" i="8" s="1"/>
  <c r="G40" i="8"/>
  <c r="L40" i="8" s="1"/>
  <c r="I39" i="8"/>
  <c r="M39" i="8" s="1"/>
  <c r="H39" i="8"/>
  <c r="J39" i="8" s="1"/>
  <c r="K39" i="8" s="1"/>
  <c r="G39" i="8"/>
  <c r="L39" i="8" s="1"/>
  <c r="I38" i="8"/>
  <c r="M38" i="8" s="1"/>
  <c r="H38" i="8"/>
  <c r="J38" i="8" s="1"/>
  <c r="K38" i="8" s="1"/>
  <c r="G38" i="8"/>
  <c r="L38" i="8" s="1"/>
  <c r="I37" i="8"/>
  <c r="M37" i="8" s="1"/>
  <c r="H37" i="8"/>
  <c r="J37" i="8" s="1"/>
  <c r="K37" i="8" s="1"/>
  <c r="G37" i="8"/>
  <c r="I36" i="8"/>
  <c r="M36" i="8" s="1"/>
  <c r="H36" i="8"/>
  <c r="J36" i="8" s="1"/>
  <c r="K36" i="8" s="1"/>
  <c r="L36" i="8" s="1"/>
  <c r="G36" i="8"/>
  <c r="I35" i="8"/>
  <c r="M35" i="8" s="1"/>
  <c r="H35" i="8"/>
  <c r="J35" i="8" s="1"/>
  <c r="K35" i="8" s="1"/>
  <c r="G35" i="8"/>
  <c r="I34" i="8"/>
  <c r="M34" i="8" s="1"/>
  <c r="H34" i="8"/>
  <c r="J34" i="8" s="1"/>
  <c r="K34" i="8" s="1"/>
  <c r="G34" i="8"/>
  <c r="I33" i="8"/>
  <c r="M33" i="8" s="1"/>
  <c r="H33" i="8"/>
  <c r="J33" i="8" s="1"/>
  <c r="K33" i="8" s="1"/>
  <c r="G33" i="8"/>
  <c r="I32" i="8"/>
  <c r="M32" i="8" s="1"/>
  <c r="H32" i="8"/>
  <c r="J32" i="8" s="1"/>
  <c r="K32" i="8" s="1"/>
  <c r="G32" i="8"/>
  <c r="I31" i="8"/>
  <c r="M31" i="8" s="1"/>
  <c r="H31" i="8"/>
  <c r="J31" i="8" s="1"/>
  <c r="K31" i="8" s="1"/>
  <c r="G31" i="8"/>
  <c r="I30" i="8"/>
  <c r="M30" i="8" s="1"/>
  <c r="H30" i="8"/>
  <c r="J30" i="8" s="1"/>
  <c r="K30" i="8" s="1"/>
  <c r="G30" i="8"/>
  <c r="I29" i="8"/>
  <c r="M29" i="8" s="1"/>
  <c r="H29" i="8"/>
  <c r="J29" i="8" s="1"/>
  <c r="K29" i="8" s="1"/>
  <c r="G29" i="8"/>
  <c r="I28" i="8"/>
  <c r="M28" i="8" s="1"/>
  <c r="H28" i="8"/>
  <c r="J28" i="8" s="1"/>
  <c r="K28" i="8" s="1"/>
  <c r="G28" i="8"/>
  <c r="I27" i="8"/>
  <c r="M27" i="8" s="1"/>
  <c r="H27" i="8"/>
  <c r="J27" i="8" s="1"/>
  <c r="K27" i="8" s="1"/>
  <c r="G27" i="8"/>
  <c r="I26" i="8"/>
  <c r="M26" i="8" s="1"/>
  <c r="H26" i="8"/>
  <c r="J26" i="8" s="1"/>
  <c r="K26" i="8" s="1"/>
  <c r="G26" i="8"/>
  <c r="I25" i="8"/>
  <c r="M25" i="8" s="1"/>
  <c r="H25" i="8"/>
  <c r="J25" i="8" s="1"/>
  <c r="K25" i="8" s="1"/>
  <c r="G25" i="8"/>
  <c r="I24" i="8"/>
  <c r="M24" i="8" s="1"/>
  <c r="H24" i="8"/>
  <c r="J24" i="8" s="1"/>
  <c r="K24" i="8" s="1"/>
  <c r="G24" i="8"/>
  <c r="I23" i="8"/>
  <c r="M23" i="8" s="1"/>
  <c r="H23" i="8"/>
  <c r="J23" i="8" s="1"/>
  <c r="K23" i="8" s="1"/>
  <c r="G23" i="8"/>
  <c r="I22" i="8"/>
  <c r="M22" i="8" s="1"/>
  <c r="H22" i="8"/>
  <c r="J22" i="8" s="1"/>
  <c r="K22" i="8" s="1"/>
  <c r="G22" i="8"/>
  <c r="I21" i="8"/>
  <c r="M21" i="8" s="1"/>
  <c r="H21" i="8"/>
  <c r="J21" i="8" s="1"/>
  <c r="K21" i="8" s="1"/>
  <c r="G21" i="8"/>
  <c r="I20" i="8"/>
  <c r="M20" i="8" s="1"/>
  <c r="H20" i="8"/>
  <c r="J20" i="8" s="1"/>
  <c r="K20" i="8" s="1"/>
  <c r="G20" i="8"/>
  <c r="I19" i="8"/>
  <c r="M19" i="8" s="1"/>
  <c r="H19" i="8"/>
  <c r="J19" i="8" s="1"/>
  <c r="K19" i="8" s="1"/>
  <c r="G19" i="8"/>
  <c r="I18" i="8"/>
  <c r="M18" i="8" s="1"/>
  <c r="H18" i="8"/>
  <c r="J18" i="8" s="1"/>
  <c r="K18" i="8" s="1"/>
  <c r="G18" i="8"/>
  <c r="I17" i="8"/>
  <c r="M17" i="8" s="1"/>
  <c r="H17" i="8"/>
  <c r="J17" i="8" s="1"/>
  <c r="K17" i="8" s="1"/>
  <c r="G17" i="8"/>
  <c r="I16" i="8"/>
  <c r="M16" i="8" s="1"/>
  <c r="H16" i="8"/>
  <c r="J16" i="8" s="1"/>
  <c r="K16" i="8" s="1"/>
  <c r="G16" i="8"/>
  <c r="I15" i="8"/>
  <c r="M15" i="8" s="1"/>
  <c r="H15" i="8"/>
  <c r="J15" i="8" s="1"/>
  <c r="K15" i="8" s="1"/>
  <c r="G15" i="8"/>
  <c r="I14" i="8"/>
  <c r="M14" i="8" s="1"/>
  <c r="H14" i="8"/>
  <c r="J14" i="8" s="1"/>
  <c r="K14" i="8" s="1"/>
  <c r="G14" i="8"/>
  <c r="I13" i="8"/>
  <c r="M13" i="8" s="1"/>
  <c r="H13" i="8"/>
  <c r="J13" i="8" s="1"/>
  <c r="K13" i="8" s="1"/>
  <c r="G13" i="8"/>
  <c r="I12" i="8"/>
  <c r="M12" i="8" s="1"/>
  <c r="H12" i="8"/>
  <c r="J12" i="8" s="1"/>
  <c r="K12" i="8" s="1"/>
  <c r="G12" i="8"/>
  <c r="I11" i="8"/>
  <c r="M11" i="8" s="1"/>
  <c r="H11" i="8"/>
  <c r="J11" i="8" s="1"/>
  <c r="K11" i="8" s="1"/>
  <c r="G11" i="8"/>
  <c r="I10" i="8"/>
  <c r="M10" i="8" s="1"/>
  <c r="H10" i="8"/>
  <c r="J10" i="8" s="1"/>
  <c r="K10" i="8" s="1"/>
  <c r="G10" i="8"/>
  <c r="I9" i="8"/>
  <c r="M9" i="8" s="1"/>
  <c r="H9" i="8"/>
  <c r="J9" i="8" s="1"/>
  <c r="K9" i="8" s="1"/>
  <c r="G9" i="8"/>
  <c r="I8" i="8"/>
  <c r="M8" i="8" s="1"/>
  <c r="H8" i="8"/>
  <c r="J8" i="8" s="1"/>
  <c r="K8" i="8" s="1"/>
  <c r="G8" i="8"/>
  <c r="I7" i="8"/>
  <c r="M7" i="8" s="1"/>
  <c r="H7" i="8"/>
  <c r="J7" i="8" s="1"/>
  <c r="K7" i="8" s="1"/>
  <c r="G7" i="8"/>
  <c r="I72" i="7"/>
  <c r="M72" i="7" s="1"/>
  <c r="H72" i="7"/>
  <c r="J72" i="7" s="1"/>
  <c r="K72" i="7" s="1"/>
  <c r="G72" i="7"/>
  <c r="I71" i="7"/>
  <c r="M71" i="7" s="1"/>
  <c r="H71" i="7"/>
  <c r="J71" i="7" s="1"/>
  <c r="K71" i="7" s="1"/>
  <c r="G71" i="7"/>
  <c r="I70" i="7"/>
  <c r="M70" i="7" s="1"/>
  <c r="H70" i="7"/>
  <c r="J70" i="7" s="1"/>
  <c r="K70" i="7" s="1"/>
  <c r="G70" i="7"/>
  <c r="I69" i="7"/>
  <c r="M69" i="7" s="1"/>
  <c r="H69" i="7"/>
  <c r="J69" i="7" s="1"/>
  <c r="K69" i="7" s="1"/>
  <c r="G69" i="7"/>
  <c r="I68" i="7"/>
  <c r="M68" i="7" s="1"/>
  <c r="H68" i="7"/>
  <c r="J68" i="7" s="1"/>
  <c r="K68" i="7" s="1"/>
  <c r="G68" i="7"/>
  <c r="I67" i="7"/>
  <c r="M67" i="7" s="1"/>
  <c r="H67" i="7"/>
  <c r="J67" i="7" s="1"/>
  <c r="K67" i="7" s="1"/>
  <c r="G67" i="7"/>
  <c r="I66" i="7"/>
  <c r="M66" i="7" s="1"/>
  <c r="H66" i="7"/>
  <c r="J66" i="7" s="1"/>
  <c r="K66" i="7" s="1"/>
  <c r="G66" i="7"/>
  <c r="I65" i="7"/>
  <c r="M65" i="7" s="1"/>
  <c r="H65" i="7"/>
  <c r="J65" i="7" s="1"/>
  <c r="K65" i="7" s="1"/>
  <c r="G65" i="7"/>
  <c r="I64" i="7"/>
  <c r="M64" i="7" s="1"/>
  <c r="H64" i="7"/>
  <c r="J64" i="7" s="1"/>
  <c r="K64" i="7" s="1"/>
  <c r="G64" i="7"/>
  <c r="I63" i="7"/>
  <c r="M63" i="7" s="1"/>
  <c r="H63" i="7"/>
  <c r="J63" i="7" s="1"/>
  <c r="K63" i="7" s="1"/>
  <c r="G63" i="7"/>
  <c r="I62" i="7"/>
  <c r="M62" i="7" s="1"/>
  <c r="H62" i="7"/>
  <c r="J62" i="7" s="1"/>
  <c r="K62" i="7" s="1"/>
  <c r="G62" i="7"/>
  <c r="I61" i="7"/>
  <c r="M61" i="7" s="1"/>
  <c r="H61" i="7"/>
  <c r="J61" i="7" s="1"/>
  <c r="K61" i="7" s="1"/>
  <c r="G61" i="7"/>
  <c r="I60" i="7"/>
  <c r="M60" i="7" s="1"/>
  <c r="H60" i="7"/>
  <c r="J60" i="7" s="1"/>
  <c r="K60" i="7" s="1"/>
  <c r="G60" i="7"/>
  <c r="I59" i="7"/>
  <c r="M59" i="7" s="1"/>
  <c r="H59" i="7"/>
  <c r="J59" i="7" s="1"/>
  <c r="K59" i="7" s="1"/>
  <c r="G59" i="7"/>
  <c r="I58" i="7"/>
  <c r="M58" i="7" s="1"/>
  <c r="H58" i="7"/>
  <c r="J58" i="7" s="1"/>
  <c r="K58" i="7" s="1"/>
  <c r="G58" i="7"/>
  <c r="I57" i="7"/>
  <c r="M57" i="7" s="1"/>
  <c r="H57" i="7"/>
  <c r="J57" i="7" s="1"/>
  <c r="K57" i="7" s="1"/>
  <c r="G57" i="7"/>
  <c r="I56" i="7"/>
  <c r="M56" i="7" s="1"/>
  <c r="H56" i="7"/>
  <c r="J56" i="7" s="1"/>
  <c r="K56" i="7" s="1"/>
  <c r="G56" i="7"/>
  <c r="I55" i="7"/>
  <c r="M55" i="7" s="1"/>
  <c r="H55" i="7"/>
  <c r="J55" i="7" s="1"/>
  <c r="K55" i="7" s="1"/>
  <c r="G55" i="7"/>
  <c r="I54" i="7"/>
  <c r="M54" i="7" s="1"/>
  <c r="H54" i="7"/>
  <c r="J54" i="7" s="1"/>
  <c r="K54" i="7" s="1"/>
  <c r="G54" i="7"/>
  <c r="I53" i="7"/>
  <c r="M53" i="7" s="1"/>
  <c r="H53" i="7"/>
  <c r="J53" i="7" s="1"/>
  <c r="K53" i="7" s="1"/>
  <c r="G53" i="7"/>
  <c r="I52" i="7"/>
  <c r="M52" i="7" s="1"/>
  <c r="H52" i="7"/>
  <c r="J52" i="7" s="1"/>
  <c r="K52" i="7" s="1"/>
  <c r="G52" i="7"/>
  <c r="I51" i="7"/>
  <c r="M51" i="7" s="1"/>
  <c r="H51" i="7"/>
  <c r="J51" i="7" s="1"/>
  <c r="K51" i="7" s="1"/>
  <c r="G51" i="7"/>
  <c r="I50" i="7"/>
  <c r="M50" i="7" s="1"/>
  <c r="H50" i="7"/>
  <c r="J50" i="7" s="1"/>
  <c r="K50" i="7" s="1"/>
  <c r="G50" i="7"/>
  <c r="I49" i="7"/>
  <c r="M49" i="7" s="1"/>
  <c r="H49" i="7"/>
  <c r="J49" i="7" s="1"/>
  <c r="K49" i="7" s="1"/>
  <c r="G49" i="7"/>
  <c r="I48" i="7"/>
  <c r="M48" i="7" s="1"/>
  <c r="H48" i="7"/>
  <c r="J48" i="7" s="1"/>
  <c r="K48" i="7" s="1"/>
  <c r="G48" i="7"/>
  <c r="I47" i="7"/>
  <c r="M47" i="7" s="1"/>
  <c r="H47" i="7"/>
  <c r="J47" i="7" s="1"/>
  <c r="K47" i="7" s="1"/>
  <c r="G47" i="7"/>
  <c r="I46" i="7"/>
  <c r="M46" i="7" s="1"/>
  <c r="H46" i="7"/>
  <c r="J46" i="7" s="1"/>
  <c r="K46" i="7" s="1"/>
  <c r="G46" i="7"/>
  <c r="I45" i="7"/>
  <c r="M45" i="7" s="1"/>
  <c r="H45" i="7"/>
  <c r="J45" i="7" s="1"/>
  <c r="K45" i="7" s="1"/>
  <c r="G45" i="7"/>
  <c r="I44" i="7"/>
  <c r="M44" i="7" s="1"/>
  <c r="H44" i="7"/>
  <c r="J44" i="7" s="1"/>
  <c r="K44" i="7" s="1"/>
  <c r="G44" i="7"/>
  <c r="I43" i="7"/>
  <c r="M43" i="7" s="1"/>
  <c r="H43" i="7"/>
  <c r="J43" i="7" s="1"/>
  <c r="K43" i="7" s="1"/>
  <c r="G43" i="7"/>
  <c r="I42" i="7"/>
  <c r="M42" i="7" s="1"/>
  <c r="H42" i="7"/>
  <c r="J42" i="7" s="1"/>
  <c r="K42" i="7" s="1"/>
  <c r="G42" i="7"/>
  <c r="I41" i="7"/>
  <c r="M41" i="7" s="1"/>
  <c r="H41" i="7"/>
  <c r="J41" i="7" s="1"/>
  <c r="K41" i="7" s="1"/>
  <c r="G41" i="7"/>
  <c r="I40" i="7"/>
  <c r="M40" i="7" s="1"/>
  <c r="H40" i="7"/>
  <c r="J40" i="7" s="1"/>
  <c r="K40" i="7" s="1"/>
  <c r="G40" i="7"/>
  <c r="I39" i="7"/>
  <c r="M39" i="7" s="1"/>
  <c r="H39" i="7"/>
  <c r="J39" i="7" s="1"/>
  <c r="K39" i="7" s="1"/>
  <c r="G39" i="7"/>
  <c r="I38" i="7"/>
  <c r="M38" i="7" s="1"/>
  <c r="H38" i="7"/>
  <c r="J38" i="7" s="1"/>
  <c r="K38" i="7" s="1"/>
  <c r="G38" i="7"/>
  <c r="I37" i="7"/>
  <c r="M37" i="7" s="1"/>
  <c r="H37" i="7"/>
  <c r="J37" i="7" s="1"/>
  <c r="K37" i="7" s="1"/>
  <c r="G37" i="7"/>
  <c r="I36" i="7"/>
  <c r="M36" i="7" s="1"/>
  <c r="H36" i="7"/>
  <c r="J36" i="7" s="1"/>
  <c r="K36" i="7" s="1"/>
  <c r="G36" i="7"/>
  <c r="I35" i="7"/>
  <c r="M35" i="7" s="1"/>
  <c r="H35" i="7"/>
  <c r="J35" i="7" s="1"/>
  <c r="K35" i="7" s="1"/>
  <c r="G35" i="7"/>
  <c r="I34" i="7"/>
  <c r="M34" i="7" s="1"/>
  <c r="H34" i="7"/>
  <c r="J34" i="7" s="1"/>
  <c r="K34" i="7" s="1"/>
  <c r="G34" i="7"/>
  <c r="I33" i="7"/>
  <c r="M33" i="7" s="1"/>
  <c r="H33" i="7"/>
  <c r="J33" i="7" s="1"/>
  <c r="K33" i="7" s="1"/>
  <c r="G33" i="7"/>
  <c r="I32" i="7"/>
  <c r="M32" i="7" s="1"/>
  <c r="H32" i="7"/>
  <c r="J32" i="7" s="1"/>
  <c r="K32" i="7" s="1"/>
  <c r="G32" i="7"/>
  <c r="I31" i="7"/>
  <c r="M31" i="7" s="1"/>
  <c r="H31" i="7"/>
  <c r="J31" i="7" s="1"/>
  <c r="K31" i="7" s="1"/>
  <c r="G31" i="7"/>
  <c r="I30" i="7"/>
  <c r="M30" i="7" s="1"/>
  <c r="H30" i="7"/>
  <c r="J30" i="7" s="1"/>
  <c r="K30" i="7" s="1"/>
  <c r="G30" i="7"/>
  <c r="I29" i="7"/>
  <c r="M29" i="7" s="1"/>
  <c r="H29" i="7"/>
  <c r="J29" i="7" s="1"/>
  <c r="K29" i="7" s="1"/>
  <c r="G29" i="7"/>
  <c r="I28" i="7"/>
  <c r="M28" i="7" s="1"/>
  <c r="H28" i="7"/>
  <c r="J28" i="7" s="1"/>
  <c r="K28" i="7" s="1"/>
  <c r="G28" i="7"/>
  <c r="I27" i="7"/>
  <c r="M27" i="7" s="1"/>
  <c r="H27" i="7"/>
  <c r="J27" i="7" s="1"/>
  <c r="K27" i="7" s="1"/>
  <c r="G27" i="7"/>
  <c r="I26" i="7"/>
  <c r="M26" i="7" s="1"/>
  <c r="H26" i="7"/>
  <c r="J26" i="7" s="1"/>
  <c r="K26" i="7" s="1"/>
  <c r="G26" i="7"/>
  <c r="I25" i="7"/>
  <c r="M25" i="7" s="1"/>
  <c r="H25" i="7"/>
  <c r="J25" i="7" s="1"/>
  <c r="K25" i="7" s="1"/>
  <c r="G25" i="7"/>
  <c r="I24" i="7"/>
  <c r="M24" i="7" s="1"/>
  <c r="H24" i="7"/>
  <c r="J24" i="7" s="1"/>
  <c r="K24" i="7" s="1"/>
  <c r="G24" i="7"/>
  <c r="I23" i="7"/>
  <c r="M23" i="7" s="1"/>
  <c r="H23" i="7"/>
  <c r="J23" i="7" s="1"/>
  <c r="K23" i="7" s="1"/>
  <c r="G23" i="7"/>
  <c r="I22" i="7"/>
  <c r="M22" i="7" s="1"/>
  <c r="H22" i="7"/>
  <c r="J22" i="7" s="1"/>
  <c r="K22" i="7" s="1"/>
  <c r="G22" i="7"/>
  <c r="I21" i="7"/>
  <c r="M21" i="7" s="1"/>
  <c r="H21" i="7"/>
  <c r="J21" i="7" s="1"/>
  <c r="K21" i="7" s="1"/>
  <c r="G21" i="7"/>
  <c r="I20" i="7"/>
  <c r="M20" i="7" s="1"/>
  <c r="H20" i="7"/>
  <c r="J20" i="7" s="1"/>
  <c r="K20" i="7" s="1"/>
  <c r="G20" i="7"/>
  <c r="I19" i="7"/>
  <c r="M19" i="7" s="1"/>
  <c r="H19" i="7"/>
  <c r="J19" i="7" s="1"/>
  <c r="K19" i="7" s="1"/>
  <c r="G19" i="7"/>
  <c r="I18" i="7"/>
  <c r="M18" i="7" s="1"/>
  <c r="H18" i="7"/>
  <c r="J18" i="7" s="1"/>
  <c r="K18" i="7" s="1"/>
  <c r="G18" i="7"/>
  <c r="I17" i="7"/>
  <c r="M17" i="7" s="1"/>
  <c r="H17" i="7"/>
  <c r="J17" i="7" s="1"/>
  <c r="K17" i="7" s="1"/>
  <c r="G17" i="7"/>
  <c r="I16" i="7"/>
  <c r="M16" i="7" s="1"/>
  <c r="H16" i="7"/>
  <c r="J16" i="7" s="1"/>
  <c r="K16" i="7" s="1"/>
  <c r="G16" i="7"/>
  <c r="I15" i="7"/>
  <c r="M15" i="7" s="1"/>
  <c r="H15" i="7"/>
  <c r="J15" i="7" s="1"/>
  <c r="K15" i="7" s="1"/>
  <c r="G15" i="7"/>
  <c r="I14" i="7"/>
  <c r="M14" i="7" s="1"/>
  <c r="H14" i="7"/>
  <c r="J14" i="7" s="1"/>
  <c r="K14" i="7" s="1"/>
  <c r="G14" i="7"/>
  <c r="I13" i="7"/>
  <c r="M13" i="7" s="1"/>
  <c r="H13" i="7"/>
  <c r="J13" i="7" s="1"/>
  <c r="K13" i="7" s="1"/>
  <c r="G13" i="7"/>
  <c r="I12" i="7"/>
  <c r="M12" i="7" s="1"/>
  <c r="H12" i="7"/>
  <c r="J12" i="7" s="1"/>
  <c r="K12" i="7" s="1"/>
  <c r="G12" i="7"/>
  <c r="I11" i="7"/>
  <c r="M11" i="7" s="1"/>
  <c r="H11" i="7"/>
  <c r="J11" i="7" s="1"/>
  <c r="K11" i="7" s="1"/>
  <c r="G11" i="7"/>
  <c r="I10" i="7"/>
  <c r="M10" i="7" s="1"/>
  <c r="H10" i="7"/>
  <c r="J10" i="7" s="1"/>
  <c r="K10" i="7" s="1"/>
  <c r="G10" i="7"/>
  <c r="I9" i="7"/>
  <c r="M9" i="7" s="1"/>
  <c r="H9" i="7"/>
  <c r="J9" i="7" s="1"/>
  <c r="K9" i="7" s="1"/>
  <c r="G9" i="7"/>
  <c r="I8" i="7"/>
  <c r="M8" i="7" s="1"/>
  <c r="H8" i="7"/>
  <c r="J8" i="7" s="1"/>
  <c r="K8" i="7" s="1"/>
  <c r="G8" i="7"/>
  <c r="I7" i="7"/>
  <c r="M7" i="7" s="1"/>
  <c r="H7" i="7"/>
  <c r="J7" i="7" s="1"/>
  <c r="K7" i="7" s="1"/>
  <c r="G7" i="7"/>
  <c r="I73" i="6"/>
  <c r="M73" i="6" s="1"/>
  <c r="H73" i="6"/>
  <c r="J73" i="6" s="1"/>
  <c r="K73" i="6" s="1"/>
  <c r="G73" i="6"/>
  <c r="I72" i="6"/>
  <c r="M72" i="6" s="1"/>
  <c r="H72" i="6"/>
  <c r="J72" i="6" s="1"/>
  <c r="K72" i="6" s="1"/>
  <c r="G72" i="6"/>
  <c r="I71" i="6"/>
  <c r="M71" i="6" s="1"/>
  <c r="H71" i="6"/>
  <c r="J71" i="6" s="1"/>
  <c r="K71" i="6" s="1"/>
  <c r="G71" i="6"/>
  <c r="I70" i="6"/>
  <c r="M70" i="6" s="1"/>
  <c r="H70" i="6"/>
  <c r="J70" i="6" s="1"/>
  <c r="K70" i="6" s="1"/>
  <c r="G70" i="6"/>
  <c r="I69" i="6"/>
  <c r="M69" i="6" s="1"/>
  <c r="H69" i="6"/>
  <c r="J69" i="6" s="1"/>
  <c r="K69" i="6" s="1"/>
  <c r="G69" i="6"/>
  <c r="I68" i="6"/>
  <c r="M68" i="6" s="1"/>
  <c r="H68" i="6"/>
  <c r="J68" i="6" s="1"/>
  <c r="K68" i="6" s="1"/>
  <c r="G68" i="6"/>
  <c r="I67" i="6"/>
  <c r="M67" i="6" s="1"/>
  <c r="H67" i="6"/>
  <c r="J67" i="6" s="1"/>
  <c r="K67" i="6" s="1"/>
  <c r="G67" i="6"/>
  <c r="I66" i="6"/>
  <c r="M66" i="6" s="1"/>
  <c r="H66" i="6"/>
  <c r="J66" i="6" s="1"/>
  <c r="K66" i="6" s="1"/>
  <c r="G66" i="6"/>
  <c r="I65" i="6"/>
  <c r="M65" i="6" s="1"/>
  <c r="H65" i="6"/>
  <c r="J65" i="6" s="1"/>
  <c r="K65" i="6" s="1"/>
  <c r="G65" i="6"/>
  <c r="I64" i="6"/>
  <c r="M64" i="6" s="1"/>
  <c r="H64" i="6"/>
  <c r="J64" i="6" s="1"/>
  <c r="K64" i="6" s="1"/>
  <c r="G64" i="6"/>
  <c r="I63" i="6"/>
  <c r="M63" i="6" s="1"/>
  <c r="H63" i="6"/>
  <c r="J63" i="6" s="1"/>
  <c r="K63" i="6" s="1"/>
  <c r="G63" i="6"/>
  <c r="I62" i="6"/>
  <c r="M62" i="6" s="1"/>
  <c r="H62" i="6"/>
  <c r="J62" i="6" s="1"/>
  <c r="K62" i="6" s="1"/>
  <c r="G62" i="6"/>
  <c r="I61" i="6"/>
  <c r="M61" i="6" s="1"/>
  <c r="H61" i="6"/>
  <c r="J61" i="6" s="1"/>
  <c r="K61" i="6" s="1"/>
  <c r="G61" i="6"/>
  <c r="I60" i="6"/>
  <c r="M60" i="6" s="1"/>
  <c r="H60" i="6"/>
  <c r="J60" i="6" s="1"/>
  <c r="K60" i="6" s="1"/>
  <c r="G60" i="6"/>
  <c r="I59" i="6"/>
  <c r="M59" i="6" s="1"/>
  <c r="H59" i="6"/>
  <c r="J59" i="6" s="1"/>
  <c r="K59" i="6" s="1"/>
  <c r="G59" i="6"/>
  <c r="I58" i="6"/>
  <c r="M58" i="6" s="1"/>
  <c r="H58" i="6"/>
  <c r="J58" i="6" s="1"/>
  <c r="K58" i="6" s="1"/>
  <c r="G58" i="6"/>
  <c r="I57" i="6"/>
  <c r="M57" i="6" s="1"/>
  <c r="H57" i="6"/>
  <c r="J57" i="6" s="1"/>
  <c r="K57" i="6" s="1"/>
  <c r="G57" i="6"/>
  <c r="I56" i="6"/>
  <c r="M56" i="6" s="1"/>
  <c r="H56" i="6"/>
  <c r="J56" i="6" s="1"/>
  <c r="K56" i="6" s="1"/>
  <c r="G56" i="6"/>
  <c r="I55" i="6"/>
  <c r="M55" i="6" s="1"/>
  <c r="H55" i="6"/>
  <c r="J55" i="6" s="1"/>
  <c r="K55" i="6" s="1"/>
  <c r="G55" i="6"/>
  <c r="I54" i="6"/>
  <c r="M54" i="6" s="1"/>
  <c r="H54" i="6"/>
  <c r="J54" i="6" s="1"/>
  <c r="K54" i="6" s="1"/>
  <c r="G54" i="6"/>
  <c r="I53" i="6"/>
  <c r="M53" i="6" s="1"/>
  <c r="H53" i="6"/>
  <c r="J53" i="6" s="1"/>
  <c r="K53" i="6" s="1"/>
  <c r="G53" i="6"/>
  <c r="I52" i="6"/>
  <c r="M52" i="6" s="1"/>
  <c r="H52" i="6"/>
  <c r="J52" i="6" s="1"/>
  <c r="K52" i="6" s="1"/>
  <c r="G52" i="6"/>
  <c r="I51" i="6"/>
  <c r="M51" i="6" s="1"/>
  <c r="H51" i="6"/>
  <c r="J51" i="6" s="1"/>
  <c r="K51" i="6" s="1"/>
  <c r="G51" i="6"/>
  <c r="I50" i="6"/>
  <c r="M50" i="6" s="1"/>
  <c r="H50" i="6"/>
  <c r="J50" i="6" s="1"/>
  <c r="K50" i="6" s="1"/>
  <c r="G50" i="6"/>
  <c r="I49" i="6"/>
  <c r="M49" i="6" s="1"/>
  <c r="H49" i="6"/>
  <c r="J49" i="6" s="1"/>
  <c r="K49" i="6" s="1"/>
  <c r="G49" i="6"/>
  <c r="I48" i="6"/>
  <c r="M48" i="6" s="1"/>
  <c r="H48" i="6"/>
  <c r="J48" i="6" s="1"/>
  <c r="K48" i="6" s="1"/>
  <c r="G48" i="6"/>
  <c r="I47" i="6"/>
  <c r="M47" i="6" s="1"/>
  <c r="H47" i="6"/>
  <c r="J47" i="6" s="1"/>
  <c r="K47" i="6" s="1"/>
  <c r="G47" i="6"/>
  <c r="I46" i="6"/>
  <c r="M46" i="6" s="1"/>
  <c r="H46" i="6"/>
  <c r="J46" i="6" s="1"/>
  <c r="K46" i="6" s="1"/>
  <c r="G46" i="6"/>
  <c r="I45" i="6"/>
  <c r="M45" i="6" s="1"/>
  <c r="H45" i="6"/>
  <c r="J45" i="6" s="1"/>
  <c r="K45" i="6" s="1"/>
  <c r="G45" i="6"/>
  <c r="I44" i="6"/>
  <c r="M44" i="6" s="1"/>
  <c r="H44" i="6"/>
  <c r="J44" i="6" s="1"/>
  <c r="K44" i="6" s="1"/>
  <c r="G44" i="6"/>
  <c r="I43" i="6"/>
  <c r="M43" i="6" s="1"/>
  <c r="H43" i="6"/>
  <c r="J43" i="6" s="1"/>
  <c r="K43" i="6" s="1"/>
  <c r="G43" i="6"/>
  <c r="I42" i="6"/>
  <c r="M42" i="6" s="1"/>
  <c r="H42" i="6"/>
  <c r="J42" i="6" s="1"/>
  <c r="K42" i="6" s="1"/>
  <c r="G42" i="6"/>
  <c r="I41" i="6"/>
  <c r="M41" i="6" s="1"/>
  <c r="H41" i="6"/>
  <c r="J41" i="6" s="1"/>
  <c r="K41" i="6" s="1"/>
  <c r="G41" i="6"/>
  <c r="I40" i="6"/>
  <c r="M40" i="6" s="1"/>
  <c r="H40" i="6"/>
  <c r="J40" i="6" s="1"/>
  <c r="K40" i="6" s="1"/>
  <c r="G40" i="6"/>
  <c r="I39" i="6"/>
  <c r="M39" i="6" s="1"/>
  <c r="H39" i="6"/>
  <c r="J39" i="6" s="1"/>
  <c r="K39" i="6" s="1"/>
  <c r="G39" i="6"/>
  <c r="I38" i="6"/>
  <c r="M38" i="6" s="1"/>
  <c r="H38" i="6"/>
  <c r="J38" i="6" s="1"/>
  <c r="K38" i="6" s="1"/>
  <c r="G38" i="6"/>
  <c r="I37" i="6"/>
  <c r="M37" i="6" s="1"/>
  <c r="H37" i="6"/>
  <c r="J37" i="6" s="1"/>
  <c r="K37" i="6" s="1"/>
  <c r="G37" i="6"/>
  <c r="M36" i="6"/>
  <c r="I36" i="6"/>
  <c r="H36" i="6"/>
  <c r="J36" i="6" s="1"/>
  <c r="K36" i="6" s="1"/>
  <c r="G36" i="6"/>
  <c r="L36" i="6" s="1"/>
  <c r="I35" i="6"/>
  <c r="M35" i="6" s="1"/>
  <c r="H35" i="6"/>
  <c r="J35" i="6" s="1"/>
  <c r="K35" i="6" s="1"/>
  <c r="G35" i="6"/>
  <c r="L35" i="6" s="1"/>
  <c r="I34" i="6"/>
  <c r="M34" i="6" s="1"/>
  <c r="H34" i="6"/>
  <c r="J34" i="6" s="1"/>
  <c r="K34" i="6" s="1"/>
  <c r="G34" i="6"/>
  <c r="L34" i="6" s="1"/>
  <c r="I33" i="6"/>
  <c r="M33" i="6" s="1"/>
  <c r="H33" i="6"/>
  <c r="J33" i="6" s="1"/>
  <c r="K33" i="6" s="1"/>
  <c r="G33" i="6"/>
  <c r="L33" i="6" s="1"/>
  <c r="I32" i="6"/>
  <c r="M32" i="6" s="1"/>
  <c r="H32" i="6"/>
  <c r="J32" i="6" s="1"/>
  <c r="K32" i="6" s="1"/>
  <c r="G32" i="6"/>
  <c r="L32" i="6" s="1"/>
  <c r="I31" i="6"/>
  <c r="M31" i="6" s="1"/>
  <c r="H31" i="6"/>
  <c r="J31" i="6" s="1"/>
  <c r="K31" i="6" s="1"/>
  <c r="G31" i="6"/>
  <c r="L31" i="6" s="1"/>
  <c r="I30" i="6"/>
  <c r="M30" i="6" s="1"/>
  <c r="H30" i="6"/>
  <c r="J30" i="6" s="1"/>
  <c r="K30" i="6" s="1"/>
  <c r="G30" i="6"/>
  <c r="L30" i="6" s="1"/>
  <c r="I29" i="6"/>
  <c r="M29" i="6" s="1"/>
  <c r="H29" i="6"/>
  <c r="J29" i="6" s="1"/>
  <c r="K29" i="6" s="1"/>
  <c r="G29" i="6"/>
  <c r="L29" i="6" s="1"/>
  <c r="I28" i="6"/>
  <c r="M28" i="6" s="1"/>
  <c r="H28" i="6"/>
  <c r="J28" i="6" s="1"/>
  <c r="K28" i="6" s="1"/>
  <c r="G28" i="6"/>
  <c r="L28" i="6" s="1"/>
  <c r="I27" i="6"/>
  <c r="M27" i="6" s="1"/>
  <c r="H27" i="6"/>
  <c r="J27" i="6" s="1"/>
  <c r="K27" i="6" s="1"/>
  <c r="G27" i="6"/>
  <c r="L27" i="6" s="1"/>
  <c r="I26" i="6"/>
  <c r="M26" i="6" s="1"/>
  <c r="H26" i="6"/>
  <c r="J26" i="6" s="1"/>
  <c r="K26" i="6" s="1"/>
  <c r="G26" i="6"/>
  <c r="L26" i="6" s="1"/>
  <c r="I25" i="6"/>
  <c r="M25" i="6" s="1"/>
  <c r="H25" i="6"/>
  <c r="J25" i="6" s="1"/>
  <c r="K25" i="6" s="1"/>
  <c r="G25" i="6"/>
  <c r="L25" i="6" s="1"/>
  <c r="I24" i="6"/>
  <c r="M24" i="6" s="1"/>
  <c r="H24" i="6"/>
  <c r="J24" i="6" s="1"/>
  <c r="K24" i="6" s="1"/>
  <c r="G24" i="6"/>
  <c r="L24" i="6" s="1"/>
  <c r="I23" i="6"/>
  <c r="M23" i="6" s="1"/>
  <c r="H23" i="6"/>
  <c r="J23" i="6" s="1"/>
  <c r="K23" i="6" s="1"/>
  <c r="G23" i="6"/>
  <c r="L23" i="6" s="1"/>
  <c r="I22" i="6"/>
  <c r="M22" i="6" s="1"/>
  <c r="H22" i="6"/>
  <c r="J22" i="6" s="1"/>
  <c r="K22" i="6" s="1"/>
  <c r="G22" i="6"/>
  <c r="L22" i="6" s="1"/>
  <c r="I21" i="6"/>
  <c r="M21" i="6" s="1"/>
  <c r="H21" i="6"/>
  <c r="J21" i="6" s="1"/>
  <c r="K21" i="6" s="1"/>
  <c r="G21" i="6"/>
  <c r="L21" i="6" s="1"/>
  <c r="I20" i="6"/>
  <c r="M20" i="6" s="1"/>
  <c r="H20" i="6"/>
  <c r="J20" i="6" s="1"/>
  <c r="K20" i="6" s="1"/>
  <c r="G20" i="6"/>
  <c r="L20" i="6" s="1"/>
  <c r="I19" i="6"/>
  <c r="M19" i="6" s="1"/>
  <c r="H19" i="6"/>
  <c r="J19" i="6" s="1"/>
  <c r="K19" i="6" s="1"/>
  <c r="G19" i="6"/>
  <c r="L19" i="6" s="1"/>
  <c r="I18" i="6"/>
  <c r="M18" i="6" s="1"/>
  <c r="H18" i="6"/>
  <c r="J18" i="6" s="1"/>
  <c r="K18" i="6" s="1"/>
  <c r="G18" i="6"/>
  <c r="L18" i="6" s="1"/>
  <c r="I17" i="6"/>
  <c r="M17" i="6" s="1"/>
  <c r="H17" i="6"/>
  <c r="J17" i="6" s="1"/>
  <c r="K17" i="6" s="1"/>
  <c r="G17" i="6"/>
  <c r="L17" i="6" s="1"/>
  <c r="I16" i="6"/>
  <c r="M16" i="6" s="1"/>
  <c r="H16" i="6"/>
  <c r="J16" i="6" s="1"/>
  <c r="K16" i="6" s="1"/>
  <c r="G16" i="6"/>
  <c r="L16" i="6" s="1"/>
  <c r="I15" i="6"/>
  <c r="M15" i="6" s="1"/>
  <c r="H15" i="6"/>
  <c r="J15" i="6" s="1"/>
  <c r="K15" i="6" s="1"/>
  <c r="G15" i="6"/>
  <c r="L15" i="6" s="1"/>
  <c r="I14" i="6"/>
  <c r="M14" i="6" s="1"/>
  <c r="H14" i="6"/>
  <c r="J14" i="6" s="1"/>
  <c r="K14" i="6" s="1"/>
  <c r="G14" i="6"/>
  <c r="L14" i="6" s="1"/>
  <c r="I13" i="6"/>
  <c r="M13" i="6" s="1"/>
  <c r="H13" i="6"/>
  <c r="J13" i="6" s="1"/>
  <c r="K13" i="6" s="1"/>
  <c r="G13" i="6"/>
  <c r="L13" i="6" s="1"/>
  <c r="I12" i="6"/>
  <c r="M12" i="6" s="1"/>
  <c r="H12" i="6"/>
  <c r="J12" i="6" s="1"/>
  <c r="K12" i="6" s="1"/>
  <c r="G12" i="6"/>
  <c r="L12" i="6" s="1"/>
  <c r="I11" i="6"/>
  <c r="M11" i="6" s="1"/>
  <c r="H11" i="6"/>
  <c r="J11" i="6" s="1"/>
  <c r="K11" i="6" s="1"/>
  <c r="G11" i="6"/>
  <c r="L11" i="6" s="1"/>
  <c r="I10" i="6"/>
  <c r="M10" i="6" s="1"/>
  <c r="H10" i="6"/>
  <c r="J10" i="6" s="1"/>
  <c r="K10" i="6" s="1"/>
  <c r="G10" i="6"/>
  <c r="L10" i="6" s="1"/>
  <c r="I9" i="6"/>
  <c r="M9" i="6" s="1"/>
  <c r="H9" i="6"/>
  <c r="J9" i="6" s="1"/>
  <c r="K9" i="6" s="1"/>
  <c r="G9" i="6"/>
  <c r="L9" i="6" s="1"/>
  <c r="I8" i="6"/>
  <c r="M8" i="6" s="1"/>
  <c r="H8" i="6"/>
  <c r="J8" i="6" s="1"/>
  <c r="K8" i="6" s="1"/>
  <c r="G8" i="6"/>
  <c r="L8" i="6" s="1"/>
  <c r="I7" i="6"/>
  <c r="M7" i="6" s="1"/>
  <c r="H7" i="6"/>
  <c r="J7" i="6" s="1"/>
  <c r="K7" i="6" s="1"/>
  <c r="G7" i="6"/>
  <c r="L7" i="6" s="1"/>
  <c r="I73" i="5"/>
  <c r="M73" i="5" s="1"/>
  <c r="H73" i="5"/>
  <c r="J73" i="5" s="1"/>
  <c r="K73" i="5" s="1"/>
  <c r="G73" i="5"/>
  <c r="L73" i="5" s="1"/>
  <c r="I72" i="5"/>
  <c r="M72" i="5" s="1"/>
  <c r="H72" i="5"/>
  <c r="J72" i="5" s="1"/>
  <c r="K72" i="5" s="1"/>
  <c r="G72" i="5"/>
  <c r="L72" i="5" s="1"/>
  <c r="I71" i="5"/>
  <c r="M71" i="5" s="1"/>
  <c r="H71" i="5"/>
  <c r="J71" i="5" s="1"/>
  <c r="K71" i="5" s="1"/>
  <c r="G71" i="5"/>
  <c r="L71" i="5" s="1"/>
  <c r="I70" i="5"/>
  <c r="M70" i="5" s="1"/>
  <c r="H70" i="5"/>
  <c r="J70" i="5" s="1"/>
  <c r="K70" i="5" s="1"/>
  <c r="G70" i="5"/>
  <c r="L70" i="5" s="1"/>
  <c r="I69" i="5"/>
  <c r="M69" i="5" s="1"/>
  <c r="H69" i="5"/>
  <c r="J69" i="5" s="1"/>
  <c r="K69" i="5" s="1"/>
  <c r="G69" i="5"/>
  <c r="L69" i="5" s="1"/>
  <c r="I68" i="5"/>
  <c r="M68" i="5" s="1"/>
  <c r="H68" i="5"/>
  <c r="J68" i="5" s="1"/>
  <c r="K68" i="5" s="1"/>
  <c r="G68" i="5"/>
  <c r="L68" i="5" s="1"/>
  <c r="I67" i="5"/>
  <c r="M67" i="5" s="1"/>
  <c r="H67" i="5"/>
  <c r="J67" i="5" s="1"/>
  <c r="K67" i="5" s="1"/>
  <c r="G67" i="5"/>
  <c r="L67" i="5" s="1"/>
  <c r="I66" i="5"/>
  <c r="M66" i="5" s="1"/>
  <c r="H66" i="5"/>
  <c r="J66" i="5" s="1"/>
  <c r="K66" i="5" s="1"/>
  <c r="G66" i="5"/>
  <c r="L66" i="5" s="1"/>
  <c r="I65" i="5"/>
  <c r="M65" i="5" s="1"/>
  <c r="H65" i="5"/>
  <c r="J65" i="5" s="1"/>
  <c r="K65" i="5" s="1"/>
  <c r="G65" i="5"/>
  <c r="L65" i="5" s="1"/>
  <c r="I64" i="5"/>
  <c r="M64" i="5" s="1"/>
  <c r="H64" i="5"/>
  <c r="J64" i="5" s="1"/>
  <c r="K64" i="5" s="1"/>
  <c r="G64" i="5"/>
  <c r="L64" i="5" s="1"/>
  <c r="I63" i="5"/>
  <c r="M63" i="5" s="1"/>
  <c r="H63" i="5"/>
  <c r="J63" i="5" s="1"/>
  <c r="K63" i="5" s="1"/>
  <c r="G63" i="5"/>
  <c r="L63" i="5" s="1"/>
  <c r="I62" i="5"/>
  <c r="M62" i="5" s="1"/>
  <c r="H62" i="5"/>
  <c r="J62" i="5" s="1"/>
  <c r="K62" i="5" s="1"/>
  <c r="G62" i="5"/>
  <c r="L62" i="5" s="1"/>
  <c r="I61" i="5"/>
  <c r="M61" i="5" s="1"/>
  <c r="H61" i="5"/>
  <c r="J61" i="5" s="1"/>
  <c r="K61" i="5" s="1"/>
  <c r="G61" i="5"/>
  <c r="L61" i="5" s="1"/>
  <c r="I60" i="5"/>
  <c r="M60" i="5" s="1"/>
  <c r="H60" i="5"/>
  <c r="J60" i="5" s="1"/>
  <c r="K60" i="5" s="1"/>
  <c r="G60" i="5"/>
  <c r="L60" i="5" s="1"/>
  <c r="I59" i="5"/>
  <c r="M59" i="5" s="1"/>
  <c r="H59" i="5"/>
  <c r="J59" i="5" s="1"/>
  <c r="K59" i="5" s="1"/>
  <c r="G59" i="5"/>
  <c r="L59" i="5" s="1"/>
  <c r="I58" i="5"/>
  <c r="M58" i="5" s="1"/>
  <c r="H58" i="5"/>
  <c r="J58" i="5" s="1"/>
  <c r="K58" i="5" s="1"/>
  <c r="G58" i="5"/>
  <c r="L58" i="5" s="1"/>
  <c r="I57" i="5"/>
  <c r="M57" i="5" s="1"/>
  <c r="H57" i="5"/>
  <c r="J57" i="5" s="1"/>
  <c r="K57" i="5" s="1"/>
  <c r="G57" i="5"/>
  <c r="L57" i="5" s="1"/>
  <c r="I56" i="5"/>
  <c r="M56" i="5" s="1"/>
  <c r="H56" i="5"/>
  <c r="J56" i="5" s="1"/>
  <c r="K56" i="5" s="1"/>
  <c r="G56" i="5"/>
  <c r="L56" i="5" s="1"/>
  <c r="I55" i="5"/>
  <c r="M55" i="5" s="1"/>
  <c r="H55" i="5"/>
  <c r="J55" i="5" s="1"/>
  <c r="K55" i="5" s="1"/>
  <c r="G55" i="5"/>
  <c r="L55" i="5" s="1"/>
  <c r="I54" i="5"/>
  <c r="M54" i="5" s="1"/>
  <c r="H54" i="5"/>
  <c r="J54" i="5" s="1"/>
  <c r="K54" i="5" s="1"/>
  <c r="G54" i="5"/>
  <c r="L54" i="5" s="1"/>
  <c r="I53" i="5"/>
  <c r="M53" i="5" s="1"/>
  <c r="H53" i="5"/>
  <c r="J53" i="5" s="1"/>
  <c r="K53" i="5" s="1"/>
  <c r="G53" i="5"/>
  <c r="L53" i="5" s="1"/>
  <c r="I52" i="5"/>
  <c r="M52" i="5" s="1"/>
  <c r="H52" i="5"/>
  <c r="J52" i="5" s="1"/>
  <c r="K52" i="5" s="1"/>
  <c r="G52" i="5"/>
  <c r="L52" i="5" s="1"/>
  <c r="I51" i="5"/>
  <c r="M51" i="5" s="1"/>
  <c r="H51" i="5"/>
  <c r="J51" i="5" s="1"/>
  <c r="K51" i="5" s="1"/>
  <c r="G51" i="5"/>
  <c r="L51" i="5" s="1"/>
  <c r="I50" i="5"/>
  <c r="M50" i="5" s="1"/>
  <c r="H50" i="5"/>
  <c r="J50" i="5" s="1"/>
  <c r="K50" i="5" s="1"/>
  <c r="G50" i="5"/>
  <c r="L50" i="5" s="1"/>
  <c r="I49" i="5"/>
  <c r="M49" i="5" s="1"/>
  <c r="H49" i="5"/>
  <c r="J49" i="5" s="1"/>
  <c r="K49" i="5" s="1"/>
  <c r="G49" i="5"/>
  <c r="L49" i="5" s="1"/>
  <c r="I48" i="5"/>
  <c r="M48" i="5" s="1"/>
  <c r="H48" i="5"/>
  <c r="J48" i="5" s="1"/>
  <c r="K48" i="5" s="1"/>
  <c r="G48" i="5"/>
  <c r="L48" i="5" s="1"/>
  <c r="I47" i="5"/>
  <c r="M47" i="5" s="1"/>
  <c r="H47" i="5"/>
  <c r="J47" i="5" s="1"/>
  <c r="K47" i="5" s="1"/>
  <c r="G47" i="5"/>
  <c r="L47" i="5" s="1"/>
  <c r="I46" i="5"/>
  <c r="M46" i="5" s="1"/>
  <c r="H46" i="5"/>
  <c r="J46" i="5" s="1"/>
  <c r="K46" i="5" s="1"/>
  <c r="G46" i="5"/>
  <c r="L46" i="5" s="1"/>
  <c r="I45" i="5"/>
  <c r="M45" i="5" s="1"/>
  <c r="H45" i="5"/>
  <c r="J45" i="5" s="1"/>
  <c r="K45" i="5" s="1"/>
  <c r="G45" i="5"/>
  <c r="L45" i="5" s="1"/>
  <c r="I44" i="5"/>
  <c r="M44" i="5" s="1"/>
  <c r="H44" i="5"/>
  <c r="J44" i="5" s="1"/>
  <c r="K44" i="5" s="1"/>
  <c r="G44" i="5"/>
  <c r="L44" i="5" s="1"/>
  <c r="I43" i="5"/>
  <c r="M43" i="5" s="1"/>
  <c r="H43" i="5"/>
  <c r="J43" i="5" s="1"/>
  <c r="K43" i="5" s="1"/>
  <c r="G43" i="5"/>
  <c r="L43" i="5" s="1"/>
  <c r="I42" i="5"/>
  <c r="M42" i="5" s="1"/>
  <c r="H42" i="5"/>
  <c r="J42" i="5" s="1"/>
  <c r="K42" i="5" s="1"/>
  <c r="G42" i="5"/>
  <c r="L42" i="5" s="1"/>
  <c r="I41" i="5"/>
  <c r="M41" i="5" s="1"/>
  <c r="H41" i="5"/>
  <c r="J41" i="5" s="1"/>
  <c r="K41" i="5" s="1"/>
  <c r="G41" i="5"/>
  <c r="L41" i="5" s="1"/>
  <c r="I40" i="5"/>
  <c r="M40" i="5" s="1"/>
  <c r="H40" i="5"/>
  <c r="J40" i="5" s="1"/>
  <c r="K40" i="5" s="1"/>
  <c r="G40" i="5"/>
  <c r="L40" i="5" s="1"/>
  <c r="I39" i="5"/>
  <c r="M39" i="5" s="1"/>
  <c r="H39" i="5"/>
  <c r="J39" i="5" s="1"/>
  <c r="K39" i="5" s="1"/>
  <c r="G39" i="5"/>
  <c r="L39" i="5" s="1"/>
  <c r="I38" i="5"/>
  <c r="M38" i="5" s="1"/>
  <c r="H38" i="5"/>
  <c r="J38" i="5" s="1"/>
  <c r="K38" i="5" s="1"/>
  <c r="G38" i="5"/>
  <c r="L38" i="5" s="1"/>
  <c r="I37" i="5"/>
  <c r="M37" i="5" s="1"/>
  <c r="H37" i="5"/>
  <c r="J37" i="5" s="1"/>
  <c r="K37" i="5" s="1"/>
  <c r="G37" i="5"/>
  <c r="L37" i="5" s="1"/>
  <c r="I36" i="5"/>
  <c r="M36" i="5" s="1"/>
  <c r="H36" i="5"/>
  <c r="J36" i="5" s="1"/>
  <c r="K36" i="5" s="1"/>
  <c r="G36" i="5"/>
  <c r="L36" i="5" s="1"/>
  <c r="I35" i="5"/>
  <c r="M35" i="5" s="1"/>
  <c r="H35" i="5"/>
  <c r="J35" i="5" s="1"/>
  <c r="K35" i="5" s="1"/>
  <c r="G35" i="5"/>
  <c r="L35" i="5" s="1"/>
  <c r="I34" i="5"/>
  <c r="M34" i="5" s="1"/>
  <c r="H34" i="5"/>
  <c r="J34" i="5" s="1"/>
  <c r="K34" i="5" s="1"/>
  <c r="G34" i="5"/>
  <c r="L34" i="5" s="1"/>
  <c r="I33" i="5"/>
  <c r="M33" i="5" s="1"/>
  <c r="H33" i="5"/>
  <c r="J33" i="5" s="1"/>
  <c r="K33" i="5" s="1"/>
  <c r="G33" i="5"/>
  <c r="L33" i="5" s="1"/>
  <c r="I32" i="5"/>
  <c r="M32" i="5" s="1"/>
  <c r="H32" i="5"/>
  <c r="J32" i="5" s="1"/>
  <c r="K32" i="5" s="1"/>
  <c r="G32" i="5"/>
  <c r="L32" i="5" s="1"/>
  <c r="I31" i="5"/>
  <c r="M31" i="5" s="1"/>
  <c r="H31" i="5"/>
  <c r="J31" i="5" s="1"/>
  <c r="K31" i="5" s="1"/>
  <c r="G31" i="5"/>
  <c r="L31" i="5" s="1"/>
  <c r="I30" i="5"/>
  <c r="M30" i="5" s="1"/>
  <c r="H30" i="5"/>
  <c r="J30" i="5" s="1"/>
  <c r="K30" i="5" s="1"/>
  <c r="G30" i="5"/>
  <c r="L30" i="5" s="1"/>
  <c r="I29" i="5"/>
  <c r="M29" i="5" s="1"/>
  <c r="H29" i="5"/>
  <c r="J29" i="5" s="1"/>
  <c r="K29" i="5" s="1"/>
  <c r="G29" i="5"/>
  <c r="L29" i="5" s="1"/>
  <c r="I28" i="5"/>
  <c r="M28" i="5" s="1"/>
  <c r="H28" i="5"/>
  <c r="J28" i="5" s="1"/>
  <c r="K28" i="5" s="1"/>
  <c r="G28" i="5"/>
  <c r="L28" i="5" s="1"/>
  <c r="I27" i="5"/>
  <c r="M27" i="5" s="1"/>
  <c r="H27" i="5"/>
  <c r="J27" i="5" s="1"/>
  <c r="K27" i="5" s="1"/>
  <c r="G27" i="5"/>
  <c r="L27" i="5" s="1"/>
  <c r="I26" i="5"/>
  <c r="M26" i="5" s="1"/>
  <c r="H26" i="5"/>
  <c r="J26" i="5" s="1"/>
  <c r="K26" i="5" s="1"/>
  <c r="G26" i="5"/>
  <c r="L26" i="5" s="1"/>
  <c r="I25" i="5"/>
  <c r="M25" i="5" s="1"/>
  <c r="H25" i="5"/>
  <c r="J25" i="5" s="1"/>
  <c r="K25" i="5" s="1"/>
  <c r="G25" i="5"/>
  <c r="L25" i="5" s="1"/>
  <c r="I24" i="5"/>
  <c r="M24" i="5" s="1"/>
  <c r="H24" i="5"/>
  <c r="J24" i="5" s="1"/>
  <c r="K24" i="5" s="1"/>
  <c r="G24" i="5"/>
  <c r="L24" i="5" s="1"/>
  <c r="I23" i="5"/>
  <c r="M23" i="5" s="1"/>
  <c r="H23" i="5"/>
  <c r="J23" i="5" s="1"/>
  <c r="K23" i="5" s="1"/>
  <c r="G23" i="5"/>
  <c r="L23" i="5" s="1"/>
  <c r="I22" i="5"/>
  <c r="M22" i="5" s="1"/>
  <c r="H22" i="5"/>
  <c r="J22" i="5" s="1"/>
  <c r="K22" i="5" s="1"/>
  <c r="G22" i="5"/>
  <c r="L22" i="5" s="1"/>
  <c r="I21" i="5"/>
  <c r="M21" i="5" s="1"/>
  <c r="H21" i="5"/>
  <c r="J21" i="5" s="1"/>
  <c r="K21" i="5" s="1"/>
  <c r="G21" i="5"/>
  <c r="L21" i="5" s="1"/>
  <c r="I20" i="5"/>
  <c r="M20" i="5" s="1"/>
  <c r="H20" i="5"/>
  <c r="J20" i="5" s="1"/>
  <c r="K20" i="5" s="1"/>
  <c r="G20" i="5"/>
  <c r="L20" i="5" s="1"/>
  <c r="I19" i="5"/>
  <c r="M19" i="5" s="1"/>
  <c r="H19" i="5"/>
  <c r="J19" i="5" s="1"/>
  <c r="K19" i="5" s="1"/>
  <c r="G19" i="5"/>
  <c r="L19" i="5" s="1"/>
  <c r="I18" i="5"/>
  <c r="M18" i="5" s="1"/>
  <c r="H18" i="5"/>
  <c r="J18" i="5" s="1"/>
  <c r="K18" i="5" s="1"/>
  <c r="G18" i="5"/>
  <c r="L18" i="5" s="1"/>
  <c r="I17" i="5"/>
  <c r="M17" i="5" s="1"/>
  <c r="H17" i="5"/>
  <c r="J17" i="5" s="1"/>
  <c r="K17" i="5" s="1"/>
  <c r="G17" i="5"/>
  <c r="L17" i="5" s="1"/>
  <c r="I16" i="5"/>
  <c r="M16" i="5" s="1"/>
  <c r="H16" i="5"/>
  <c r="J16" i="5" s="1"/>
  <c r="K16" i="5" s="1"/>
  <c r="G16" i="5"/>
  <c r="L16" i="5" s="1"/>
  <c r="I15" i="5"/>
  <c r="M15" i="5" s="1"/>
  <c r="H15" i="5"/>
  <c r="J15" i="5" s="1"/>
  <c r="K15" i="5" s="1"/>
  <c r="G15" i="5"/>
  <c r="L15" i="5" s="1"/>
  <c r="I14" i="5"/>
  <c r="M14" i="5" s="1"/>
  <c r="H14" i="5"/>
  <c r="J14" i="5" s="1"/>
  <c r="K14" i="5" s="1"/>
  <c r="G14" i="5"/>
  <c r="L14" i="5" s="1"/>
  <c r="I13" i="5"/>
  <c r="M13" i="5" s="1"/>
  <c r="H13" i="5"/>
  <c r="J13" i="5" s="1"/>
  <c r="K13" i="5" s="1"/>
  <c r="G13" i="5"/>
  <c r="L13" i="5" s="1"/>
  <c r="I12" i="5"/>
  <c r="M12" i="5" s="1"/>
  <c r="H12" i="5"/>
  <c r="J12" i="5" s="1"/>
  <c r="K12" i="5" s="1"/>
  <c r="G12" i="5"/>
  <c r="L12" i="5" s="1"/>
  <c r="I11" i="5"/>
  <c r="M11" i="5" s="1"/>
  <c r="H11" i="5"/>
  <c r="J11" i="5" s="1"/>
  <c r="K11" i="5" s="1"/>
  <c r="G11" i="5"/>
  <c r="L11" i="5" s="1"/>
  <c r="I10" i="5"/>
  <c r="M10" i="5" s="1"/>
  <c r="H10" i="5"/>
  <c r="J10" i="5" s="1"/>
  <c r="K10" i="5" s="1"/>
  <c r="G10" i="5"/>
  <c r="L10" i="5" s="1"/>
  <c r="I9" i="5"/>
  <c r="M9" i="5" s="1"/>
  <c r="H9" i="5"/>
  <c r="J9" i="5" s="1"/>
  <c r="K9" i="5" s="1"/>
  <c r="G9" i="5"/>
  <c r="L9" i="5" s="1"/>
  <c r="I8" i="5"/>
  <c r="M8" i="5" s="1"/>
  <c r="H8" i="5"/>
  <c r="J8" i="5" s="1"/>
  <c r="K8" i="5" s="1"/>
  <c r="G8" i="5"/>
  <c r="L8" i="5" s="1"/>
  <c r="I7" i="5"/>
  <c r="M7" i="5" s="1"/>
  <c r="H7" i="5"/>
  <c r="J7" i="5" s="1"/>
  <c r="K7" i="5" s="1"/>
  <c r="G7" i="5"/>
  <c r="L7" i="5" s="1"/>
  <c r="I91" i="4"/>
  <c r="M91" i="4" s="1"/>
  <c r="H91" i="4"/>
  <c r="J91" i="4" s="1"/>
  <c r="K91" i="4" s="1"/>
  <c r="G91" i="4"/>
  <c r="L91" i="4" s="1"/>
  <c r="I90" i="4"/>
  <c r="M90" i="4" s="1"/>
  <c r="H90" i="4"/>
  <c r="J90" i="4" s="1"/>
  <c r="K90" i="4" s="1"/>
  <c r="G90" i="4"/>
  <c r="L90" i="4" s="1"/>
  <c r="I89" i="4"/>
  <c r="M89" i="4" s="1"/>
  <c r="H89" i="4"/>
  <c r="J89" i="4" s="1"/>
  <c r="K89" i="4" s="1"/>
  <c r="G89" i="4"/>
  <c r="L89" i="4" s="1"/>
  <c r="I88" i="4"/>
  <c r="M88" i="4" s="1"/>
  <c r="H88" i="4"/>
  <c r="J88" i="4" s="1"/>
  <c r="K88" i="4" s="1"/>
  <c r="G88" i="4"/>
  <c r="L88" i="4" s="1"/>
  <c r="I87" i="4"/>
  <c r="M87" i="4" s="1"/>
  <c r="H87" i="4"/>
  <c r="J87" i="4" s="1"/>
  <c r="K87" i="4" s="1"/>
  <c r="G87" i="4"/>
  <c r="L87" i="4" s="1"/>
  <c r="I86" i="4"/>
  <c r="M86" i="4" s="1"/>
  <c r="H86" i="4"/>
  <c r="J86" i="4" s="1"/>
  <c r="K86" i="4" s="1"/>
  <c r="G86" i="4"/>
  <c r="L86" i="4" s="1"/>
  <c r="I85" i="4"/>
  <c r="M85" i="4" s="1"/>
  <c r="H85" i="4"/>
  <c r="J85" i="4" s="1"/>
  <c r="K85" i="4" s="1"/>
  <c r="G85" i="4"/>
  <c r="L85" i="4" s="1"/>
  <c r="I84" i="4"/>
  <c r="M84" i="4" s="1"/>
  <c r="H84" i="4"/>
  <c r="J84" i="4" s="1"/>
  <c r="K84" i="4" s="1"/>
  <c r="G84" i="4"/>
  <c r="L84" i="4" s="1"/>
  <c r="I83" i="4"/>
  <c r="M83" i="4" s="1"/>
  <c r="H83" i="4"/>
  <c r="J83" i="4" s="1"/>
  <c r="K83" i="4" s="1"/>
  <c r="G83" i="4"/>
  <c r="L83" i="4" s="1"/>
  <c r="I82" i="4"/>
  <c r="M82" i="4" s="1"/>
  <c r="H82" i="4"/>
  <c r="J82" i="4" s="1"/>
  <c r="K82" i="4" s="1"/>
  <c r="G82" i="4"/>
  <c r="L82" i="4" s="1"/>
  <c r="I81" i="4"/>
  <c r="M81" i="4" s="1"/>
  <c r="H81" i="4"/>
  <c r="J81" i="4" s="1"/>
  <c r="K81" i="4" s="1"/>
  <c r="G81" i="4"/>
  <c r="L81" i="4" s="1"/>
  <c r="I80" i="4"/>
  <c r="M80" i="4" s="1"/>
  <c r="H80" i="4"/>
  <c r="J80" i="4" s="1"/>
  <c r="K80" i="4" s="1"/>
  <c r="G80" i="4"/>
  <c r="L80" i="4" s="1"/>
  <c r="I79" i="4"/>
  <c r="M79" i="4" s="1"/>
  <c r="H79" i="4"/>
  <c r="J79" i="4" s="1"/>
  <c r="K79" i="4" s="1"/>
  <c r="G79" i="4"/>
  <c r="L79" i="4" s="1"/>
  <c r="I78" i="4"/>
  <c r="M78" i="4" s="1"/>
  <c r="H78" i="4"/>
  <c r="J78" i="4" s="1"/>
  <c r="K78" i="4" s="1"/>
  <c r="G78" i="4"/>
  <c r="L78" i="4" s="1"/>
  <c r="I77" i="4"/>
  <c r="M77" i="4" s="1"/>
  <c r="H77" i="4"/>
  <c r="J77" i="4" s="1"/>
  <c r="K77" i="4" s="1"/>
  <c r="G77" i="4"/>
  <c r="L77" i="4" s="1"/>
  <c r="I76" i="4"/>
  <c r="M76" i="4" s="1"/>
  <c r="H76" i="4"/>
  <c r="J76" i="4" s="1"/>
  <c r="K76" i="4" s="1"/>
  <c r="G76" i="4"/>
  <c r="L76" i="4" s="1"/>
  <c r="I75" i="4"/>
  <c r="M75" i="4" s="1"/>
  <c r="H75" i="4"/>
  <c r="J75" i="4" s="1"/>
  <c r="K75" i="4" s="1"/>
  <c r="G75" i="4"/>
  <c r="L75" i="4" s="1"/>
  <c r="I74" i="4"/>
  <c r="M74" i="4" s="1"/>
  <c r="H74" i="4"/>
  <c r="J74" i="4" s="1"/>
  <c r="K74" i="4" s="1"/>
  <c r="G74" i="4"/>
  <c r="L74" i="4" s="1"/>
  <c r="I73" i="4"/>
  <c r="M73" i="4" s="1"/>
  <c r="H73" i="4"/>
  <c r="J73" i="4" s="1"/>
  <c r="K73" i="4" s="1"/>
  <c r="G73" i="4"/>
  <c r="L73" i="4" s="1"/>
  <c r="I72" i="4"/>
  <c r="M72" i="4" s="1"/>
  <c r="H72" i="4"/>
  <c r="J72" i="4" s="1"/>
  <c r="K72" i="4" s="1"/>
  <c r="G72" i="4"/>
  <c r="L72" i="4" s="1"/>
  <c r="I71" i="4"/>
  <c r="M71" i="4" s="1"/>
  <c r="H71" i="4"/>
  <c r="J71" i="4" s="1"/>
  <c r="K71" i="4" s="1"/>
  <c r="G71" i="4"/>
  <c r="L71" i="4" s="1"/>
  <c r="I70" i="4"/>
  <c r="M70" i="4" s="1"/>
  <c r="H70" i="4"/>
  <c r="J70" i="4" s="1"/>
  <c r="K70" i="4" s="1"/>
  <c r="G70" i="4"/>
  <c r="L70" i="4" s="1"/>
  <c r="I69" i="4"/>
  <c r="M69" i="4" s="1"/>
  <c r="H69" i="4"/>
  <c r="J69" i="4" s="1"/>
  <c r="K69" i="4" s="1"/>
  <c r="G69" i="4"/>
  <c r="L69" i="4" s="1"/>
  <c r="I68" i="4"/>
  <c r="M68" i="4" s="1"/>
  <c r="H68" i="4"/>
  <c r="J68" i="4" s="1"/>
  <c r="K68" i="4" s="1"/>
  <c r="G68" i="4"/>
  <c r="L68" i="4" s="1"/>
  <c r="I67" i="4"/>
  <c r="M67" i="4" s="1"/>
  <c r="H67" i="4"/>
  <c r="J67" i="4" s="1"/>
  <c r="K67" i="4" s="1"/>
  <c r="G67" i="4"/>
  <c r="L67" i="4" s="1"/>
  <c r="I66" i="4"/>
  <c r="M66" i="4" s="1"/>
  <c r="H66" i="4"/>
  <c r="J66" i="4" s="1"/>
  <c r="K66" i="4" s="1"/>
  <c r="G66" i="4"/>
  <c r="L66" i="4" s="1"/>
  <c r="I65" i="4"/>
  <c r="M65" i="4" s="1"/>
  <c r="H65" i="4"/>
  <c r="J65" i="4" s="1"/>
  <c r="K65" i="4" s="1"/>
  <c r="G65" i="4"/>
  <c r="L65" i="4" s="1"/>
  <c r="I64" i="4"/>
  <c r="M64" i="4" s="1"/>
  <c r="H64" i="4"/>
  <c r="J64" i="4" s="1"/>
  <c r="K64" i="4" s="1"/>
  <c r="G64" i="4"/>
  <c r="L64" i="4" s="1"/>
  <c r="I63" i="4"/>
  <c r="M63" i="4" s="1"/>
  <c r="H63" i="4"/>
  <c r="J63" i="4" s="1"/>
  <c r="K63" i="4" s="1"/>
  <c r="G63" i="4"/>
  <c r="L63" i="4" s="1"/>
  <c r="I62" i="4"/>
  <c r="M62" i="4" s="1"/>
  <c r="H62" i="4"/>
  <c r="J62" i="4" s="1"/>
  <c r="K62" i="4" s="1"/>
  <c r="G62" i="4"/>
  <c r="L62" i="4" s="1"/>
  <c r="I61" i="4"/>
  <c r="M61" i="4" s="1"/>
  <c r="H61" i="4"/>
  <c r="J61" i="4" s="1"/>
  <c r="K61" i="4" s="1"/>
  <c r="G61" i="4"/>
  <c r="L61" i="4" s="1"/>
  <c r="I60" i="4"/>
  <c r="M60" i="4" s="1"/>
  <c r="H60" i="4"/>
  <c r="J60" i="4" s="1"/>
  <c r="K60" i="4" s="1"/>
  <c r="G60" i="4"/>
  <c r="L60" i="4" s="1"/>
  <c r="I59" i="4"/>
  <c r="M59" i="4" s="1"/>
  <c r="H59" i="4"/>
  <c r="J59" i="4" s="1"/>
  <c r="K59" i="4" s="1"/>
  <c r="G59" i="4"/>
  <c r="L59" i="4" s="1"/>
  <c r="I58" i="4"/>
  <c r="M58" i="4" s="1"/>
  <c r="H58" i="4"/>
  <c r="J58" i="4" s="1"/>
  <c r="K58" i="4" s="1"/>
  <c r="G58" i="4"/>
  <c r="L58" i="4" s="1"/>
  <c r="I57" i="4"/>
  <c r="M57" i="4" s="1"/>
  <c r="H57" i="4"/>
  <c r="J57" i="4" s="1"/>
  <c r="K57" i="4" s="1"/>
  <c r="G57" i="4"/>
  <c r="L57" i="4" s="1"/>
  <c r="M56" i="4"/>
  <c r="J56" i="4"/>
  <c r="K56" i="4" s="1"/>
  <c r="L56" i="4" s="1"/>
  <c r="I56" i="4"/>
  <c r="H56" i="4"/>
  <c r="G56" i="4"/>
  <c r="I55" i="4"/>
  <c r="M55" i="4" s="1"/>
  <c r="H55" i="4"/>
  <c r="J55" i="4" s="1"/>
  <c r="K55" i="4" s="1"/>
  <c r="G55" i="4"/>
  <c r="L55" i="4" s="1"/>
  <c r="I54" i="4"/>
  <c r="M54" i="4" s="1"/>
  <c r="H54" i="4"/>
  <c r="J54" i="4" s="1"/>
  <c r="K54" i="4" s="1"/>
  <c r="G54" i="4"/>
  <c r="L54" i="4" s="1"/>
  <c r="I53" i="4"/>
  <c r="M53" i="4" s="1"/>
  <c r="H53" i="4"/>
  <c r="J53" i="4" s="1"/>
  <c r="K53" i="4" s="1"/>
  <c r="G53" i="4"/>
  <c r="L53" i="4" s="1"/>
  <c r="I52" i="4"/>
  <c r="M52" i="4" s="1"/>
  <c r="H52" i="4"/>
  <c r="J52" i="4" s="1"/>
  <c r="K52" i="4" s="1"/>
  <c r="G52" i="4"/>
  <c r="L52" i="4" s="1"/>
  <c r="I51" i="4"/>
  <c r="M51" i="4" s="1"/>
  <c r="H51" i="4"/>
  <c r="J51" i="4" s="1"/>
  <c r="K51" i="4" s="1"/>
  <c r="G51" i="4"/>
  <c r="L51" i="4" s="1"/>
  <c r="I50" i="4"/>
  <c r="M50" i="4" s="1"/>
  <c r="H50" i="4"/>
  <c r="J50" i="4" s="1"/>
  <c r="K50" i="4" s="1"/>
  <c r="G50" i="4"/>
  <c r="L50" i="4" s="1"/>
  <c r="I49" i="4"/>
  <c r="M49" i="4" s="1"/>
  <c r="H49" i="4"/>
  <c r="J49" i="4" s="1"/>
  <c r="K49" i="4" s="1"/>
  <c r="G49" i="4"/>
  <c r="L49" i="4" s="1"/>
  <c r="I48" i="4"/>
  <c r="M48" i="4" s="1"/>
  <c r="H48" i="4"/>
  <c r="J48" i="4" s="1"/>
  <c r="K48" i="4" s="1"/>
  <c r="G48" i="4"/>
  <c r="L48" i="4" s="1"/>
  <c r="I47" i="4"/>
  <c r="M47" i="4" s="1"/>
  <c r="H47" i="4"/>
  <c r="J47" i="4" s="1"/>
  <c r="K47" i="4" s="1"/>
  <c r="G47" i="4"/>
  <c r="L47" i="4" s="1"/>
  <c r="I46" i="4"/>
  <c r="M46" i="4" s="1"/>
  <c r="H46" i="4"/>
  <c r="J46" i="4" s="1"/>
  <c r="K46" i="4" s="1"/>
  <c r="G46" i="4"/>
  <c r="L46" i="4" s="1"/>
  <c r="I45" i="4"/>
  <c r="M45" i="4" s="1"/>
  <c r="H45" i="4"/>
  <c r="J45" i="4" s="1"/>
  <c r="K45" i="4" s="1"/>
  <c r="G45" i="4"/>
  <c r="L45" i="4" s="1"/>
  <c r="I44" i="4"/>
  <c r="M44" i="4" s="1"/>
  <c r="H44" i="4"/>
  <c r="J44" i="4" s="1"/>
  <c r="K44" i="4" s="1"/>
  <c r="G44" i="4"/>
  <c r="L44" i="4" s="1"/>
  <c r="I43" i="4"/>
  <c r="M43" i="4" s="1"/>
  <c r="H43" i="4"/>
  <c r="J43" i="4" s="1"/>
  <c r="K43" i="4" s="1"/>
  <c r="G43" i="4"/>
  <c r="L43" i="4" s="1"/>
  <c r="I42" i="4"/>
  <c r="M42" i="4" s="1"/>
  <c r="H42" i="4"/>
  <c r="J42" i="4" s="1"/>
  <c r="K42" i="4" s="1"/>
  <c r="G42" i="4"/>
  <c r="L42" i="4" s="1"/>
  <c r="I41" i="4"/>
  <c r="M41" i="4" s="1"/>
  <c r="H41" i="4"/>
  <c r="J41" i="4" s="1"/>
  <c r="K41" i="4" s="1"/>
  <c r="G41" i="4"/>
  <c r="L41" i="4" s="1"/>
  <c r="I40" i="4"/>
  <c r="M40" i="4" s="1"/>
  <c r="H40" i="4"/>
  <c r="J40" i="4" s="1"/>
  <c r="K40" i="4" s="1"/>
  <c r="G40" i="4"/>
  <c r="L40" i="4" s="1"/>
  <c r="I39" i="4"/>
  <c r="M39" i="4" s="1"/>
  <c r="H39" i="4"/>
  <c r="J39" i="4" s="1"/>
  <c r="K39" i="4" s="1"/>
  <c r="G39" i="4"/>
  <c r="L39" i="4" s="1"/>
  <c r="I38" i="4"/>
  <c r="M38" i="4" s="1"/>
  <c r="H38" i="4"/>
  <c r="J38" i="4" s="1"/>
  <c r="K38" i="4" s="1"/>
  <c r="G38" i="4"/>
  <c r="L38" i="4" s="1"/>
  <c r="I37" i="4"/>
  <c r="M37" i="4" s="1"/>
  <c r="H37" i="4"/>
  <c r="J37" i="4" s="1"/>
  <c r="K37" i="4" s="1"/>
  <c r="G37" i="4"/>
  <c r="L37" i="4" s="1"/>
  <c r="I36" i="4"/>
  <c r="M36" i="4" s="1"/>
  <c r="H36" i="4"/>
  <c r="J36" i="4" s="1"/>
  <c r="K36" i="4" s="1"/>
  <c r="G36" i="4"/>
  <c r="L36" i="4" s="1"/>
  <c r="I35" i="4"/>
  <c r="M35" i="4" s="1"/>
  <c r="H35" i="4"/>
  <c r="J35" i="4" s="1"/>
  <c r="K35" i="4" s="1"/>
  <c r="G35" i="4"/>
  <c r="L35" i="4" s="1"/>
  <c r="I34" i="4"/>
  <c r="M34" i="4" s="1"/>
  <c r="H34" i="4"/>
  <c r="J34" i="4" s="1"/>
  <c r="K34" i="4" s="1"/>
  <c r="G34" i="4"/>
  <c r="L34" i="4" s="1"/>
  <c r="I33" i="4"/>
  <c r="M33" i="4" s="1"/>
  <c r="H33" i="4"/>
  <c r="J33" i="4" s="1"/>
  <c r="K33" i="4" s="1"/>
  <c r="G33" i="4"/>
  <c r="L33" i="4" s="1"/>
  <c r="I32" i="4"/>
  <c r="M32" i="4" s="1"/>
  <c r="H32" i="4"/>
  <c r="J32" i="4" s="1"/>
  <c r="K32" i="4" s="1"/>
  <c r="G32" i="4"/>
  <c r="L32" i="4" s="1"/>
  <c r="I31" i="4"/>
  <c r="M31" i="4" s="1"/>
  <c r="H31" i="4"/>
  <c r="J31" i="4" s="1"/>
  <c r="K31" i="4" s="1"/>
  <c r="G31" i="4"/>
  <c r="L31" i="4" s="1"/>
  <c r="I30" i="4"/>
  <c r="M30" i="4" s="1"/>
  <c r="H30" i="4"/>
  <c r="J30" i="4" s="1"/>
  <c r="K30" i="4" s="1"/>
  <c r="G30" i="4"/>
  <c r="L30" i="4" s="1"/>
  <c r="I29" i="4"/>
  <c r="M29" i="4" s="1"/>
  <c r="H29" i="4"/>
  <c r="J29" i="4" s="1"/>
  <c r="K29" i="4" s="1"/>
  <c r="G29" i="4"/>
  <c r="L29" i="4" s="1"/>
  <c r="I28" i="4"/>
  <c r="M28" i="4" s="1"/>
  <c r="H28" i="4"/>
  <c r="J28" i="4" s="1"/>
  <c r="K28" i="4" s="1"/>
  <c r="G28" i="4"/>
  <c r="L28" i="4" s="1"/>
  <c r="I27" i="4"/>
  <c r="M27" i="4" s="1"/>
  <c r="H27" i="4"/>
  <c r="J27" i="4" s="1"/>
  <c r="K27" i="4" s="1"/>
  <c r="G27" i="4"/>
  <c r="L27" i="4" s="1"/>
  <c r="I26" i="4"/>
  <c r="M26" i="4" s="1"/>
  <c r="H26" i="4"/>
  <c r="J26" i="4" s="1"/>
  <c r="K26" i="4" s="1"/>
  <c r="G26" i="4"/>
  <c r="L26" i="4" s="1"/>
  <c r="I25" i="4"/>
  <c r="M25" i="4" s="1"/>
  <c r="H25" i="4"/>
  <c r="J25" i="4" s="1"/>
  <c r="K25" i="4" s="1"/>
  <c r="G25" i="4"/>
  <c r="L25" i="4" s="1"/>
  <c r="I24" i="4"/>
  <c r="M24" i="4" s="1"/>
  <c r="H24" i="4"/>
  <c r="J24" i="4" s="1"/>
  <c r="K24" i="4" s="1"/>
  <c r="G24" i="4"/>
  <c r="L24" i="4" s="1"/>
  <c r="I23" i="4"/>
  <c r="M23" i="4" s="1"/>
  <c r="H23" i="4"/>
  <c r="J23" i="4" s="1"/>
  <c r="K23" i="4" s="1"/>
  <c r="G23" i="4"/>
  <c r="L23" i="4" s="1"/>
  <c r="I22" i="4"/>
  <c r="M22" i="4" s="1"/>
  <c r="H22" i="4"/>
  <c r="J22" i="4" s="1"/>
  <c r="K22" i="4" s="1"/>
  <c r="G22" i="4"/>
  <c r="L22" i="4" s="1"/>
  <c r="I21" i="4"/>
  <c r="M21" i="4" s="1"/>
  <c r="H21" i="4"/>
  <c r="J21" i="4" s="1"/>
  <c r="K21" i="4" s="1"/>
  <c r="G21" i="4"/>
  <c r="L21" i="4" s="1"/>
  <c r="I20" i="4"/>
  <c r="M20" i="4" s="1"/>
  <c r="H20" i="4"/>
  <c r="J20" i="4" s="1"/>
  <c r="K20" i="4" s="1"/>
  <c r="G20" i="4"/>
  <c r="L20" i="4" s="1"/>
  <c r="I19" i="4"/>
  <c r="M19" i="4" s="1"/>
  <c r="H19" i="4"/>
  <c r="J19" i="4" s="1"/>
  <c r="K19" i="4" s="1"/>
  <c r="G19" i="4"/>
  <c r="L19" i="4" s="1"/>
  <c r="I18" i="4"/>
  <c r="M18" i="4" s="1"/>
  <c r="H18" i="4"/>
  <c r="J18" i="4" s="1"/>
  <c r="K18" i="4" s="1"/>
  <c r="G18" i="4"/>
  <c r="L18" i="4" s="1"/>
  <c r="I17" i="4"/>
  <c r="M17" i="4" s="1"/>
  <c r="H17" i="4"/>
  <c r="J17" i="4" s="1"/>
  <c r="K17" i="4" s="1"/>
  <c r="G17" i="4"/>
  <c r="L17" i="4" s="1"/>
  <c r="I16" i="4"/>
  <c r="M16" i="4" s="1"/>
  <c r="H16" i="4"/>
  <c r="J16" i="4" s="1"/>
  <c r="K16" i="4" s="1"/>
  <c r="G16" i="4"/>
  <c r="L16" i="4" s="1"/>
  <c r="I15" i="4"/>
  <c r="M15" i="4" s="1"/>
  <c r="H15" i="4"/>
  <c r="J15" i="4" s="1"/>
  <c r="K15" i="4" s="1"/>
  <c r="G15" i="4"/>
  <c r="L15" i="4" s="1"/>
  <c r="I14" i="4"/>
  <c r="M14" i="4" s="1"/>
  <c r="H14" i="4"/>
  <c r="J14" i="4" s="1"/>
  <c r="K14" i="4" s="1"/>
  <c r="G14" i="4"/>
  <c r="L14" i="4" s="1"/>
  <c r="I13" i="4"/>
  <c r="M13" i="4" s="1"/>
  <c r="H13" i="4"/>
  <c r="J13" i="4" s="1"/>
  <c r="K13" i="4" s="1"/>
  <c r="G13" i="4"/>
  <c r="L13" i="4" s="1"/>
  <c r="I12" i="4"/>
  <c r="M12" i="4" s="1"/>
  <c r="H12" i="4"/>
  <c r="J12" i="4" s="1"/>
  <c r="K12" i="4" s="1"/>
  <c r="G12" i="4"/>
  <c r="L12" i="4" s="1"/>
  <c r="I11" i="4"/>
  <c r="M11" i="4" s="1"/>
  <c r="H11" i="4"/>
  <c r="J11" i="4" s="1"/>
  <c r="K11" i="4" s="1"/>
  <c r="G11" i="4"/>
  <c r="L11" i="4" s="1"/>
  <c r="I10" i="4"/>
  <c r="M10" i="4" s="1"/>
  <c r="H10" i="4"/>
  <c r="J10" i="4" s="1"/>
  <c r="K10" i="4" s="1"/>
  <c r="G10" i="4"/>
  <c r="L10" i="4" s="1"/>
  <c r="I9" i="4"/>
  <c r="M9" i="4" s="1"/>
  <c r="H9" i="4"/>
  <c r="J9" i="4" s="1"/>
  <c r="K9" i="4" s="1"/>
  <c r="G9" i="4"/>
  <c r="L9" i="4" s="1"/>
  <c r="I8" i="4"/>
  <c r="M8" i="4" s="1"/>
  <c r="H8" i="4"/>
  <c r="J8" i="4" s="1"/>
  <c r="K8" i="4" s="1"/>
  <c r="G8" i="4"/>
  <c r="L8" i="4" s="1"/>
  <c r="I7" i="4"/>
  <c r="M7" i="4" s="1"/>
  <c r="H7" i="4"/>
  <c r="J7" i="4" s="1"/>
  <c r="K7" i="4" s="1"/>
  <c r="G7" i="4"/>
  <c r="L7" i="4" s="1"/>
  <c r="I89" i="16"/>
  <c r="M89" i="16" s="1"/>
  <c r="H89" i="16"/>
  <c r="J89" i="16" s="1"/>
  <c r="K89" i="16" s="1"/>
  <c r="G89" i="16"/>
  <c r="L89" i="16" s="1"/>
  <c r="I88" i="16"/>
  <c r="M88" i="16" s="1"/>
  <c r="H88" i="16"/>
  <c r="J88" i="16" s="1"/>
  <c r="K88" i="16" s="1"/>
  <c r="G88" i="16"/>
  <c r="L88" i="16" s="1"/>
  <c r="I87" i="16"/>
  <c r="M87" i="16" s="1"/>
  <c r="H87" i="16"/>
  <c r="J87" i="16" s="1"/>
  <c r="K87" i="16" s="1"/>
  <c r="G87" i="16"/>
  <c r="L87" i="16" s="1"/>
  <c r="I86" i="16"/>
  <c r="M86" i="16" s="1"/>
  <c r="H86" i="16"/>
  <c r="J86" i="16" s="1"/>
  <c r="K86" i="16" s="1"/>
  <c r="G86" i="16"/>
  <c r="L86" i="16" s="1"/>
  <c r="I85" i="16"/>
  <c r="M85" i="16" s="1"/>
  <c r="H85" i="16"/>
  <c r="J85" i="16" s="1"/>
  <c r="K85" i="16" s="1"/>
  <c r="G85" i="16"/>
  <c r="L85" i="16" s="1"/>
  <c r="I84" i="16"/>
  <c r="M84" i="16" s="1"/>
  <c r="H84" i="16"/>
  <c r="J84" i="16" s="1"/>
  <c r="K84" i="16" s="1"/>
  <c r="G84" i="16"/>
  <c r="L84" i="16" s="1"/>
  <c r="I83" i="16"/>
  <c r="M83" i="16" s="1"/>
  <c r="H83" i="16"/>
  <c r="J83" i="16" s="1"/>
  <c r="K83" i="16" s="1"/>
  <c r="G83" i="16"/>
  <c r="L83" i="16" s="1"/>
  <c r="I82" i="16"/>
  <c r="M82" i="16" s="1"/>
  <c r="H82" i="16"/>
  <c r="J82" i="16" s="1"/>
  <c r="K82" i="16" s="1"/>
  <c r="G82" i="16"/>
  <c r="L82" i="16" s="1"/>
  <c r="I81" i="16"/>
  <c r="M81" i="16" s="1"/>
  <c r="H81" i="16"/>
  <c r="J81" i="16" s="1"/>
  <c r="K81" i="16" s="1"/>
  <c r="G81" i="16"/>
  <c r="L81" i="16" s="1"/>
  <c r="I80" i="16"/>
  <c r="M80" i="16" s="1"/>
  <c r="H80" i="16"/>
  <c r="J80" i="16" s="1"/>
  <c r="K80" i="16" s="1"/>
  <c r="G80" i="16"/>
  <c r="L80" i="16" s="1"/>
  <c r="I79" i="16"/>
  <c r="M79" i="16" s="1"/>
  <c r="H79" i="16"/>
  <c r="J79" i="16" s="1"/>
  <c r="K79" i="16" s="1"/>
  <c r="G79" i="16"/>
  <c r="L79" i="16" s="1"/>
  <c r="I78" i="16"/>
  <c r="M78" i="16" s="1"/>
  <c r="H78" i="16"/>
  <c r="J78" i="16" s="1"/>
  <c r="K78" i="16" s="1"/>
  <c r="G78" i="16"/>
  <c r="L78" i="16" s="1"/>
  <c r="I77" i="16"/>
  <c r="M77" i="16" s="1"/>
  <c r="H77" i="16"/>
  <c r="J77" i="16" s="1"/>
  <c r="K77" i="16" s="1"/>
  <c r="G77" i="16"/>
  <c r="L77" i="16" s="1"/>
  <c r="I76" i="16"/>
  <c r="M76" i="16" s="1"/>
  <c r="H76" i="16"/>
  <c r="J76" i="16" s="1"/>
  <c r="K76" i="16" s="1"/>
  <c r="G76" i="16"/>
  <c r="L76" i="16" s="1"/>
  <c r="I75" i="16"/>
  <c r="M75" i="16" s="1"/>
  <c r="H75" i="16"/>
  <c r="J75" i="16" s="1"/>
  <c r="K75" i="16" s="1"/>
  <c r="G75" i="16"/>
  <c r="L75" i="16" s="1"/>
  <c r="I74" i="16"/>
  <c r="M74" i="16" s="1"/>
  <c r="H74" i="16"/>
  <c r="J74" i="16" s="1"/>
  <c r="K74" i="16" s="1"/>
  <c r="G74" i="16"/>
  <c r="L74" i="16" s="1"/>
  <c r="I73" i="16"/>
  <c r="M73" i="16" s="1"/>
  <c r="H73" i="16"/>
  <c r="J73" i="16" s="1"/>
  <c r="K73" i="16" s="1"/>
  <c r="G73" i="16"/>
  <c r="L73" i="16" s="1"/>
  <c r="I72" i="16"/>
  <c r="M72" i="16" s="1"/>
  <c r="H72" i="16"/>
  <c r="J72" i="16" s="1"/>
  <c r="K72" i="16" s="1"/>
  <c r="G72" i="16"/>
  <c r="L72" i="16" s="1"/>
  <c r="I71" i="16"/>
  <c r="M71" i="16" s="1"/>
  <c r="H71" i="16"/>
  <c r="J71" i="16" s="1"/>
  <c r="K71" i="16" s="1"/>
  <c r="G71" i="16"/>
  <c r="L71" i="16" s="1"/>
  <c r="I70" i="16"/>
  <c r="M70" i="16" s="1"/>
  <c r="H70" i="16"/>
  <c r="J70" i="16" s="1"/>
  <c r="K70" i="16" s="1"/>
  <c r="G70" i="16"/>
  <c r="L70" i="16" s="1"/>
  <c r="I69" i="16"/>
  <c r="M69" i="16" s="1"/>
  <c r="H69" i="16"/>
  <c r="J69" i="16" s="1"/>
  <c r="K69" i="16" s="1"/>
  <c r="G69" i="16"/>
  <c r="L69" i="16" s="1"/>
  <c r="I68" i="16"/>
  <c r="M68" i="16" s="1"/>
  <c r="H68" i="16"/>
  <c r="J68" i="16" s="1"/>
  <c r="K68" i="16" s="1"/>
  <c r="G68" i="16"/>
  <c r="L68" i="16" s="1"/>
  <c r="I67" i="16"/>
  <c r="M67" i="16" s="1"/>
  <c r="H67" i="16"/>
  <c r="J67" i="16" s="1"/>
  <c r="K67" i="16" s="1"/>
  <c r="G67" i="16"/>
  <c r="L67" i="16" s="1"/>
  <c r="I66" i="16"/>
  <c r="M66" i="16" s="1"/>
  <c r="H66" i="16"/>
  <c r="J66" i="16" s="1"/>
  <c r="K66" i="16" s="1"/>
  <c r="G66" i="16"/>
  <c r="L66" i="16" s="1"/>
  <c r="I65" i="16"/>
  <c r="M65" i="16" s="1"/>
  <c r="H65" i="16"/>
  <c r="J65" i="16" s="1"/>
  <c r="K65" i="16" s="1"/>
  <c r="G65" i="16"/>
  <c r="L65" i="16" s="1"/>
  <c r="I64" i="16"/>
  <c r="M64" i="16" s="1"/>
  <c r="H64" i="16"/>
  <c r="J64" i="16" s="1"/>
  <c r="K64" i="16" s="1"/>
  <c r="G64" i="16"/>
  <c r="L64" i="16" s="1"/>
  <c r="I63" i="16"/>
  <c r="M63" i="16" s="1"/>
  <c r="H63" i="16"/>
  <c r="J63" i="16" s="1"/>
  <c r="K63" i="16" s="1"/>
  <c r="G63" i="16"/>
  <c r="L63" i="16" s="1"/>
  <c r="I62" i="16"/>
  <c r="M62" i="16" s="1"/>
  <c r="H62" i="16"/>
  <c r="J62" i="16" s="1"/>
  <c r="K62" i="16" s="1"/>
  <c r="G62" i="16"/>
  <c r="L62" i="16" s="1"/>
  <c r="I61" i="16"/>
  <c r="M61" i="16" s="1"/>
  <c r="H61" i="16"/>
  <c r="J61" i="16" s="1"/>
  <c r="K61" i="16" s="1"/>
  <c r="G61" i="16"/>
  <c r="L61" i="16" s="1"/>
  <c r="I60" i="16"/>
  <c r="M60" i="16" s="1"/>
  <c r="H60" i="16"/>
  <c r="J60" i="16" s="1"/>
  <c r="K60" i="16" s="1"/>
  <c r="G60" i="16"/>
  <c r="L60" i="16" s="1"/>
  <c r="I59" i="16"/>
  <c r="M59" i="16" s="1"/>
  <c r="H59" i="16"/>
  <c r="J59" i="16" s="1"/>
  <c r="K59" i="16" s="1"/>
  <c r="G59" i="16"/>
  <c r="L59" i="16" s="1"/>
  <c r="I58" i="16"/>
  <c r="M58" i="16" s="1"/>
  <c r="H58" i="16"/>
  <c r="J58" i="16" s="1"/>
  <c r="K58" i="16" s="1"/>
  <c r="G58" i="16"/>
  <c r="L58" i="16" s="1"/>
  <c r="I57" i="16"/>
  <c r="M57" i="16" s="1"/>
  <c r="H57" i="16"/>
  <c r="J57" i="16" s="1"/>
  <c r="K57" i="16" s="1"/>
  <c r="G57" i="16"/>
  <c r="L57" i="16" s="1"/>
  <c r="I56" i="16"/>
  <c r="M56" i="16" s="1"/>
  <c r="H56" i="16"/>
  <c r="J56" i="16" s="1"/>
  <c r="K56" i="16" s="1"/>
  <c r="G56" i="16"/>
  <c r="L56" i="16" s="1"/>
  <c r="I55" i="16"/>
  <c r="M55" i="16" s="1"/>
  <c r="H55" i="16"/>
  <c r="J55" i="16" s="1"/>
  <c r="K55" i="16" s="1"/>
  <c r="G55" i="16"/>
  <c r="L55" i="16" s="1"/>
  <c r="I54" i="16"/>
  <c r="M54" i="16" s="1"/>
  <c r="H54" i="16"/>
  <c r="J54" i="16" s="1"/>
  <c r="K54" i="16" s="1"/>
  <c r="G54" i="16"/>
  <c r="L54" i="16" s="1"/>
  <c r="I53" i="16"/>
  <c r="M53" i="16" s="1"/>
  <c r="H53" i="16"/>
  <c r="J53" i="16" s="1"/>
  <c r="K53" i="16" s="1"/>
  <c r="G53" i="16"/>
  <c r="L53" i="16" s="1"/>
  <c r="I52" i="16"/>
  <c r="M52" i="16" s="1"/>
  <c r="H52" i="16"/>
  <c r="J52" i="16" s="1"/>
  <c r="K52" i="16" s="1"/>
  <c r="G52" i="16"/>
  <c r="L52" i="16" s="1"/>
  <c r="I51" i="16"/>
  <c r="M51" i="16" s="1"/>
  <c r="H51" i="16"/>
  <c r="J51" i="16" s="1"/>
  <c r="K51" i="16" s="1"/>
  <c r="G51" i="16"/>
  <c r="L51" i="16" s="1"/>
  <c r="I50" i="16"/>
  <c r="M50" i="16" s="1"/>
  <c r="H50" i="16"/>
  <c r="J50" i="16" s="1"/>
  <c r="K50" i="16" s="1"/>
  <c r="G50" i="16"/>
  <c r="L50" i="16" s="1"/>
  <c r="I49" i="16"/>
  <c r="M49" i="16" s="1"/>
  <c r="H49" i="16"/>
  <c r="J49" i="16" s="1"/>
  <c r="K49" i="16" s="1"/>
  <c r="G49" i="16"/>
  <c r="L49" i="16" s="1"/>
  <c r="I48" i="16"/>
  <c r="M48" i="16" s="1"/>
  <c r="H48" i="16"/>
  <c r="J48" i="16" s="1"/>
  <c r="K48" i="16" s="1"/>
  <c r="G48" i="16"/>
  <c r="L48" i="16" s="1"/>
  <c r="I47" i="16"/>
  <c r="M47" i="16" s="1"/>
  <c r="H47" i="16"/>
  <c r="J47" i="16" s="1"/>
  <c r="K47" i="16" s="1"/>
  <c r="G47" i="16"/>
  <c r="L47" i="16" s="1"/>
  <c r="I46" i="16"/>
  <c r="M46" i="16" s="1"/>
  <c r="H46" i="16"/>
  <c r="J46" i="16" s="1"/>
  <c r="K46" i="16" s="1"/>
  <c r="G46" i="16"/>
  <c r="L46" i="16" s="1"/>
  <c r="I45" i="16"/>
  <c r="M45" i="16" s="1"/>
  <c r="H45" i="16"/>
  <c r="J45" i="16" s="1"/>
  <c r="K45" i="16" s="1"/>
  <c r="G45" i="16"/>
  <c r="L45" i="16" s="1"/>
  <c r="I44" i="16"/>
  <c r="M44" i="16" s="1"/>
  <c r="H44" i="16"/>
  <c r="J44" i="16" s="1"/>
  <c r="K44" i="16" s="1"/>
  <c r="G44" i="16"/>
  <c r="L44" i="16" s="1"/>
  <c r="I43" i="16"/>
  <c r="M43" i="16" s="1"/>
  <c r="H43" i="16"/>
  <c r="J43" i="16" s="1"/>
  <c r="K43" i="16" s="1"/>
  <c r="G43" i="16"/>
  <c r="L43" i="16" s="1"/>
  <c r="I42" i="16"/>
  <c r="M42" i="16" s="1"/>
  <c r="H42" i="16"/>
  <c r="J42" i="16" s="1"/>
  <c r="K42" i="16" s="1"/>
  <c r="G42" i="16"/>
  <c r="L42" i="16" s="1"/>
  <c r="I41" i="16"/>
  <c r="M41" i="16" s="1"/>
  <c r="H41" i="16"/>
  <c r="J41" i="16" s="1"/>
  <c r="K41" i="16" s="1"/>
  <c r="G41" i="16"/>
  <c r="L41" i="16" s="1"/>
  <c r="I40" i="16"/>
  <c r="M40" i="16" s="1"/>
  <c r="H40" i="16"/>
  <c r="J40" i="16" s="1"/>
  <c r="K40" i="16" s="1"/>
  <c r="G40" i="16"/>
  <c r="L40" i="16" s="1"/>
  <c r="I39" i="16"/>
  <c r="M39" i="16" s="1"/>
  <c r="H39" i="16"/>
  <c r="J39" i="16" s="1"/>
  <c r="K39" i="16" s="1"/>
  <c r="G39" i="16"/>
  <c r="L39" i="16" s="1"/>
  <c r="I38" i="16"/>
  <c r="M38" i="16" s="1"/>
  <c r="H38" i="16"/>
  <c r="J38" i="16" s="1"/>
  <c r="K38" i="16" s="1"/>
  <c r="G38" i="16"/>
  <c r="L38" i="16" s="1"/>
  <c r="I37" i="16"/>
  <c r="M37" i="16" s="1"/>
  <c r="H37" i="16"/>
  <c r="J37" i="16" s="1"/>
  <c r="K37" i="16" s="1"/>
  <c r="G37" i="16"/>
  <c r="L37" i="16" s="1"/>
  <c r="I36" i="16"/>
  <c r="M36" i="16" s="1"/>
  <c r="H36" i="16"/>
  <c r="J36" i="16" s="1"/>
  <c r="K36" i="16" s="1"/>
  <c r="G36" i="16"/>
  <c r="L36" i="16" s="1"/>
  <c r="I35" i="16"/>
  <c r="M35" i="16" s="1"/>
  <c r="H35" i="16"/>
  <c r="J35" i="16" s="1"/>
  <c r="K35" i="16" s="1"/>
  <c r="G35" i="16"/>
  <c r="L35" i="16" s="1"/>
  <c r="I34" i="16"/>
  <c r="M34" i="16" s="1"/>
  <c r="H34" i="16"/>
  <c r="J34" i="16" s="1"/>
  <c r="K34" i="16" s="1"/>
  <c r="G34" i="16"/>
  <c r="L34" i="16" s="1"/>
  <c r="I33" i="16"/>
  <c r="M33" i="16" s="1"/>
  <c r="H33" i="16"/>
  <c r="J33" i="16" s="1"/>
  <c r="K33" i="16" s="1"/>
  <c r="G33" i="16"/>
  <c r="L33" i="16" s="1"/>
  <c r="I32" i="16"/>
  <c r="M32" i="16" s="1"/>
  <c r="H32" i="16"/>
  <c r="J32" i="16" s="1"/>
  <c r="K32" i="16" s="1"/>
  <c r="G32" i="16"/>
  <c r="L32" i="16" s="1"/>
  <c r="I31" i="16"/>
  <c r="M31" i="16" s="1"/>
  <c r="H31" i="16"/>
  <c r="J31" i="16" s="1"/>
  <c r="K31" i="16" s="1"/>
  <c r="G31" i="16"/>
  <c r="L31" i="16" s="1"/>
  <c r="I30" i="16"/>
  <c r="M30" i="16" s="1"/>
  <c r="H30" i="16"/>
  <c r="J30" i="16" s="1"/>
  <c r="K30" i="16" s="1"/>
  <c r="G30" i="16"/>
  <c r="L30" i="16" s="1"/>
  <c r="I29" i="16"/>
  <c r="M29" i="16" s="1"/>
  <c r="H29" i="16"/>
  <c r="J29" i="16" s="1"/>
  <c r="K29" i="16" s="1"/>
  <c r="G29" i="16"/>
  <c r="L29" i="16" s="1"/>
  <c r="I28" i="16"/>
  <c r="M28" i="16" s="1"/>
  <c r="H28" i="16"/>
  <c r="J28" i="16" s="1"/>
  <c r="K28" i="16" s="1"/>
  <c r="G28" i="16"/>
  <c r="L28" i="16" s="1"/>
  <c r="I27" i="16"/>
  <c r="M27" i="16" s="1"/>
  <c r="H27" i="16"/>
  <c r="J27" i="16" s="1"/>
  <c r="K27" i="16" s="1"/>
  <c r="G27" i="16"/>
  <c r="L27" i="16" s="1"/>
  <c r="I26" i="16"/>
  <c r="M26" i="16" s="1"/>
  <c r="H26" i="16"/>
  <c r="J26" i="16" s="1"/>
  <c r="K26" i="16" s="1"/>
  <c r="G26" i="16"/>
  <c r="L26" i="16" s="1"/>
  <c r="I25" i="16"/>
  <c r="M25" i="16" s="1"/>
  <c r="H25" i="16"/>
  <c r="J25" i="16" s="1"/>
  <c r="K25" i="16" s="1"/>
  <c r="G25" i="16"/>
  <c r="L25" i="16" s="1"/>
  <c r="I24" i="16"/>
  <c r="M24" i="16" s="1"/>
  <c r="H24" i="16"/>
  <c r="J24" i="16" s="1"/>
  <c r="K24" i="16" s="1"/>
  <c r="G24" i="16"/>
  <c r="L24" i="16" s="1"/>
  <c r="I23" i="16"/>
  <c r="M23" i="16" s="1"/>
  <c r="H23" i="16"/>
  <c r="J23" i="16" s="1"/>
  <c r="K23" i="16" s="1"/>
  <c r="G23" i="16"/>
  <c r="L23" i="16" s="1"/>
  <c r="I22" i="16"/>
  <c r="M22" i="16" s="1"/>
  <c r="H22" i="16"/>
  <c r="J22" i="16" s="1"/>
  <c r="K22" i="16" s="1"/>
  <c r="G22" i="16"/>
  <c r="L22" i="16" s="1"/>
  <c r="I21" i="16"/>
  <c r="M21" i="16" s="1"/>
  <c r="H21" i="16"/>
  <c r="J21" i="16" s="1"/>
  <c r="K21" i="16" s="1"/>
  <c r="G21" i="16"/>
  <c r="L21" i="16" s="1"/>
  <c r="I20" i="16"/>
  <c r="M20" i="16" s="1"/>
  <c r="H20" i="16"/>
  <c r="J20" i="16" s="1"/>
  <c r="K20" i="16" s="1"/>
  <c r="G20" i="16"/>
  <c r="L20" i="16" s="1"/>
  <c r="I19" i="16"/>
  <c r="M19" i="16" s="1"/>
  <c r="H19" i="16"/>
  <c r="J19" i="16" s="1"/>
  <c r="K19" i="16" s="1"/>
  <c r="G19" i="16"/>
  <c r="L19" i="16" s="1"/>
  <c r="I18" i="16"/>
  <c r="M18" i="16" s="1"/>
  <c r="H18" i="16"/>
  <c r="J18" i="16" s="1"/>
  <c r="K18" i="16" s="1"/>
  <c r="G18" i="16"/>
  <c r="L18" i="16" s="1"/>
  <c r="I17" i="16"/>
  <c r="M17" i="16" s="1"/>
  <c r="H17" i="16"/>
  <c r="J17" i="16" s="1"/>
  <c r="K17" i="16" s="1"/>
  <c r="G17" i="16"/>
  <c r="L17" i="16" s="1"/>
  <c r="I16" i="16"/>
  <c r="M16" i="16" s="1"/>
  <c r="H16" i="16"/>
  <c r="J16" i="16" s="1"/>
  <c r="K16" i="16" s="1"/>
  <c r="G16" i="16"/>
  <c r="L16" i="16" s="1"/>
  <c r="I15" i="16"/>
  <c r="M15" i="16" s="1"/>
  <c r="H15" i="16"/>
  <c r="J15" i="16" s="1"/>
  <c r="K15" i="16" s="1"/>
  <c r="G15" i="16"/>
  <c r="L15" i="16" s="1"/>
  <c r="I14" i="16"/>
  <c r="M14" i="16" s="1"/>
  <c r="H14" i="16"/>
  <c r="J14" i="16" s="1"/>
  <c r="K14" i="16" s="1"/>
  <c r="G14" i="16"/>
  <c r="L14" i="16" s="1"/>
  <c r="I13" i="16"/>
  <c r="M13" i="16" s="1"/>
  <c r="H13" i="16"/>
  <c r="J13" i="16" s="1"/>
  <c r="K13" i="16" s="1"/>
  <c r="G13" i="16"/>
  <c r="L13" i="16" s="1"/>
  <c r="I12" i="16"/>
  <c r="M12" i="16" s="1"/>
  <c r="H12" i="16"/>
  <c r="J12" i="16" s="1"/>
  <c r="K12" i="16" s="1"/>
  <c r="G12" i="16"/>
  <c r="L12" i="16" s="1"/>
  <c r="I11" i="16"/>
  <c r="M11" i="16" s="1"/>
  <c r="H11" i="16"/>
  <c r="J11" i="16" s="1"/>
  <c r="K11" i="16" s="1"/>
  <c r="G11" i="16"/>
  <c r="L11" i="16" s="1"/>
  <c r="I10" i="16"/>
  <c r="M10" i="16" s="1"/>
  <c r="H10" i="16"/>
  <c r="J10" i="16" s="1"/>
  <c r="K10" i="16" s="1"/>
  <c r="G10" i="16"/>
  <c r="L10" i="16" s="1"/>
  <c r="I9" i="16"/>
  <c r="M9" i="16" s="1"/>
  <c r="H9" i="16"/>
  <c r="J9" i="16" s="1"/>
  <c r="K9" i="16" s="1"/>
  <c r="G9" i="16"/>
  <c r="L9" i="16" s="1"/>
  <c r="I8" i="16"/>
  <c r="M8" i="16" s="1"/>
  <c r="H8" i="16"/>
  <c r="J8" i="16" s="1"/>
  <c r="K8" i="16" s="1"/>
  <c r="G8" i="16"/>
  <c r="L8" i="16" s="1"/>
  <c r="I7" i="16"/>
  <c r="M7" i="16" s="1"/>
  <c r="H7" i="16"/>
  <c r="J7" i="16" s="1"/>
  <c r="K7" i="16" s="1"/>
  <c r="G7" i="16"/>
  <c r="L7" i="16" s="1"/>
  <c r="L33" i="28" l="1"/>
  <c r="L30" i="28"/>
  <c r="L28" i="28"/>
  <c r="L26" i="28"/>
  <c r="L24" i="28"/>
  <c r="L23" i="28"/>
  <c r="L21" i="28"/>
  <c r="L20" i="28"/>
  <c r="L18" i="28"/>
  <c r="L15" i="28"/>
  <c r="L13" i="28"/>
  <c r="L11" i="28"/>
  <c r="L9" i="28"/>
  <c r="L7" i="28"/>
  <c r="L102" i="27"/>
  <c r="L100" i="27"/>
  <c r="L98" i="27"/>
  <c r="L96" i="27"/>
  <c r="L95" i="27"/>
  <c r="L87" i="27"/>
  <c r="L51" i="27"/>
  <c r="L48" i="27"/>
  <c r="L41" i="27"/>
  <c r="L39" i="27"/>
  <c r="L38" i="27"/>
  <c r="L72" i="26"/>
  <c r="L69" i="26"/>
  <c r="L67" i="26"/>
  <c r="L63" i="26"/>
  <c r="L59" i="26"/>
  <c r="L49" i="26"/>
  <c r="L48" i="26"/>
  <c r="L42" i="26"/>
  <c r="L36" i="26"/>
  <c r="L34" i="26"/>
  <c r="L32" i="26"/>
  <c r="L29" i="26"/>
  <c r="L28" i="26"/>
  <c r="L11" i="17"/>
  <c r="L106" i="15"/>
  <c r="L103" i="15"/>
  <c r="L102" i="15"/>
  <c r="L95" i="15"/>
  <c r="L70" i="15"/>
  <c r="L32" i="15"/>
  <c r="L36" i="28"/>
  <c r="L32" i="28"/>
  <c r="L29" i="28"/>
  <c r="L25" i="28"/>
  <c r="L22" i="28"/>
  <c r="L94" i="27"/>
  <c r="L90" i="27"/>
  <c r="L89" i="27"/>
  <c r="L88" i="27"/>
  <c r="L86" i="27"/>
  <c r="L85" i="27"/>
  <c r="L83" i="27"/>
  <c r="L82" i="27"/>
  <c r="L81" i="27"/>
  <c r="L78" i="27"/>
  <c r="L77" i="27"/>
  <c r="L76" i="27"/>
  <c r="L75" i="27"/>
  <c r="L74" i="27"/>
  <c r="L73" i="27"/>
  <c r="L72" i="27"/>
  <c r="L70" i="27"/>
  <c r="L69" i="27"/>
  <c r="L68" i="27"/>
  <c r="L67" i="27"/>
  <c r="L66" i="27"/>
  <c r="L65" i="27"/>
  <c r="L64" i="27"/>
  <c r="L61" i="27"/>
  <c r="L60" i="27"/>
  <c r="L59" i="27"/>
  <c r="L57" i="27"/>
  <c r="L53" i="27"/>
  <c r="L52" i="27"/>
  <c r="L50" i="27"/>
  <c r="L49" i="27"/>
  <c r="L47" i="27"/>
  <c r="L46" i="27"/>
  <c r="L45" i="27"/>
  <c r="L44" i="27"/>
  <c r="L43" i="27"/>
  <c r="L42" i="27"/>
  <c r="L37" i="27"/>
  <c r="L35" i="27"/>
  <c r="L34" i="27"/>
  <c r="L33" i="27"/>
  <c r="L32" i="27"/>
  <c r="L31" i="27"/>
  <c r="L29" i="27"/>
  <c r="L28" i="27"/>
  <c r="L27" i="27"/>
  <c r="L24" i="27"/>
  <c r="L23" i="27"/>
  <c r="L22" i="27"/>
  <c r="L21" i="27"/>
  <c r="L20" i="27"/>
  <c r="L19" i="27"/>
  <c r="L18" i="27"/>
  <c r="L17" i="27"/>
  <c r="L16" i="27"/>
  <c r="L14" i="27"/>
  <c r="L13" i="27"/>
  <c r="L12" i="27"/>
  <c r="L11" i="27"/>
  <c r="L10" i="27"/>
  <c r="L9" i="27"/>
  <c r="L7" i="27"/>
  <c r="L71" i="26"/>
  <c r="L70" i="26"/>
  <c r="L68" i="26"/>
  <c r="L66" i="26"/>
  <c r="L65" i="26"/>
  <c r="L64" i="26"/>
  <c r="L62" i="26"/>
  <c r="L61" i="26"/>
  <c r="L60" i="26"/>
  <c r="L58" i="26"/>
  <c r="L57" i="26"/>
  <c r="L56" i="26"/>
  <c r="L55" i="26"/>
  <c r="L54" i="26"/>
  <c r="L53" i="26"/>
  <c r="L52" i="26"/>
  <c r="L51" i="26"/>
  <c r="L50" i="26"/>
  <c r="L47" i="26"/>
  <c r="L46" i="26"/>
  <c r="L45" i="26"/>
  <c r="L44" i="26"/>
  <c r="L43" i="26"/>
  <c r="L40" i="26"/>
  <c r="L39" i="26"/>
  <c r="L37" i="26"/>
  <c r="L35" i="26"/>
  <c r="L33" i="26"/>
  <c r="L31" i="26"/>
  <c r="L30" i="26"/>
  <c r="L27" i="26"/>
  <c r="L26" i="26"/>
  <c r="L25" i="26"/>
  <c r="L105" i="15"/>
  <c r="L100" i="15"/>
  <c r="L88" i="15"/>
  <c r="L86" i="15"/>
  <c r="L85" i="15"/>
  <c r="L78" i="15"/>
  <c r="L67" i="15"/>
  <c r="L66" i="15"/>
  <c r="L63" i="15"/>
  <c r="L60" i="15"/>
  <c r="L49" i="15"/>
  <c r="L43" i="15"/>
  <c r="L74" i="14"/>
  <c r="L57" i="14"/>
  <c r="L54" i="14"/>
  <c r="L36" i="23"/>
  <c r="L34" i="23"/>
  <c r="L33" i="23"/>
  <c r="L29" i="23"/>
  <c r="L56" i="22"/>
  <c r="L55" i="22"/>
  <c r="L73" i="20"/>
  <c r="L71" i="20"/>
  <c r="L69" i="20"/>
  <c r="L68" i="20"/>
  <c r="L65" i="20"/>
  <c r="L64" i="20"/>
  <c r="L61" i="20"/>
  <c r="L60" i="20"/>
  <c r="L58" i="20"/>
  <c r="L56" i="20"/>
  <c r="L55" i="20"/>
  <c r="L54" i="20"/>
  <c r="L53" i="20"/>
  <c r="L52" i="20"/>
  <c r="L51" i="20"/>
  <c r="L50" i="20"/>
  <c r="L49" i="20"/>
  <c r="L47" i="20"/>
  <c r="L46" i="20"/>
  <c r="L45" i="20"/>
  <c r="L44" i="20"/>
  <c r="L43" i="20"/>
  <c r="L42" i="20"/>
  <c r="L41" i="20"/>
  <c r="L37" i="20"/>
  <c r="L35" i="20"/>
  <c r="L33" i="20"/>
  <c r="L31" i="20"/>
  <c r="L29" i="20"/>
  <c r="L28" i="20"/>
  <c r="L26" i="20"/>
  <c r="L24" i="20"/>
  <c r="L23" i="20"/>
  <c r="L22" i="20"/>
  <c r="L20" i="20"/>
  <c r="L19" i="20"/>
  <c r="L18" i="20"/>
  <c r="L16" i="20"/>
  <c r="L14" i="20"/>
  <c r="L13" i="20"/>
  <c r="L12" i="20"/>
  <c r="L11" i="20"/>
  <c r="L10" i="20"/>
  <c r="L9" i="20"/>
  <c r="L8" i="20"/>
  <c r="L7" i="20"/>
  <c r="L69" i="19"/>
  <c r="L67" i="19"/>
  <c r="L66" i="19"/>
  <c r="L65" i="19"/>
  <c r="L64" i="19"/>
  <c r="L63" i="19"/>
  <c r="L62" i="19"/>
  <c r="L59" i="19"/>
  <c r="L58" i="19"/>
  <c r="L55" i="19"/>
  <c r="L54" i="19"/>
  <c r="L53" i="19"/>
  <c r="L52" i="19"/>
  <c r="L51" i="19"/>
  <c r="L50" i="19"/>
  <c r="L49" i="19"/>
  <c r="L48" i="19"/>
  <c r="L47" i="19"/>
  <c r="L44" i="19"/>
  <c r="L43" i="19"/>
  <c r="L42" i="19"/>
  <c r="L41" i="19"/>
  <c r="L40" i="19"/>
  <c r="L39" i="19"/>
  <c r="L38" i="19"/>
  <c r="L37" i="19"/>
  <c r="L36" i="19"/>
  <c r="L33" i="19"/>
  <c r="L32" i="19"/>
  <c r="L31" i="19"/>
  <c r="L30" i="19"/>
  <c r="L29" i="19"/>
  <c r="L27" i="19"/>
  <c r="L26" i="19"/>
  <c r="L23" i="19"/>
  <c r="L22" i="19"/>
  <c r="L21" i="19"/>
  <c r="L20" i="19"/>
  <c r="L19" i="19"/>
  <c r="L18" i="19"/>
  <c r="L15" i="19"/>
  <c r="L14" i="19"/>
  <c r="L13" i="19"/>
  <c r="L12" i="19"/>
  <c r="L10" i="19"/>
  <c r="L9" i="19"/>
  <c r="L93" i="18"/>
  <c r="L89" i="18"/>
  <c r="L87" i="18"/>
  <c r="L86" i="18"/>
  <c r="L84" i="18"/>
  <c r="L83" i="18"/>
  <c r="L82" i="18"/>
  <c r="L81" i="18"/>
  <c r="L79" i="18"/>
  <c r="L78" i="18"/>
  <c r="L77" i="18"/>
  <c r="L76" i="18"/>
  <c r="L73" i="18"/>
  <c r="L72" i="18"/>
  <c r="L70" i="18"/>
  <c r="L69" i="18"/>
  <c r="L68" i="18"/>
  <c r="L67" i="18"/>
  <c r="L66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49" i="18"/>
  <c r="L48" i="18"/>
  <c r="L47" i="18"/>
  <c r="L46" i="18"/>
  <c r="L45" i="18"/>
  <c r="L44" i="18"/>
  <c r="L43" i="18"/>
  <c r="L41" i="18"/>
  <c r="L38" i="18"/>
  <c r="L37" i="18"/>
  <c r="L35" i="18"/>
  <c r="L34" i="18"/>
  <c r="L33" i="18"/>
  <c r="L32" i="18"/>
  <c r="L31" i="18"/>
  <c r="L30" i="18"/>
  <c r="L29" i="18"/>
  <c r="L28" i="18"/>
  <c r="L26" i="18"/>
  <c r="L25" i="18"/>
  <c r="L24" i="18"/>
  <c r="L22" i="18"/>
  <c r="L21" i="18"/>
  <c r="L20" i="18"/>
  <c r="L19" i="18"/>
  <c r="L18" i="18"/>
  <c r="L17" i="18"/>
  <c r="L15" i="18"/>
  <c r="L14" i="18"/>
  <c r="L13" i="18"/>
  <c r="L12" i="18"/>
  <c r="L11" i="18"/>
  <c r="L8" i="18"/>
  <c r="L7" i="18"/>
  <c r="L87" i="17"/>
  <c r="L85" i="17"/>
  <c r="L84" i="17"/>
  <c r="L83" i="17"/>
  <c r="L81" i="17"/>
  <c r="L80" i="17"/>
  <c r="L79" i="17"/>
  <c r="L78" i="17"/>
  <c r="L77" i="17"/>
  <c r="L76" i="17"/>
  <c r="L75" i="17"/>
  <c r="L72" i="17"/>
  <c r="L71" i="17"/>
  <c r="L70" i="17"/>
  <c r="L69" i="17"/>
  <c r="L66" i="17"/>
  <c r="L65" i="17"/>
  <c r="L64" i="17"/>
  <c r="L62" i="17"/>
  <c r="L61" i="17"/>
  <c r="L60" i="17"/>
  <c r="L59" i="17"/>
  <c r="L58" i="17"/>
  <c r="L57" i="17"/>
  <c r="L52" i="17"/>
  <c r="L51" i="17"/>
  <c r="L50" i="17"/>
  <c r="L49" i="17"/>
  <c r="L47" i="17"/>
  <c r="L45" i="17"/>
  <c r="L44" i="17"/>
  <c r="L43" i="17"/>
  <c r="L42" i="17"/>
  <c r="L41" i="17"/>
  <c r="L37" i="17"/>
  <c r="L35" i="17"/>
  <c r="L34" i="17"/>
  <c r="L33" i="17"/>
  <c r="L31" i="17"/>
  <c r="L30" i="17"/>
  <c r="L29" i="17"/>
  <c r="L28" i="17"/>
  <c r="L27" i="17"/>
  <c r="L26" i="17"/>
  <c r="L25" i="17"/>
  <c r="L24" i="17"/>
  <c r="L22" i="17"/>
  <c r="L21" i="17"/>
  <c r="L20" i="17"/>
  <c r="L19" i="17"/>
  <c r="L16" i="17"/>
  <c r="L15" i="17"/>
  <c r="L14" i="17"/>
  <c r="L13" i="17"/>
  <c r="L12" i="17"/>
  <c r="L104" i="15"/>
  <c r="L93" i="15"/>
  <c r="L87" i="15"/>
  <c r="L77" i="15"/>
  <c r="L57" i="15"/>
  <c r="L24" i="15"/>
  <c r="L23" i="15"/>
  <c r="L18" i="15"/>
  <c r="L17" i="15"/>
  <c r="L11" i="15"/>
  <c r="L70" i="14"/>
  <c r="L69" i="14"/>
  <c r="L63" i="14"/>
  <c r="L53" i="14"/>
  <c r="L52" i="14"/>
  <c r="L51" i="14"/>
  <c r="L31" i="23"/>
  <c r="L30" i="23"/>
  <c r="L28" i="23"/>
  <c r="L27" i="23"/>
  <c r="L25" i="23"/>
  <c r="L24" i="23"/>
  <c r="L22" i="23"/>
  <c r="L20" i="23"/>
  <c r="L19" i="23"/>
  <c r="L17" i="23"/>
  <c r="L16" i="23"/>
  <c r="L15" i="23"/>
  <c r="L14" i="23"/>
  <c r="L11" i="23"/>
  <c r="L9" i="23"/>
  <c r="L7" i="23"/>
  <c r="L68" i="22"/>
  <c r="L66" i="22"/>
  <c r="L65" i="22"/>
  <c r="L63" i="22"/>
  <c r="L61" i="22"/>
  <c r="L60" i="22"/>
  <c r="L58" i="22"/>
  <c r="L57" i="22"/>
  <c r="L53" i="22"/>
  <c r="L51" i="22"/>
  <c r="L50" i="22"/>
  <c r="L48" i="22"/>
  <c r="L45" i="22"/>
  <c r="L7" i="21"/>
  <c r="L70" i="20"/>
  <c r="L67" i="20"/>
  <c r="L48" i="20"/>
  <c r="L39" i="20"/>
  <c r="L21" i="20"/>
  <c r="L17" i="20"/>
  <c r="L15" i="20"/>
  <c r="L68" i="19"/>
  <c r="L61" i="19"/>
  <c r="L11" i="19"/>
  <c r="L7" i="19"/>
  <c r="L91" i="18"/>
  <c r="L90" i="18"/>
  <c r="L65" i="18"/>
  <c r="L36" i="18"/>
  <c r="L27" i="18"/>
  <c r="L23" i="18"/>
  <c r="L56" i="17"/>
  <c r="L48" i="17"/>
  <c r="L23" i="17"/>
  <c r="L9" i="17"/>
  <c r="L61" i="15"/>
  <c r="L59" i="15"/>
  <c r="L41" i="15"/>
  <c r="L39" i="15"/>
  <c r="L31" i="15"/>
  <c r="L25" i="15"/>
  <c r="L68" i="14"/>
  <c r="L66" i="14"/>
  <c r="L55" i="14"/>
  <c r="L50" i="14"/>
  <c r="L72" i="20"/>
  <c r="L66" i="20"/>
  <c r="L38" i="20"/>
  <c r="L36" i="20"/>
  <c r="L34" i="20"/>
  <c r="L30" i="20"/>
  <c r="L27" i="20"/>
  <c r="L25" i="20"/>
  <c r="L60" i="19"/>
  <c r="L56" i="19"/>
  <c r="L25" i="19"/>
  <c r="L24" i="19"/>
  <c r="L92" i="18"/>
  <c r="L42" i="18"/>
  <c r="L10" i="18"/>
  <c r="L9" i="18"/>
  <c r="L82" i="17"/>
  <c r="L55" i="17"/>
  <c r="L46" i="17"/>
  <c r="L36" i="17"/>
  <c r="L32" i="17"/>
  <c r="L101" i="15"/>
  <c r="L96" i="15"/>
  <c r="L83" i="15"/>
  <c r="L81" i="15"/>
  <c r="L80" i="15"/>
  <c r="L79" i="15"/>
  <c r="L75" i="15"/>
  <c r="L53" i="15"/>
  <c r="L52" i="15"/>
  <c r="L51" i="15"/>
  <c r="L38" i="15"/>
  <c r="L37" i="15"/>
  <c r="L30" i="15"/>
  <c r="L29" i="15"/>
  <c r="L28" i="15"/>
  <c r="L27" i="15"/>
  <c r="L15" i="15"/>
  <c r="L14" i="15"/>
  <c r="L8" i="15"/>
  <c r="L67" i="14"/>
  <c r="L64" i="14"/>
  <c r="L44" i="14"/>
  <c r="L48" i="10"/>
  <c r="L47" i="10"/>
  <c r="L45" i="10"/>
  <c r="L37" i="8"/>
  <c r="L34" i="8"/>
  <c r="L32" i="8"/>
  <c r="L30" i="8"/>
  <c r="L28" i="8"/>
  <c r="L26" i="8"/>
  <c r="L21" i="8"/>
  <c r="L16" i="8"/>
  <c r="L14" i="8"/>
  <c r="L12" i="8"/>
  <c r="L10" i="8"/>
  <c r="L71" i="7"/>
  <c r="L69" i="7"/>
  <c r="L67" i="7"/>
  <c r="L65" i="7"/>
  <c r="L63" i="7"/>
  <c r="L55" i="7"/>
  <c r="L53" i="7"/>
  <c r="L51" i="7"/>
  <c r="L49" i="7"/>
  <c r="L46" i="7"/>
  <c r="L44" i="7"/>
  <c r="L42" i="7"/>
  <c r="L40" i="7"/>
  <c r="L35" i="7"/>
  <c r="L29" i="7"/>
  <c r="L23" i="7"/>
  <c r="L21" i="7"/>
  <c r="L19" i="7"/>
  <c r="L17" i="7"/>
  <c r="L13" i="7"/>
  <c r="L7" i="7"/>
  <c r="L72" i="6"/>
  <c r="L70" i="6"/>
  <c r="L68" i="6"/>
  <c r="L66" i="6"/>
  <c r="L64" i="6"/>
  <c r="L62" i="6"/>
  <c r="L60" i="6"/>
  <c r="L58" i="6"/>
  <c r="L52" i="6"/>
  <c r="L50" i="6"/>
  <c r="L48" i="6"/>
  <c r="L46" i="6"/>
  <c r="L44" i="6"/>
  <c r="L42" i="6"/>
  <c r="L40" i="6"/>
  <c r="L94" i="15"/>
  <c r="L92" i="15"/>
  <c r="L91" i="15"/>
  <c r="L84" i="15"/>
  <c r="L72" i="15"/>
  <c r="L65" i="15"/>
  <c r="L64" i="15"/>
  <c r="L62" i="15"/>
  <c r="L55" i="15"/>
  <c r="L48" i="15"/>
  <c r="L47" i="15"/>
  <c r="L46" i="15"/>
  <c r="L33" i="15"/>
  <c r="L22" i="15"/>
  <c r="L13" i="15"/>
  <c r="L12" i="15"/>
  <c r="L10" i="15"/>
  <c r="L73" i="14"/>
  <c r="L72" i="14"/>
  <c r="L62" i="14"/>
  <c r="L61" i="14"/>
  <c r="L46" i="10"/>
  <c r="L44" i="10"/>
  <c r="L33" i="8"/>
  <c r="L31" i="8"/>
  <c r="L29" i="8"/>
  <c r="L27" i="8"/>
  <c r="L25" i="8"/>
  <c r="L24" i="8"/>
  <c r="L22" i="8"/>
  <c r="L20" i="8"/>
  <c r="L18" i="8"/>
  <c r="L13" i="8"/>
  <c r="L11" i="8"/>
  <c r="L9" i="8"/>
  <c r="L7" i="8"/>
  <c r="L70" i="7"/>
  <c r="L68" i="7"/>
  <c r="L66" i="7"/>
  <c r="L64" i="7"/>
  <c r="L61" i="7"/>
  <c r="L60" i="7"/>
  <c r="L59" i="7"/>
  <c r="L58" i="7"/>
  <c r="L56" i="7"/>
  <c r="L54" i="7"/>
  <c r="L47" i="7"/>
  <c r="L45" i="7"/>
  <c r="L41" i="7"/>
  <c r="L39" i="7"/>
  <c r="L37" i="7"/>
  <c r="L34" i="7"/>
  <c r="L32" i="7"/>
  <c r="L30" i="7"/>
  <c r="L27" i="7"/>
  <c r="L25" i="7"/>
  <c r="L15" i="7"/>
  <c r="L10" i="7"/>
  <c r="L8" i="7"/>
  <c r="L73" i="6"/>
  <c r="L65" i="6"/>
  <c r="L63" i="6"/>
  <c r="L61" i="6"/>
  <c r="L59" i="6"/>
  <c r="L57" i="6"/>
  <c r="L55" i="6"/>
  <c r="L53" i="6"/>
  <c r="L51" i="6"/>
  <c r="L43" i="6"/>
  <c r="L38" i="6"/>
  <c r="L97" i="15"/>
  <c r="L90" i="15"/>
  <c r="L69" i="15"/>
  <c r="L68" i="15"/>
  <c r="L45" i="15"/>
  <c r="L40" i="15"/>
  <c r="L34" i="15"/>
  <c r="L20" i="15"/>
  <c r="L16" i="15"/>
  <c r="L7" i="15"/>
  <c r="L49" i="14"/>
  <c r="L48" i="14"/>
  <c r="L35" i="8"/>
  <c r="L23" i="8"/>
  <c r="L19" i="8"/>
  <c r="L17" i="8"/>
  <c r="L15" i="8"/>
  <c r="L8" i="8"/>
  <c r="L72" i="7"/>
  <c r="L62" i="7"/>
  <c r="L57" i="7"/>
  <c r="L52" i="7"/>
  <c r="L50" i="7"/>
  <c r="L48" i="7"/>
  <c r="L43" i="7"/>
  <c r="L38" i="7"/>
  <c r="L36" i="7"/>
  <c r="L33" i="7"/>
  <c r="L31" i="7"/>
  <c r="L28" i="7"/>
  <c r="L26" i="7"/>
  <c r="L24" i="7"/>
  <c r="L22" i="7"/>
  <c r="L20" i="7"/>
  <c r="L18" i="7"/>
  <c r="L16" i="7"/>
  <c r="L14" i="7"/>
  <c r="L12" i="7"/>
  <c r="L11" i="7"/>
  <c r="L9" i="7"/>
  <c r="L71" i="6"/>
  <c r="L69" i="6"/>
  <c r="L67" i="6"/>
  <c r="L56" i="6"/>
  <c r="L54" i="6"/>
  <c r="L49" i="6"/>
  <c r="L47" i="6"/>
  <c r="L45" i="6"/>
  <c r="L41" i="6"/>
  <c r="L39" i="6"/>
  <c r="L37" i="6"/>
  <c r="L89" i="15"/>
  <c r="L82" i="15"/>
  <c r="L76" i="15"/>
  <c r="L73" i="15"/>
  <c r="L54" i="15"/>
  <c r="L50" i="15"/>
  <c r="L44" i="15"/>
  <c r="L42" i="15"/>
  <c r="L21" i="15"/>
  <c r="L19" i="15"/>
  <c r="L9" i="15"/>
  <c r="L71" i="14"/>
  <c r="L65" i="14"/>
  <c r="L59" i="14"/>
  <c r="L58" i="14"/>
  <c r="L56" i="14"/>
  <c r="L47" i="14"/>
  <c r="L46" i="14"/>
  <c r="L45" i="14"/>
  <c r="L92" i="27"/>
  <c r="L84" i="27"/>
  <c r="L80" i="27"/>
  <c r="L79" i="27"/>
  <c r="L71" i="27"/>
  <c r="L58" i="27"/>
  <c r="L40" i="27"/>
  <c r="L30" i="27"/>
  <c r="L41" i="26"/>
  <c r="L10" i="17"/>
  <c r="L8" i="17"/>
  <c r="L99" i="15"/>
  <c r="L98" i="15"/>
  <c r="L74" i="15"/>
  <c r="L58" i="15"/>
  <c r="L56" i="15"/>
  <c r="L36" i="15"/>
  <c r="L35" i="15"/>
  <c r="L26" i="15"/>
  <c r="L6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300-000001000000}">
      <text>
        <r>
          <rPr>
            <sz val="10"/>
            <rFont val="Arial"/>
            <family val="2"/>
          </rPr>
  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9" authorId="0" shapeId="0" xr:uid="{00000000-0006-0000-0300-000002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52" authorId="0" shapeId="0" xr:uid="{00000000-0006-0000-0300-000003000000}">
      <text>
        <r>
          <rPr>
            <sz val="10"/>
            <rFont val="Arial"/>
            <family val="2"/>
          </rPr>
          <t>[OFFICIAL] Same as Avocado — see note there.</t>
        </r>
      </text>
    </comment>
    <comment ref="F63" authorId="0" shapeId="0" xr:uid="{00000000-0006-0000-0300-000004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70" authorId="0" shapeId="0" xr:uid="{00000000-0006-0000-0300-000005000000}">
      <text>
        <r>
          <rPr>
            <sz val="10"/>
            <rFont val="Arial"/>
            <family val="2"/>
          </rPr>
          <t>[APPROX] See Drumstick note.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4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0" authorId="0" shapeId="0" xr:uid="{00000000-0006-0000-0400-000002000000}">
      <text>
        <r>
          <rPr>
            <sz val="10"/>
            <rFont val="Arial"/>
            <family val="2"/>
          </rPr>
          <t>[APPROX] No single official ICAR blanket located; estimated from general hill/minor-cereal RDF pattern — low-confidence placeholder.</t>
        </r>
      </text>
    </comment>
    <comment ref="F39" authorId="0" shapeId="0" xr:uid="{00000000-0006-0000-0400-000003000000}">
      <text>
        <r>
          <rPr>
            <sz val="10"/>
            <rFont val="Arial"/>
            <family val="2"/>
          </rPr>
          <t>[OFFICIAL] Mature-tree N:P2O5:K2O proportion (young trees 1:1:1). Source: "Avocado Cultivation in India" Bulletin, ICAR/state horticulture dept, ResearchGate 303797732.</t>
        </r>
      </text>
    </comment>
    <comment ref="F41" authorId="0" shapeId="0" xr:uid="{00000000-0006-0000-0400-000004000000}">
      <text>
        <r>
          <rPr>
            <sz val="10"/>
            <rFont val="Arial"/>
            <family val="2"/>
          </rPr>
  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  </r>
      </text>
    </comment>
    <comment ref="F42" authorId="0" shapeId="0" xr:uid="{00000000-0006-0000-0400-000005000000}">
      <text>
        <r>
          <rPr>
            <sz val="10"/>
            <rFont val="Arial"/>
            <family val="2"/>
          </rPr>
  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  </r>
      </text>
    </comment>
    <comment ref="F68" authorId="0" shapeId="0" xr:uid="{00000000-0006-0000-0400-000006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69" authorId="0" shapeId="0" xr:uid="{00000000-0006-0000-0400-000007000000}">
      <text>
        <r>
          <rPr>
            <sz val="10"/>
            <rFont val="Arial"/>
            <family val="2"/>
          </rPr>
  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5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25" authorId="0" shapeId="0" xr:uid="{00000000-0006-0000-0500-000002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28" authorId="0" shapeId="0" xr:uid="{00000000-0006-0000-0500-000003000000}">
      <text>
        <r>
          <rPr>
            <sz val="10"/>
            <rFont val="Arial"/>
            <family val="2"/>
          </rPr>
          <t>[N/A] Silk is an animal (silkworm) product; the host plant (mulberry) is fertilized, but silk itself has no NPK ratio.</t>
        </r>
      </text>
    </comment>
    <comment ref="F66" authorId="0" shapeId="0" xr:uid="{00000000-0006-0000-0500-000004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600-000001000000}">
      <text>
        <r>
          <rPr>
            <sz val="10"/>
            <rFont val="Arial"/>
            <family val="2"/>
          </rPr>
          <t>Zone: Middle Gangetic Plains Region
Calcareous alluvium, Bihar; alkaline tendency, low-moderate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2" authorId="0" shapeId="0" xr:uid="{00000000-0006-0000-0600-000002000000}">
      <text>
        <r>
          <rPr>
            <sz val="10"/>
            <rFont val="Arial"/>
            <family val="2"/>
          </rPr>
          <t>[APPROX] No verified ICAR-RCER/Bihar schedule located this session; figure is an unverified approximation from general aquatic-crop fertilization pattern — low confidence, needs direct ICAR-RCER Patna lookup to confirm.</t>
        </r>
      </text>
    </comment>
    <comment ref="F40" authorId="0" shapeId="0" xr:uid="{00000000-0006-0000-0600-000003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55" authorId="0" shapeId="0" xr:uid="{00000000-0006-0000-0600-000004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60" authorId="0" shapeId="0" xr:uid="{00000000-0006-0000-0600-000005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700-000001000000}">
      <text>
        <r>
          <rPr>
            <sz val="10"/>
            <rFont val="Arial"/>
            <family val="2"/>
          </rPr>
  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2" authorId="0" shapeId="0" xr:uid="{00000000-0006-0000-0700-000002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44" authorId="0" shapeId="0" xr:uid="{00000000-0006-0000-0700-000003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61" authorId="0" shapeId="0" xr:uid="{00000000-0006-0000-0700-000004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800-000001000000}">
      <text>
        <r>
          <rPr>
            <sz val="10"/>
            <rFont val="Arial"/>
            <family val="2"/>
          </rPr>
  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1" authorId="0" shapeId="0" xr:uid="{00000000-0006-0000-0800-000002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39" authorId="0" shapeId="0" xr:uid="{00000000-0006-0000-0800-000003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  <comment ref="F43" authorId="0" shapeId="0" xr:uid="{00000000-0006-0000-0800-000004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900-000001000000}">
      <text>
        <r>
          <rPr>
            <sz val="10"/>
            <rFont val="Arial"/>
            <family val="2"/>
          </rPr>
          <t>Zone: Gujarat Plains &amp; Hills Region
Saline-alkaline coastal/arid tracts; high EC and pH,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3" authorId="0" shapeId="0" xr:uid="{00000000-0006-0000-0900-000002000000}">
      <text>
        <r>
          <rPr>
            <sz val="10"/>
            <rFont val="Arial"/>
            <family val="2"/>
          </rPr>
          <t>[APPROX] See Date Palm (limited) note.</t>
        </r>
      </text>
    </comment>
    <comment ref="F59" authorId="0" shapeId="0" xr:uid="{00000000-0006-0000-0900-000003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61" authorId="0" shapeId="0" xr:uid="{00000000-0006-0000-0900-000004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  <comment ref="F74" authorId="0" shapeId="0" xr:uid="{00000000-0006-0000-0900-000005000000}">
      <text>
        <r>
          <rPr>
            <sz val="10"/>
            <rFont val="Arial"/>
            <family val="2"/>
          </rPr>
          <t>[APPROX] Commonly cited mature date-palm figure from ICAR-CIAH Bikaner-derived extension material — not independently verified this session.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A00-000001000000}">
      <text>
        <r>
          <rPr>
            <sz val="10"/>
            <rFont val="Arial"/>
            <family val="2"/>
          </rPr>
  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5" authorId="0" shapeId="0" xr:uid="{00000000-0006-0000-0A00-000002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60" authorId="0" shapeId="0" xr:uid="{00000000-0006-0000-0A00-000003000000}">
      <text>
        <r>
          <rPr>
            <sz val="10"/>
            <rFont val="Arial"/>
            <family val="2"/>
          </rPr>
          <t>[N/A] See Eucalyptus note.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B00-000001000000}">
      <text>
        <r>
          <rPr>
            <sz val="10"/>
            <rFont val="Arial"/>
            <family val="2"/>
          </rPr>
  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2" authorId="0" shapeId="0" xr:uid="{00000000-0006-0000-0B00-000002000000}">
      <text>
        <r>
          <rPr>
            <sz val="10"/>
            <rFont val="Arial"/>
            <family val="2"/>
          </rPr>
          <t>[APPROX] No single official ICAR blanket located; estimated from general hill/minor-cereal RDF pattern — low-confidence placeholder.</t>
        </r>
      </text>
    </comment>
    <comment ref="F13" authorId="0" shapeId="0" xr:uid="{00000000-0006-0000-0B00-000003000000}">
      <text>
        <r>
          <rPr>
            <sz val="10"/>
            <rFont val="Arial"/>
            <family val="2"/>
          </rPr>
          <t>[APPROX] Midpoint of extension-cited range (N 80–90, P2O5 30–40 kg/ha; single-cut varieties); K2O of 40 taken from multi-cut guidance as no single-cut K figure was published. No single official ICAR blanket found — treat as indicative, not exact RDF.</t>
        </r>
      </text>
    </comment>
    <comment ref="F27" authorId="0" shapeId="0" xr:uid="{00000000-0006-0000-0B00-000004000000}">
      <text>
        <r>
          <rPr>
            <sz val="10"/>
            <rFont val="Arial"/>
            <family val="2"/>
          </rPr>
          <t>[APPROX] Grown experimentally in Himachal (ICAR-IHBT); no confirmed published RDF located — low-confidence placeholder pending direct IHBT lookup.</t>
        </r>
      </text>
    </comment>
    <comment ref="F28" authorId="0" shapeId="0" xr:uid="{00000000-0006-0000-0B00-000005000000}">
      <text>
        <r>
          <rPr>
            <sz val="10"/>
            <rFont val="Arial"/>
            <family val="2"/>
          </rPr>
          <t>[N/A] Mushrooms are grown on composted/pasteurized substrate, not fertilized with soil NPK. No ratio applies.</t>
        </r>
      </text>
    </comment>
    <comment ref="F29" authorId="0" shapeId="0" xr:uid="{00000000-0006-0000-0B00-000006000000}">
      <text>
        <r>
          <rPr>
            <sz val="10"/>
            <rFont val="Arial"/>
            <family val="2"/>
          </rPr>
          <t>[N/A] This row is a catch-all category rather than one crop, so no single ratio can apply. Needs to be broken into individual named herbs to be filled meaningfully.</t>
        </r>
      </text>
    </comment>
    <comment ref="F36" authorId="0" shapeId="0" xr:uid="{00000000-0006-0000-0B00-000007000000}">
      <text>
        <r>
          <rPr>
            <sz val="10"/>
            <rFont val="Arial"/>
            <family val="2"/>
          </rPr>
          <t>[APPROX] No dedicated Indian/Kashmir cherry RDF located; estimated from temperate stone-fruit (apple/almond-class) fertilization pattern common to SKUAST-K orchard crops — treat as low-confidence placeholder pending a real POP lookup.</t>
        </r>
      </text>
    </comment>
    <comment ref="F37" authorId="0" shapeId="0" xr:uid="{00000000-0006-0000-0B00-000008000000}">
      <text>
        <r>
          <rPr>
            <sz val="10"/>
            <rFont val="Arial"/>
            <family val="2"/>
          </rPr>
  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  </r>
      </text>
    </comment>
    <comment ref="F38" authorId="0" shapeId="0" xr:uid="{00000000-0006-0000-0B00-000009000000}">
      <text>
        <r>
          <rPr>
            <sz val="10"/>
            <rFont val="Arial"/>
            <family val="2"/>
          </rPr>
          <t>[OFFICIAL] RDF for mature (8th-yr) almond, Kashmir. Source: Kumar &amp; Ahmed, ICAR-Central Institute of Temperate Horticulture, Srinagar, "Response of N&amp;K Fertigation to Almond", J. Agriculture (2014), PMC3919101.</t>
        </r>
      </text>
    </comment>
    <comment ref="F39" authorId="0" shapeId="0" xr:uid="{00000000-0006-0000-0B00-00000A000000}">
      <text>
        <r>
          <rPr>
            <sz val="10"/>
            <rFont val="Arial"/>
            <family val="2"/>
          </rPr>
          <t>[APPROX] No dedicated Indian chestnut RDF located; estimated from walnut/almond temperate-nut-tree class — low-confidence placeholder.</t>
        </r>
      </text>
    </comment>
    <comment ref="F52" authorId="0" shapeId="0" xr:uid="{00000000-0006-0000-0B00-00000B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66" authorId="0" shapeId="0" xr:uid="{00000000-0006-0000-0B00-00000C000000}">
      <text>
        <r>
          <rPr>
            <sz val="10"/>
            <rFont val="Arial"/>
            <family val="2"/>
          </rPr>
          <t>[APPROX] See Tea note.</t>
        </r>
      </text>
    </comment>
    <comment ref="F68" authorId="0" shapeId="0" xr:uid="{00000000-0006-0000-0B00-00000D000000}">
      <text>
        <r>
          <rPr>
            <sz val="10"/>
            <rFont val="Arial"/>
            <family val="2"/>
          </rPr>
  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  </r>
      </text>
    </comment>
    <comment ref="F72" authorId="0" shapeId="0" xr:uid="{00000000-0006-0000-0B00-00000E000000}">
      <text>
        <r>
          <rPr>
            <sz val="10"/>
            <rFont val="Arial"/>
            <family val="2"/>
          </rPr>
          <t>[APPROX] No TNAU/ICAR schedule located for Lilium specifically; estimated from general bulbous-ornamental blanket (tuberose/gladiolus class) — low-confidence placeholder.</t>
        </r>
      </text>
    </comment>
    <comment ref="F73" authorId="0" shapeId="0" xr:uid="{00000000-0006-0000-0B00-00000F000000}">
      <text>
        <r>
          <rPr>
            <sz val="10"/>
            <rFont val="Arial"/>
            <family val="2"/>
          </rPr>
          <t>[APPROX] Same official TNAU basal+top-dress structure as Carnation — see note there.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C00-000001000000}">
      <text>
        <r>
          <rPr>
            <sz val="10"/>
            <rFont val="Arial"/>
            <family val="2"/>
          </rPr>
  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1" authorId="0" shapeId="0" xr:uid="{00000000-0006-0000-0C00-000002000000}">
      <text>
        <r>
          <rPr>
            <sz val="10"/>
            <rFont val="Arial"/>
            <family val="2"/>
          </rPr>
          <t>[APPROX] See Cherry note.</t>
        </r>
      </text>
    </comment>
    <comment ref="F32" authorId="0" shapeId="0" xr:uid="{00000000-0006-0000-0C00-000003000000}">
      <text>
        <r>
          <rPr>
            <sz val="10"/>
            <rFont val="Arial"/>
            <family val="2"/>
          </rPr>
          <t>[APPROX] See Walnut note.</t>
        </r>
      </text>
    </comment>
    <comment ref="F33" authorId="0" shapeId="0" xr:uid="{00000000-0006-0000-0C00-000004000000}">
      <text>
        <r>
          <rPr>
            <sz val="10"/>
            <rFont val="Arial"/>
            <family val="2"/>
          </rPr>
          <t>[OFFICIAL] RDF for mature (8th-yr) almond, Kashmir. Source: Kumar &amp; Ahmed, ICAR-Central Institute of Temperate Horticulture, Srinagar, "Response of N&amp;K Fertigation to Almond", J. Agriculture (2014), PMC3919101.</t>
        </r>
      </text>
    </comment>
    <comment ref="F34" authorId="0" shapeId="0" xr:uid="{00000000-0006-0000-0C00-000005000000}">
      <text>
        <r>
          <rPr>
            <sz val="10"/>
            <rFont val="Arial"/>
            <family val="2"/>
          </rPr>
          <t>[APPROX] No dedicated Indian quince RDF located; estimated from temperate pome-fruit (apple-class) pattern — low-confidence placeholder.</t>
        </r>
      </text>
    </comment>
    <comment ref="F35" authorId="0" shapeId="0" xr:uid="{00000000-0006-0000-0C00-000006000000}">
      <text>
        <r>
          <rPr>
            <sz val="10"/>
            <rFont val="Arial"/>
            <family val="2"/>
          </rPr>
          <t>[APPROX] No dedicated Indian hazelnut RDF located; estimated from walnut/almond temperate-nut-tree class — low-confidence placeholder.</t>
        </r>
      </text>
    </comment>
    <comment ref="F37" authorId="0" shapeId="0" xr:uid="{00000000-0006-0000-0C00-000007000000}">
      <text>
        <r>
          <rPr>
            <sz val="10"/>
            <rFont val="Arial"/>
            <family val="2"/>
          </rPr>
          <t>[APPROX] Commonly cited irrigated-mulberry (leaf crop for sericulture) figure from state Sericulture Dept. extension material — not independently verified this session, treat as indicative.</t>
        </r>
      </text>
    </comment>
    <comment ref="F63" authorId="0" shapeId="0" xr:uid="{00000000-0006-0000-0C00-000008000000}">
      <text>
        <r>
          <rPr>
            <sz val="10"/>
            <rFont val="Arial"/>
            <family val="2"/>
          </rPr>
  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  </r>
      </text>
    </comment>
    <comment ref="F64" authorId="0" shapeId="0" xr:uid="{00000000-0006-0000-0C00-000009000000}">
      <text>
        <r>
          <rPr>
            <sz val="10"/>
            <rFont val="Arial"/>
            <family val="2"/>
          </rPr>
          <t>[OFFICIAL] RDF for mature (8th-yr) almond, Kashmir. Source: Kumar &amp; Ahmed, ICAR-Central Institute of Temperate Horticulture, Srinagar, "Response of N&amp;K Fertigation to Almond", J. Agriculture (2014), PMC3919101.</t>
        </r>
      </text>
    </comment>
    <comment ref="F65" authorId="0" shapeId="0" xr:uid="{00000000-0006-0000-0C00-00000A000000}">
      <text>
        <r>
          <rPr>
            <sz val="10"/>
            <rFont val="Arial"/>
            <family val="2"/>
          </rPr>
          <t>[APPROX] No dedicated Indian chestnut RDF located; estimated from walnut/almond temperate-nut-tree class — low-confidence placeholder.</t>
        </r>
      </text>
    </comment>
    <comment ref="F68" authorId="0" shapeId="0" xr:uid="{00000000-0006-0000-0C00-00000B000000}">
      <text>
        <r>
          <rPr>
            <sz val="10"/>
            <rFont val="Arial"/>
            <family val="2"/>
          </rPr>
          <t>[APPROX] No dedicated Indian tulip RDF located (grown mainly in J&amp;K Srinagar as an ornamental display, not a commercial NPK-managed crop); bulbous-ornamental blanket analog used — low-confidence placeholder.</t>
        </r>
      </text>
    </comment>
    <comment ref="F69" authorId="0" shapeId="0" xr:uid="{00000000-0006-0000-0C00-00000C000000}">
      <text>
        <r>
          <rPr>
            <sz val="10"/>
            <rFont val="Arial"/>
            <family val="2"/>
          </rPr>
          <t>[APPROX] No dedicated schedule located; aquatic-ornamental estimate analogous to makhana/water crops — low-confidence placeholder.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D00-000001000000}">
      <text>
        <r>
          <rPr>
            <sz val="10"/>
            <rFont val="Arial"/>
            <family val="2"/>
          </rPr>
  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1" authorId="0" shapeId="0" xr:uid="{00000000-0006-0000-0D00-000002000000}">
      <text>
        <r>
          <rPr>
            <sz val="10"/>
            <rFont val="Arial"/>
            <family val="2"/>
          </rPr>
          <t>[N/A] Lac is a resin secreted by scale insects on host trees (e.g. palas, ber); it is not itself planted or fertilized. No ratio applies.</t>
        </r>
      </text>
    </comment>
    <comment ref="F32" authorId="0" shapeId="0" xr:uid="{00000000-0006-0000-0D00-000003000000}">
      <text>
        <r>
          <rPr>
            <sz val="10"/>
            <rFont val="Arial"/>
            <family val="2"/>
          </rPr>
          <t>[N/A] Tasar silk comes from non-mulberry host trees (e.g. Terminalia, Shorea) in forest ecosystems, not an NPK-managed crop.</t>
        </r>
      </text>
    </comment>
    <comment ref="F42" authorId="0" shapeId="0" xr:uid="{00000000-0006-0000-0D00-000004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45" authorId="0" shapeId="0" xr:uid="{00000000-0006-0000-0D00-000005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60" authorId="0" shapeId="0" xr:uid="{00000000-0006-0000-0D00-000006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E00-000001000000}">
      <text>
        <r>
          <rPr>
            <sz val="10"/>
            <rFont val="Arial"/>
            <family val="2"/>
          </rPr>
  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7" authorId="0" shapeId="0" xr:uid="{00000000-0006-0000-0E00-000002000000}">
      <text>
        <r>
          <rPr>
            <sz val="10"/>
            <rFont val="Arial"/>
            <family val="2"/>
          </rPr>
          <t>[N/A] See Silk note. (If this row is meant to represent the mulberry plant rather than the silk product, treat as Mulberry — 300:120:120 approx.)</t>
        </r>
      </text>
    </comment>
    <comment ref="F52" authorId="0" shapeId="0" xr:uid="{00000000-0006-0000-0E00-000003000000}">
      <text>
        <r>
          <rPr>
            <sz val="10"/>
            <rFont val="Arial"/>
            <family val="2"/>
          </rPr>
          <t>[OFFICIAL] Same as Avocado — see note there.</t>
        </r>
      </text>
    </comment>
    <comment ref="F53" authorId="0" shapeId="0" xr:uid="{00000000-0006-0000-0E00-000004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65" authorId="0" shapeId="0" xr:uid="{00000000-0006-0000-0E00-000005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70" authorId="0" shapeId="0" xr:uid="{00000000-0006-0000-0E00-000006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  <comment ref="F75" authorId="0" shapeId="0" xr:uid="{00000000-0006-0000-0E00-000007000000}">
      <text>
        <r>
          <rPr>
            <sz val="10"/>
            <rFont val="Arial"/>
            <family val="2"/>
          </rPr>
          <t>[APPROX] See Coffee note.</t>
        </r>
      </text>
    </comment>
    <comment ref="F85" authorId="0" shapeId="0" xr:uid="{00000000-0006-0000-0E00-000008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87" authorId="0" shapeId="0" xr:uid="{00000000-0006-0000-0E00-000009000000}">
      <text>
        <r>
          <rPr>
            <sz val="10"/>
            <rFont val="Arial"/>
            <family val="2"/>
          </rPr>
          <t>[APPROX] See Coffee note.</t>
        </r>
      </text>
    </comment>
    <comment ref="F93" authorId="0" shapeId="0" xr:uid="{00000000-0006-0000-0E00-00000A000000}">
      <text>
        <r>
          <rPr>
            <sz val="10"/>
            <rFont val="Arial"/>
            <family val="2"/>
          </rPr>
          <t>[APPROX] See Tea note — regional range midpoint, not region-specific RDF.</t>
        </r>
      </text>
    </comment>
    <comment ref="F98" authorId="0" shapeId="0" xr:uid="{00000000-0006-0000-0E00-00000B000000}">
      <text>
        <r>
          <rPr>
            <sz val="10"/>
            <rFont val="Arial"/>
            <family val="2"/>
          </rPr>
          <t>[APPROX] Same official TNAU basal+top-dress structure as Carnation — see note there.</t>
        </r>
      </text>
    </comment>
    <comment ref="F99" authorId="0" shapeId="0" xr:uid="{00000000-0006-0000-0E00-00000C000000}">
      <text>
        <r>
          <rPr>
            <sz val="10"/>
            <rFont val="Arial"/>
            <family val="2"/>
          </rPr>
  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  </r>
      </text>
    </comment>
    <comment ref="F102" authorId="0" shapeId="0" xr:uid="{00000000-0006-0000-0E00-00000D000000}">
      <text>
        <r>
          <rPr>
            <sz val="10"/>
            <rFont val="Arial"/>
            <family val="2"/>
          </rPr>
          <t>[APPROX] No TNAU/ICAR schedule located for Lilium specifically; estimated from general bulbous-ornamental blanket (tuberose/gladiolus class) — low-confidence placeholder.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F00-000001000000}">
      <text>
        <r>
          <rPr>
            <sz val="10"/>
            <rFont val="Arial"/>
            <family val="2"/>
          </rPr>
          <t>Zone: West Coast Plains &amp; Hills Region
Lateritic, high-rainfall Kerala-Goa coast; strongly acidic, high OC, B 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21" authorId="0" shapeId="0" xr:uid="{00000000-0006-0000-0F00-000002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22" authorId="0" shapeId="0" xr:uid="{00000000-0006-0000-0F00-000003000000}">
      <text>
        <r>
          <rPr>
            <sz val="10"/>
            <rFont val="Arial"/>
            <family val="2"/>
          </rPr>
  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  </r>
      </text>
    </comment>
    <comment ref="F35" authorId="0" shapeId="0" xr:uid="{00000000-0006-0000-0F00-000004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38" authorId="0" shapeId="0" xr:uid="{00000000-0006-0000-0F00-000005000000}">
      <text>
        <r>
          <rPr>
            <sz val="10"/>
            <rFont val="Arial"/>
            <family val="2"/>
          </rPr>
          <t>[OFFICIAL] Mature-tree N:P2O5:K2O proportion (young trees 1:1:1). Source: "Avocado Cultivation in India" Bulletin, ICAR/state horticulture dept, ResearchGate 303797732.</t>
        </r>
      </text>
    </comment>
    <comment ref="F40" authorId="0" shapeId="0" xr:uid="{00000000-0006-0000-0F00-000006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49" authorId="0" shapeId="0" xr:uid="{00000000-0006-0000-0F00-000007000000}">
      <text>
        <r>
          <rPr>
            <sz val="10"/>
            <rFont val="Arial"/>
            <family val="2"/>
          </rPr>
          <t>[APPROX] See Drumstick note.</t>
        </r>
      </text>
    </comment>
    <comment ref="F57" authorId="0" shapeId="0" xr:uid="{00000000-0006-0000-0F00-000008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69" authorId="0" shapeId="0" xr:uid="{00000000-0006-0000-0F00-000009000000}">
      <text>
        <r>
          <rPr>
            <sz val="10"/>
            <rFont val="Arial"/>
            <family val="2"/>
          </rPr>
          <t>[APPROX] No dedicated TNAU/ICAR schedule located; minor perennial spice-tree analog — low-confidence placeholder.</t>
        </r>
      </text>
    </comment>
    <comment ref="F71" authorId="0" shapeId="0" xr:uid="{00000000-0006-0000-0F00-00000A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76" authorId="0" shapeId="0" xr:uid="{00000000-0006-0000-0F00-00000B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77" authorId="0" shapeId="0" xr:uid="{00000000-0006-0000-0F00-00000C000000}">
      <text>
        <r>
          <rPr>
            <sz val="10"/>
            <rFont val="Arial"/>
            <family val="2"/>
          </rPr>
  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  </r>
      </text>
    </comment>
    <comment ref="F89" authorId="0" shapeId="0" xr:uid="{00000000-0006-0000-0F00-00000D000000}">
      <text>
        <r>
          <rPr>
            <sz val="10"/>
            <rFont val="Arial"/>
            <family val="2"/>
          </rPr>
          <t>[APPROX] No dedicated schedule located; general tropical-ornamental blanket analog — low-confidence placeholder.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000-000001000000}">
      <text>
        <r>
          <rPr>
            <sz val="10"/>
            <rFont val="Arial"/>
            <family val="2"/>
          </rPr>
          <t>Zone: Central Plateau &amp; Hills Region
Mixed red-black-alluvial, MP; alkaline, moderate fertility.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7" authorId="0" shapeId="0" xr:uid="{00000000-0006-0000-1000-000002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49" authorId="0" shapeId="0" xr:uid="{00000000-0006-0000-1000-000003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67" authorId="0" shapeId="0" xr:uid="{00000000-0006-0000-1000-000004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68" authorId="0" shapeId="0" xr:uid="{00000000-0006-0000-1000-000005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  <comment ref="F82" authorId="0" shapeId="0" xr:uid="{00000000-0006-0000-1000-000006000000}">
      <text>
        <r>
          <rPr>
            <sz val="10"/>
            <rFont val="Arial"/>
            <family val="2"/>
          </rPr>
          <t>[N/A] Commercial forestry species; not on a standard NPK fertilizer schedule in Indian practice.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100-000001000000}">
      <text>
        <r>
          <rPr>
            <sz val="10"/>
            <rFont val="Arial"/>
            <family val="2"/>
          </rPr>
          <t>Zone: Western Plateau &amp; Hills Region
Deccan black (regur) soils, Maharashtra; high native K, low Zn typical of black soils.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3" authorId="0" shapeId="0" xr:uid="{00000000-0006-0000-1100-000002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52" authorId="0" shapeId="0" xr:uid="{00000000-0006-0000-1100-000003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53" authorId="0" shapeId="0" xr:uid="{00000000-0006-0000-1100-000004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68" authorId="0" shapeId="0" xr:uid="{00000000-0006-0000-1100-000005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70" authorId="0" shapeId="0" xr:uid="{00000000-0006-0000-1100-000006000000}">
      <text>
        <r>
          <rPr>
            <sz val="10"/>
            <rFont val="Arial"/>
            <family val="2"/>
          </rPr>
          <t>[APPROX] See Drumstick note.</t>
        </r>
      </text>
    </comment>
    <comment ref="F80" authorId="0" shapeId="0" xr:uid="{00000000-0006-0000-1100-000007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91" authorId="0" shapeId="0" xr:uid="{00000000-0006-0000-1100-000008000000}">
      <text>
        <r>
          <rPr>
            <sz val="10"/>
            <rFont val="Arial"/>
            <family val="2"/>
          </rPr>
          <t>[APPROX] Same official TNAU basal+top-dress structure as Carnation — see note there.</t>
        </r>
      </text>
    </comment>
    <comment ref="F93" authorId="0" shapeId="0" xr:uid="{00000000-0006-0000-1100-000009000000}">
      <text>
        <r>
          <rPr>
            <sz val="10"/>
            <rFont val="Arial"/>
            <family val="2"/>
          </rPr>
  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2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66" authorId="0" shapeId="0" xr:uid="{00000000-0006-0000-1200-000002000000}">
      <text>
        <r>
          <rPr>
            <sz val="10"/>
            <rFont val="Arial"/>
            <family val="2"/>
          </rPr>
          <t>[APPROX] See Tea note.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3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28" authorId="0" shapeId="0" xr:uid="{00000000-0006-0000-1300-000002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39" authorId="0" shapeId="0" xr:uid="{00000000-0006-0000-1300-000003000000}">
      <text>
        <r>
          <rPr>
            <sz val="10"/>
            <rFont val="Arial"/>
            <family val="2"/>
          </rPr>
          <t>[OFFICIAL] Mature-tree N:P2O5:K2O proportion (young trees 1:1:1). Source: "Avocado Cultivation in India" Bulletin, ICAR/state horticulture dept, ResearchGate 303797732.</t>
        </r>
      </text>
    </comment>
    <comment ref="F42" authorId="0" shapeId="0" xr:uid="{00000000-0006-0000-1300-000004000000}">
      <text>
        <r>
          <rPr>
            <sz val="10"/>
            <rFont val="Arial"/>
            <family val="2"/>
          </rPr>
  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  </r>
      </text>
    </comment>
    <comment ref="F67" authorId="0" shapeId="0" xr:uid="{00000000-0006-0000-1300-000005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68" authorId="0" shapeId="0" xr:uid="{00000000-0006-0000-1300-000006000000}">
      <text>
        <r>
          <rPr>
            <sz val="10"/>
            <rFont val="Arial"/>
            <family val="2"/>
          </rPr>
          <t>[APPROX] See Coffee note.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4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2" authorId="0" shapeId="0" xr:uid="{00000000-0006-0000-1400-000002000000}">
      <text>
        <r>
          <rPr>
            <sz val="10"/>
            <rFont val="Arial"/>
            <family val="2"/>
          </rPr>
          <t>[APPROX] No single official ICAR blanket located; estimated from general hill/minor-cereal RDF pattern — low-confidence placeholder.</t>
        </r>
      </text>
    </comment>
    <comment ref="F26" authorId="0" shapeId="0" xr:uid="{00000000-0006-0000-1400-000003000000}">
      <text>
        <r>
          <rPr>
            <sz val="10"/>
            <rFont val="Arial"/>
            <family val="2"/>
          </rPr>
          <t>[N/A] Managed as forestry/agroforestry; not on a standard NPK fertilizer schedule in Indian practice.</t>
        </r>
      </text>
    </comment>
    <comment ref="F27" authorId="0" shapeId="0" xr:uid="{00000000-0006-0000-1400-000004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31" authorId="0" shapeId="0" xr:uid="{00000000-0006-0000-1400-000005000000}">
      <text>
        <r>
          <rPr>
            <sz val="10"/>
            <rFont val="Arial"/>
            <family val="2"/>
          </rPr>
          <t>[OFFICIAL] Optimum RDF (white-pulp type) from ICAR-IIHR field trial. Source: Karunakaran et al., ICAR-Indian Institute of Horticultural Research, Frontiers in Plant Science (2025), PMC12484207. Purple-red type optimum was 700:400:350 g/pillar/yr — white-type figure used here as representative.</t>
        </r>
      </text>
    </comment>
    <comment ref="F38" authorId="0" shapeId="0" xr:uid="{00000000-0006-0000-1400-000006000000}">
      <text>
        <r>
          <rPr>
            <sz val="10"/>
            <rFont val="Arial"/>
            <family val="2"/>
          </rPr>
          <t>[OFFICIAL] Mature-tree N:P2O5:K2O proportion (young trees 1:1:1). Source: "Avocado Cultivation in India" Bulletin, ICAR/state horticulture dept, ResearchGate 303797732.</t>
        </r>
      </text>
    </comment>
    <comment ref="F61" authorId="0" shapeId="0" xr:uid="{00000000-0006-0000-1400-000007000000}">
      <text>
        <r>
          <rPr>
            <sz val="10"/>
            <rFont val="Arial"/>
            <family val="2"/>
          </rPr>
          <t>[APPROX] See Tea note.</t>
        </r>
      </text>
    </comment>
    <comment ref="F66" authorId="0" shapeId="0" xr:uid="{00000000-0006-0000-1400-000008000000}">
      <text>
        <r>
          <rPr>
            <sz val="10"/>
            <rFont val="Arial"/>
            <family val="2"/>
          </rPr>
          <t>[APPROX] No dedicated schedule located; general tropical-ornamental blanket analog — low-confidence placeholder.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5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2" authorId="0" shapeId="0" xr:uid="{00000000-0006-0000-1500-000002000000}">
      <text>
        <r>
          <rPr>
            <sz val="10"/>
            <rFont val="Arial"/>
            <family val="2"/>
          </rPr>
          <t>[APPROX] No single official ICAR blanket located; estimated from general hill/minor-cereal RDF pattern — low-confidence placeholder.</t>
        </r>
      </text>
    </comment>
    <comment ref="F27" authorId="0" shapeId="0" xr:uid="{00000000-0006-0000-1500-000003000000}">
      <text>
        <r>
          <rPr>
            <sz val="10"/>
            <rFont val="Arial"/>
            <family val="2"/>
          </rPr>
          <t>[APPROX] See Tea note.</t>
        </r>
      </text>
    </comment>
    <comment ref="F56" authorId="0" shapeId="0" xr:uid="{00000000-0006-0000-1500-000004000000}">
      <text>
        <r>
          <rPr>
            <sz val="10"/>
            <rFont val="Arial"/>
            <family val="2"/>
          </rPr>
          <t>[APPROX] Standard Indian chilli/solanaceous-vegetable blanket RDF used as analog for this GI-tagged chilli variant.</t>
        </r>
      </text>
    </comment>
    <comment ref="F63" authorId="0" shapeId="0" xr:uid="{00000000-0006-0000-1500-000005000000}">
      <text>
        <r>
          <rPr>
            <sz val="10"/>
            <rFont val="Arial"/>
            <family val="2"/>
          </rPr>
          <t>[APPROX] See Tea note.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600-000001000000}">
      <text>
        <r>
          <rPr>
            <sz val="10"/>
            <rFont val="Arial"/>
            <family val="2"/>
          </rPr>
          <t>Zone: Eastern Plateau &amp; Hills Region
Red &amp; lateritic soils (Chotanagpur/Odisha); acidic, micronutrient-rich but P-deficient.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5" authorId="0" shapeId="0" xr:uid="{00000000-0006-0000-1600-000002000000}">
      <text>
        <r>
          <rPr>
            <sz val="10"/>
            <rFont val="Arial"/>
            <family val="2"/>
          </rPr>
          <t>[APPROX] See Buckwheat note.</t>
        </r>
      </text>
    </comment>
    <comment ref="F42" authorId="0" shapeId="0" xr:uid="{00000000-0006-0000-1600-000003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43" authorId="0" shapeId="0" xr:uid="{00000000-0006-0000-1600-000004000000}">
      <text>
        <r>
          <rPr>
            <sz val="10"/>
            <rFont val="Arial"/>
            <family val="2"/>
          </rPr>
          <t>[APPROX] This is a nutrient UPTAKE/removal estimate for high-yielding coffee (Mitchell, 1988; cited in IISTE J.Biol.Agri.Health), commonly used as a fertilization guideline in absence of one official Indian blanket RDF — not itself an RDF. Treat as indicative only.</t>
        </r>
      </text>
    </comment>
    <comment ref="F53" authorId="0" shapeId="0" xr:uid="{00000000-0006-0000-1600-000005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54" authorId="0" shapeId="0" xr:uid="{00000000-0006-0000-1600-000006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76" authorId="0" shapeId="0" xr:uid="{00000000-0006-0000-1600-000007000000}">
      <text>
        <r>
          <rPr>
            <sz val="10"/>
            <rFont val="Arial"/>
            <family val="2"/>
          </rPr>
          <t>[APPROX] See Drumstick note.</t>
        </r>
      </text>
    </comment>
    <comment ref="F80" authorId="0" shapeId="0" xr:uid="{00000000-0006-0000-1600-000008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86" authorId="0" shapeId="0" xr:uid="{00000000-0006-0000-1600-000009000000}">
      <text>
        <r>
          <rPr>
            <sz val="10"/>
            <rFont val="Arial"/>
            <family val="2"/>
          </rPr>
          <t>[APPROX] No dedicated schedule located; estimated from true-ginger (Zingiber) RDF as closest analog crop — low-confidence placeholder.</t>
        </r>
      </text>
    </comment>
    <comment ref="F96" authorId="0" shapeId="0" xr:uid="{00000000-0006-0000-1600-00000A000000}">
      <text>
        <r>
          <rPr>
            <sz val="10"/>
            <rFont val="Arial"/>
            <family val="2"/>
          </rPr>
          <t>[APPROX] See Tea note.</t>
        </r>
      </text>
    </comment>
    <comment ref="F97" authorId="0" shapeId="0" xr:uid="{00000000-0006-0000-1600-00000B000000}">
      <text>
        <r>
          <rPr>
            <sz val="10"/>
            <rFont val="Arial"/>
            <family val="2"/>
          </rPr>
          <t>[APPROX] See Coffee note.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700-000001000000}">
      <text>
        <r>
          <rPr>
            <sz val="10"/>
            <rFont val="Arial"/>
            <family val="2"/>
          </rPr>
          <t>Zone: Trans-Gangetic Plains Region
Punjab-Haryana intensive rice-wheat belt; high fertilizer use masks native micronutrient deficiency (esp. Zn, Fe).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2" authorId="0" shapeId="0" xr:uid="{00000000-0006-0000-1700-000002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57" authorId="0" shapeId="0" xr:uid="{00000000-0006-0000-1700-000003000000}">
      <text>
        <r>
          <rPr>
            <sz val="10"/>
            <rFont val="Arial"/>
            <family val="2"/>
          </rPr>
          <t>[N/A] Agroforestry species; not on a standard NPK fertilizer schedule in Indian practice.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800-000001000000}">
      <text>
        <r>
          <rPr>
            <sz val="10"/>
            <rFont val="Arial"/>
            <family val="2"/>
          </rPr>
          <t>Zone: Western Dry Region
Arid Rajasthan; sandy desert soils, very low OC and N, alkaline-saline, low micronutrients except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52" authorId="0" shapeId="0" xr:uid="{00000000-0006-0000-1800-000002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69" authorId="0" shapeId="0" xr:uid="{00000000-0006-0000-1800-000003000000}">
      <text>
        <r>
          <rPr>
            <sz val="10"/>
            <rFont val="Arial"/>
            <family val="2"/>
          </rPr>
          <t>[APPROX] See Date Palm (limited) note.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9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2" authorId="0" shapeId="0" xr:uid="{00000000-0006-0000-1900-000002000000}">
      <text>
        <r>
          <rPr>
            <sz val="10"/>
            <rFont val="Arial"/>
            <family val="2"/>
          </rPr>
          <t>[APPROX] No single official ICAR blanket located; estimated from general hill/minor-cereal RDF pattern — low-confidence placeholder.</t>
        </r>
      </text>
    </comment>
    <comment ref="F40" authorId="0" shapeId="0" xr:uid="{00000000-0006-0000-1900-000003000000}">
      <text>
        <r>
          <rPr>
            <sz val="10"/>
            <rFont val="Arial"/>
            <family val="2"/>
          </rPr>
          <t>[OFFICIAL] Mature-tree N:P2O5:K2O proportion (young trees 1:1:1). Source: "Avocado Cultivation in India" Bulletin, ICAR/state horticulture dept, ResearchGate 303797732.</t>
        </r>
      </text>
    </comment>
    <comment ref="F52" authorId="0" shapeId="0" xr:uid="{00000000-0006-0000-1900-000004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53" authorId="0" shapeId="0" xr:uid="{00000000-0006-0000-1900-000005000000}">
      <text>
        <r>
          <rPr>
            <sz val="10"/>
            <rFont val="Arial"/>
            <family val="2"/>
          </rPr>
          <t>[APPROX] Standard Indian cole-crop (cabbage/cauliflower-class) blanket RDF used as analog — broccoli-specific state POPs typically mirror this figure closely, but not separately verified this session.</t>
        </r>
      </text>
    </comment>
    <comment ref="F66" authorId="0" shapeId="0" xr:uid="{00000000-0006-0000-1900-000006000000}">
      <text>
        <r>
          <rPr>
            <sz val="10"/>
            <rFont val="Arial"/>
            <family val="2"/>
          </rPr>
          <t>[APPROX] See Tea note.</t>
        </r>
      </text>
    </comment>
    <comment ref="F72" authorId="0" shapeId="0" xr:uid="{00000000-0006-0000-1900-000007000000}">
      <text>
        <r>
          <rPr>
            <sz val="10"/>
            <rFont val="Arial"/>
            <family val="2"/>
          </rPr>
          <t>[APPROX] No dedicated schedule located; general tropical-ornamental blanket analog — low-confidence placeholder.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A00-000001000000}">
      <text>
        <r>
          <rPr>
            <sz val="10"/>
            <rFont val="Arial"/>
            <family val="2"/>
          </rPr>
          <t>Zone: East Coast Plains &amp; Hills Region
Coastal alluvial/deltaic, AP-Tamil Nadu; higher S from marine influence, EC elevated near coast.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52" authorId="0" shapeId="0" xr:uid="{00000000-0006-0000-1A00-000002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68" authorId="0" shapeId="0" xr:uid="{00000000-0006-0000-1A00-000003000000}">
      <text>
        <r>
          <rPr>
            <sz val="10"/>
            <rFont val="Arial"/>
            <family val="2"/>
          </rPr>
          <t>[APPROX] See Drumstick note.</t>
        </r>
      </text>
    </comment>
    <comment ref="F83" authorId="0" shapeId="0" xr:uid="{00000000-0006-0000-1A00-000004000000}">
      <text>
        <r>
          <rPr>
            <sz val="10"/>
            <rFont val="Arial"/>
            <family val="2"/>
          </rPr>
          <t>[APPROX] No dedicated TNAU/ICAR schedule located; minor perennial spice-tree analog — low-confidence placeholder.</t>
        </r>
      </text>
    </comment>
    <comment ref="F87" authorId="0" shapeId="0" xr:uid="{00000000-0006-0000-1A00-000005000000}">
      <text>
        <r>
          <rPr>
            <sz val="10"/>
            <rFont val="Arial"/>
            <family val="2"/>
          </rPr>
          <t>[APPROX] See Tea note.</t>
        </r>
      </text>
    </comment>
    <comment ref="F88" authorId="0" shapeId="0" xr:uid="{00000000-0006-0000-1A00-000006000000}">
      <text>
        <r>
          <rPr>
            <sz val="10"/>
            <rFont val="Arial"/>
            <family val="2"/>
          </rPr>
          <t>[APPROX] See Coffee note.</t>
        </r>
      </text>
    </comment>
    <comment ref="F92" authorId="0" shapeId="0" xr:uid="{00000000-0006-0000-1A00-000007000000}">
      <text>
        <r>
          <rPr>
            <sz val="10"/>
            <rFont val="Arial"/>
            <family val="2"/>
          </rPr>
          <t>[APPROX] Plantation crop grown in Tamil Nadu/Kerala hills; no confirmed published RDF located this session — low-confidence placeholder.</t>
        </r>
      </text>
    </comment>
    <comment ref="F101" authorId="0" shapeId="0" xr:uid="{00000000-0006-0000-1A00-000008000000}">
      <text>
        <r>
          <rPr>
            <sz val="10"/>
            <rFont val="Arial"/>
            <family val="2"/>
          </rPr>
          <t>[APPROX] Same official TNAU basal+top-dress structure as Carnation — see note there.</t>
        </r>
      </text>
    </comment>
    <comment ref="F102" authorId="0" shapeId="0" xr:uid="{00000000-0006-0000-1A00-000009000000}">
      <text>
        <r>
          <rPr>
            <sz val="10"/>
            <rFont val="Arial"/>
            <family val="2"/>
          </rPr>
  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  </r>
      </text>
    </comment>
    <comment ref="F103" authorId="0" shapeId="0" xr:uid="{00000000-0006-0000-1A00-00000A000000}">
      <text>
        <r>
          <rPr>
            <sz val="10"/>
            <rFont val="Arial"/>
            <family val="2"/>
          </rPr>
          <t>[APPROX] No TNAU/ICAR schedule located for Lilium specifically; estimated from general bulbous-ornamental blanket (tuberose/gladiolus class) — low-confidence placeholder.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B00-000001000000}">
      <text>
        <r>
          <rPr>
            <sz val="10"/>
            <rFont val="Arial"/>
            <family val="2"/>
          </rPr>
          <t>Zone: Southern Plateau &amp; Hills Region
Red soils over granite/gneiss, Karnataka-Telangana uplands; alkaline-neutral, low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5" authorId="0" shapeId="0" xr:uid="{00000000-0006-0000-1B00-000002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47" authorId="0" shapeId="0" xr:uid="{00000000-0006-0000-1B00-000003000000}">
      <text>
        <r>
          <rPr>
            <sz val="10"/>
            <rFont val="Arial"/>
            <family val="2"/>
          </rPr>
          <t>[APPROX] Analog estimate — no dedicated tamarind schedule found in TNAU/ICAR sources; figure borrowed from comparable minor fruit tree (jackfruit) class.</t>
        </r>
      </text>
    </comment>
    <comment ref="F57" authorId="0" shapeId="0" xr:uid="{00000000-0006-0000-1B00-000004000000}">
      <text>
        <r>
          <rPr>
            <sz val="10"/>
            <rFont val="Arial"/>
            <family val="2"/>
          </rPr>
          <t>[APPROX] Recommended dose from a published fertigation trial (thepharmajournal.com SP-11(3):1718, 2022), not an ICAR/TNAU blanket. Presented as best available Indian trial figure.</t>
        </r>
      </text>
    </comment>
    <comment ref="F64" authorId="0" shapeId="0" xr:uid="{00000000-0006-0000-1B00-000005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C00-000001000000}">
      <text>
        <r>
          <rPr>
            <sz val="10"/>
            <rFont val="Arial"/>
            <family val="2"/>
          </rPr>
          <t>Zone: Eastern Himalayan Region
High rainfall, acidic lateritic/forest soils; high OC but micronutrient cations leached, low B.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25" authorId="0" shapeId="0" xr:uid="{00000000-0006-0000-1C00-000002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  <comment ref="F27" authorId="0" shapeId="0" xr:uid="{00000000-0006-0000-1C00-000003000000}">
      <text>
        <r>
          <rPr>
            <sz val="10"/>
            <rFont val="Arial"/>
            <family val="2"/>
          </rPr>
          <t>[N/A] Managed as forestry/agroforestry; not on a standard NPK fertilizer schedule in Indian practice.</t>
        </r>
      </text>
    </comment>
    <comment ref="F64" authorId="0" shapeId="0" xr:uid="{00000000-0006-0000-1C00-000004000000}">
      <text>
        <r>
          <rPr>
            <sz val="10"/>
            <rFont val="Arial"/>
            <family val="2"/>
          </rPr>
          <t>[APPROX] Tea has no single national RDF — published agro-climatic ranges run 150–300 kg N, 30–60 P2O5, 120–240 K2O/ha/yr (Frontiers Soil Sci. 2025, PMC-review). Figure shown is the range midpoint, not an official single dose. Applies to all Tea (GI/regional) label variants.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D00-000001000000}">
      <text>
        <r>
          <rPr>
            <sz val="10"/>
            <rFont val="Arial"/>
            <family val="2"/>
          </rPr>
          <t>Zone: Upper Gangetic Plains Region
Sandy-loam alluvium, intensively cropped UP belt; alkaline, N often depleted by continuous cropping.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43" authorId="0" shapeId="0" xr:uid="{00000000-0006-0000-1D00-000002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46" authorId="0" shapeId="0" xr:uid="{00000000-0006-0000-1D00-000003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64" authorId="0" shapeId="0" xr:uid="{00000000-0006-0000-1D00-000004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83" authorId="0" shapeId="0" xr:uid="{00000000-0006-0000-1D00-000005000000}">
      <text>
        <r>
          <rPr>
            <sz val="10"/>
            <rFont val="Arial"/>
            <family val="2"/>
          </rPr>
          <t>[N/A] See Eucalyptus note.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E00-000001000000}">
      <text>
        <r>
          <rPr>
            <sz val="10"/>
            <rFont val="Arial"/>
            <family val="2"/>
          </rPr>
          <t>Zone: Western Himalayan Region
Sandy-loam hill soils; cool climate slows organic matter breakdown -&gt; moderate-high OC.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13" authorId="0" shapeId="0" xr:uid="{00000000-0006-0000-1E00-000002000000}">
      <text>
        <r>
          <rPr>
            <sz val="10"/>
            <rFont val="Arial"/>
            <family val="2"/>
          </rPr>
          <t>[APPROX] See Buckwheat note.</t>
        </r>
      </text>
    </comment>
    <comment ref="F16" authorId="0" shapeId="0" xr:uid="{00000000-0006-0000-1E00-000003000000}">
      <text>
        <r>
          <rPr>
            <sz val="10"/>
            <rFont val="Arial"/>
            <family val="2"/>
          </rPr>
          <t>[APPROX] Midpoint of extension-cited range (N 80–90, P2O5 30–40 kg/ha; single-cut varieties); K2O of 40 taken from multi-cut guidance as no single-cut K figure was published. No single official ICAR blanket found — treat as indicative, not exact RDF.</t>
        </r>
      </text>
    </comment>
    <comment ref="F34" authorId="0" shapeId="0" xr:uid="{00000000-0006-0000-1E00-000004000000}">
      <text>
        <r>
          <rPr>
            <sz val="10"/>
            <rFont val="Arial"/>
            <family val="2"/>
          </rPr>
          <t>[N/A] Lac is a resin secreted by scale insects on host trees (e.g. palas, ber); it is not itself planted or fertilized. No ratio applies.</t>
        </r>
      </text>
    </comment>
    <comment ref="F41" authorId="0" shapeId="0" xr:uid="{00000000-0006-0000-1E00-000005000000}">
      <text>
        <r>
          <rPr>
            <sz val="10"/>
            <rFont val="Arial"/>
            <family val="2"/>
          </rPr>
          <t>[APPROX] Extension sources (tractorkarvan/agrifarming/krishijagran, consistent across sites) give age-dependent per-tree N (+100 g/tree/yr, no capped mature figure) and area-basis P2O5 45–80, K2O 65–100 kg/ha. Figure shown converts to a rough hectare-equivalent using typical Kashmir walnut spacing (~100 trees/ha) — this is a derived estimate, not an official single RDF.</t>
        </r>
      </text>
    </comment>
    <comment ref="F42" authorId="0" shapeId="0" xr:uid="{00000000-0006-0000-1E00-000006000000}">
      <text>
        <r>
          <rPr>
            <sz val="10"/>
            <rFont val="Arial"/>
            <family val="2"/>
          </rPr>
          <t>[OFFICIAL] RDF for mature (8th-yr) almond, Kashmir. Source: Kumar &amp; Ahmed, ICAR-Central Institute of Temperate Horticulture, Srinagar, "Response of N&amp;K Fertigation to Almond", J. Agriculture (2014), PMC3919101.</t>
        </r>
      </text>
    </comment>
    <comment ref="F43" authorId="0" shapeId="0" xr:uid="{00000000-0006-0000-1E00-000007000000}">
      <text>
        <r>
          <rPr>
            <sz val="10"/>
            <rFont val="Arial"/>
            <family val="2"/>
          </rPr>
          <t>[APPROX] No dedicated Indian/Kashmir cherry RDF located; estimated from temperate stone-fruit (apple/almond-class) fertilization pattern common to SKUAST-K orchard crops — treat as low-confidence placeholder pending a real POP lookup.</t>
        </r>
      </text>
    </comment>
    <comment ref="F61" authorId="0" shapeId="0" xr:uid="{00000000-0006-0000-1E00-000008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73" authorId="0" shapeId="0" xr:uid="{00000000-0006-0000-1E00-000009000000}">
      <text>
        <r>
          <rPr>
            <sz val="10"/>
            <rFont val="Arial"/>
            <family val="2"/>
          </rPr>
          <t>[APPROX] No dedicated Indian schedule located (minor Himalayan spice tree); rough minor-spice-tree analog — low-confidence placeholder.</t>
        </r>
      </text>
    </comment>
    <comment ref="F75" authorId="0" shapeId="0" xr:uid="{00000000-0006-0000-1E00-00000A000000}">
      <text>
        <r>
          <rPr>
            <sz val="10"/>
            <rFont val="Arial"/>
            <family val="2"/>
          </rPr>
          <t>[APPROX] See Tea note.</t>
        </r>
      </text>
    </comment>
    <comment ref="F76" authorId="0" shapeId="0" xr:uid="{00000000-0006-0000-1E00-00000B000000}">
      <text>
        <r>
          <rPr>
            <sz val="10"/>
            <rFont val="Arial"/>
            <family val="2"/>
          </rPr>
          <t>[N/A] Commercial forestry species; not on a standard NPK fertilizer schedule in Indian practice.</t>
        </r>
      </text>
    </comment>
    <comment ref="F81" authorId="0" shapeId="0" xr:uid="{00000000-0006-0000-1E00-00000C000000}">
      <text>
        <r>
          <rPr>
            <sz val="10"/>
            <rFont val="Arial"/>
            <family val="2"/>
          </rPr>
          <t>[APPROX] TNAU official schedule (agritech.tnau.ac.in flower-crops PDF) is basal P (400 g/100 sq.ft) + monthly top-dress CAN:MOP at 5:3 — not a single N:P:K figure. Value shown is a rough combined-equivalent for spreadsheet purposes; refer to the TNAU schedule directly for actual application.</t>
        </r>
      </text>
    </comment>
    <comment ref="F83" authorId="0" shapeId="0" xr:uid="{00000000-0006-0000-1E00-00000D000000}">
      <text>
        <r>
          <rPr>
            <sz val="10"/>
            <rFont val="Arial"/>
            <family val="2"/>
          </rPr>
          <t>[APPROX] No TNAU/ICAR schedule located for Lilium specifically; estimated from general bulbous-ornamental blanket (tuberose/gladiolus class) — low-confidence placeholder.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1F00-000001000000}">
      <text>
        <r>
          <rPr>
            <sz val="10"/>
            <rFont val="Arial"/>
            <family val="2"/>
          </rPr>
          <t>Zone: Lower Gangetic Plains Region
Deltaic alluvium, West Bengal; moderately fertile, near-neutral.
Values are representative state/zone-level soil-test figures, not per-crop measurements. Derived from ICAR/IISS Soil Health Card interpretation classes, Planning Commission 15 agro-climatic zone soil characterisation, and published regional SHC/NBSS&amp;LUP surveys. Same value repeated for every crop in this state by design.</t>
        </r>
      </text>
    </comment>
    <comment ref="F32" authorId="0" shapeId="0" xr:uid="{00000000-0006-0000-1F00-000002000000}">
      <text>
        <r>
          <rPr>
            <sz val="10"/>
            <rFont val="Arial"/>
            <family val="2"/>
          </rPr>
          <t>[N/A] See Silk note.</t>
        </r>
      </text>
    </comment>
    <comment ref="F33" authorId="0" shapeId="0" xr:uid="{00000000-0006-0000-1F00-000003000000}">
      <text>
        <r>
          <rPr>
            <sz val="10"/>
            <rFont val="Arial"/>
            <family val="2"/>
          </rPr>
          <t>[APPROX] See Tea note.</t>
        </r>
      </text>
    </comment>
    <comment ref="F44" authorId="0" shapeId="0" xr:uid="{00000000-0006-0000-1F00-000004000000}">
      <text>
        <r>
          <rPr>
            <sz val="10"/>
            <rFont val="Arial"/>
            <family val="2"/>
          </rPr>
          <t>[APPROX] Analog estimate, minor fruit-tree class — see Custard Apple note.</t>
        </r>
      </text>
    </comment>
    <comment ref="F45" authorId="0" shapeId="0" xr:uid="{00000000-0006-0000-1F00-000005000000}">
      <text>
        <r>
          <rPr>
            <sz val="10"/>
            <rFont val="Arial"/>
            <family val="2"/>
          </rPr>
          <t>[APPROX] Analog estimate from jackfruit RDF (same minor-fruit-tree class; agriculture.institute extension guide) — no custard-apple-specific schedule found.</t>
        </r>
      </text>
    </comment>
    <comment ref="F61" authorId="0" shapeId="0" xr:uid="{00000000-0006-0000-1F00-000006000000}">
      <text>
        <r>
          <rPr>
            <sz val="10"/>
            <rFont val="Arial"/>
            <family val="2"/>
          </rPr>
          <t>[APPROX] N:P from a published Pakistan/South-Asia agronomy trial reporting 125:90 kg/ha as optimum; K2O of 50 is an analog estimate (no K figure published) — flagged as incomplete/approximate.</t>
        </r>
      </text>
    </comment>
    <comment ref="F68" authorId="0" shapeId="0" xr:uid="{00000000-0006-0000-1F00-000007000000}">
      <text>
        <r>
          <rPr>
            <sz val="10"/>
            <rFont val="Arial"/>
            <family val="2"/>
          </rPr>
          <t>[APPROX] General minor perennial-vegetable-tree analog dose (moringa-type); no dedicated ICAR/TNAU schedule located — treat as indicative.</t>
        </r>
      </text>
    </comment>
    <comment ref="F78" authorId="0" shapeId="0" xr:uid="{00000000-0006-0000-1F00-000008000000}">
      <text>
        <r>
          <rPr>
            <sz val="10"/>
            <rFont val="Arial"/>
            <family val="2"/>
          </rPr>
          <t>[APPROX] See Tea note.</t>
        </r>
      </text>
    </comment>
  </commentList>
</comments>
</file>

<file path=xl/sharedStrings.xml><?xml version="1.0" encoding="utf-8"?>
<sst xmlns="http://schemas.openxmlformats.org/spreadsheetml/2006/main" count="10172" uniqueCount="849">
  <si>
    <t>Low Soil Fertility — Threshold Reference Values</t>
  </si>
  <si>
    <t>These threshold values define the 'Low' soil-fertility case used across every crop/state record in this workbook. All fertilizer recommendation columns are populated uniformly from this single reference row (no per-crop or per-soil-test variation).</t>
  </si>
  <si>
    <t>Threshold N</t>
  </si>
  <si>
    <t>Threshold P</t>
  </si>
  <si>
    <t>Threshold K</t>
  </si>
  <si>
    <t>N:P₂O₅:K₂O Ratio</t>
  </si>
  <si>
    <t>Urea (kg/ha)</t>
  </si>
  <si>
    <t>DAP (kg/ha)</t>
  </si>
  <si>
    <t>280:22.9:144</t>
  </si>
  <si>
    <t>Formulas used:</t>
  </si>
  <si>
    <t>Urea (kg/ha) = Threshold N ÷ 0.46   (Urea is 46% N)</t>
  </si>
  <si>
    <t>DAP (kg/ha) = Threshold P (as P₂O₅) ÷ 0.46   (DAP is 46% P₂O₅)</t>
  </si>
  <si>
    <t>MOP (kg/ha) = Threshold K (as K₂O) ÷ 0.60   (MOP is 60% K₂O)</t>
  </si>
  <si>
    <t>N:P₂O₅:K₂O Ratio generated directly from the threshold values above.</t>
  </si>
  <si>
    <t>Soil Parameter Methodology &amp; Sources</t>
  </si>
  <si>
    <t>WHAT WAS ADDED</t>
  </si>
  <si>
    <t>Each state sheet now has 15 new columns appended after "Notes / Significance":</t>
  </si>
  <si>
    <t>Agroclimatic Zone, OC(%), N(kg/ha), P2O5(kg/ha), K(kg/ha), S(ppm), Fe(ppm), Mn(ppm), Cu(ppm), Zn(ppm), B(ppm), pH, EC(dS/m), Ca(meq/100g), Mg(meq/100g).</t>
  </si>
  <si>
    <t>METHOD</t>
  </si>
  <si>
    <t>1. Each state was mapped to one of the 15 Planning Commission / NARP-ICAR agro-climatic zones (based on dominant zone for that state).</t>
  </si>
  <si>
    <t>2. Each zone was assigned ONE representative soil-parameter profile (16 values), built from:</t>
  </si>
  <si>
    <t xml:space="preserve">   - ICAR / IISS Bhopal Soil Health Card low/medium/high interpretation classes for OC, N, P, K, pH</t>
  </si>
  <si>
    <t xml:space="preserve">   - Planning Commission (Khanna, 1989) zone soil-type &amp; climate characterisation (e.g. black soils -&gt; high K, low Zn; lateritic acidic soils -&gt; high OC, low B)</t>
  </si>
  <si>
    <t xml:space="preserve">   - Published regional Soil Health Card / NBSS&amp;LUP studies used as representative anchors for each broad soil-type class (e.g. AP multi-district SAT survey; NE India AESR micronutrient survey; West Bengal Dooars tea-belt survey)</t>
  </si>
  <si>
    <t xml:space="preserve">   - National SHC aggregate deficiency statistics (CSE 2024-25 report: ~64% samples low N, ~48.5% low OC, ~55% low Boron, ~35% low Zinc) used to keep central values realistic rather than textbook-ideal</t>
  </si>
  <si>
    <t>3. That same 14-value profile is repeated for every crop row within a state, since soil chemistry is a property of land/zone, not of the crop grown on it.</t>
  </si>
  <si>
    <t>IMPORTANT LIMITATION (please read before using for ML training)</t>
  </si>
  <si>
    <t>These are representative, zone-level TYPICAL values, not measured per-district or per-field soil test results, and they do NOT vary by crop within a state.</t>
  </si>
  <si>
    <t>Real soil values vary substantially within a state/zone by district, season and depth. For an ML model, this means:</t>
  </si>
  <si>
    <t xml:space="preserve">  - The 14 soil columns will behave as a near-duplicate of the "Agroclimatic Zone" / "State" categorical feature (high multicollinearity), not as independent signal.</t>
  </si>
  <si>
    <t xml:space="preserve">  - A model trained on this will likely learn "zone -&gt; fixed soil vector" rather than genuine soil-crop relationships.</t>
  </si>
  <si>
    <t>If you need the soil columns to carry real predictive signal for ML, consider either:</t>
  </si>
  <si>
    <t xml:space="preserve">  (a) sourcing actual district-level Soil Health Card averages (data.gov.in / soilhealth.dac.gov.in) and joining by district, or</t>
  </si>
  <si>
    <t xml:space="preserve">  (b) sampling each row from the published range per zone (e.g. triangular distribution) instead of using one fixed value — happy to do this version instead if useful.</t>
  </si>
  <si>
    <t>ZONE PROFILES USED</t>
  </si>
  <si>
    <t>Agroclimatic Zone</t>
  </si>
  <si>
    <t>States in this dataset</t>
  </si>
  <si>
    <t>OC(%)</t>
  </si>
  <si>
    <t>N(kg/ha)</t>
  </si>
  <si>
    <t>P2O5(kg/ha)</t>
  </si>
  <si>
    <t>K(kg/ha)</t>
  </si>
  <si>
    <t>Western Himalayan Region</t>
  </si>
  <si>
    <t>Himachal Pradesh, Jammu &amp; Kashmir, Uttarakhand</t>
  </si>
  <si>
    <t>Eastern Himalayan Region</t>
  </si>
  <si>
    <t>Arunachal Pradesh, Assam, Manipur, Meghalaya, Mizoram, Nagaland, Sikkim, Tripura</t>
  </si>
  <si>
    <t>Lower Gangetic Plains Region</t>
  </si>
  <si>
    <t>West Bengal</t>
  </si>
  <si>
    <t>Middle Gangetic Plains Region</t>
  </si>
  <si>
    <t>Bihar</t>
  </si>
  <si>
    <t>Upper Gangetic Plains Region</t>
  </si>
  <si>
    <t>Uttar Pradesh</t>
  </si>
  <si>
    <t>Trans-Gangetic Plains Region</t>
  </si>
  <si>
    <t>Haryana, Punjab</t>
  </si>
  <si>
    <t>Eastern Plateau &amp; Hills Region</t>
  </si>
  <si>
    <t>Chhattisgarh, Jharkhand, Odisha</t>
  </si>
  <si>
    <t>Central Plateau &amp; Hills Region</t>
  </si>
  <si>
    <t>Madhya Pradesh</t>
  </si>
  <si>
    <t>Western Plateau &amp; Hills Region</t>
  </si>
  <si>
    <t>Maharashtra</t>
  </si>
  <si>
    <t>Southern Plateau &amp; Hills Region</t>
  </si>
  <si>
    <t>Karnataka, Telangana</t>
  </si>
  <si>
    <t>East Coast Plains &amp; Hills Region</t>
  </si>
  <si>
    <t>Andhra Pradesh, Tamil Nadu</t>
  </si>
  <si>
    <t>West Coast Plains &amp; Hills Region</t>
  </si>
  <si>
    <t>Goa, Kerala</t>
  </si>
  <si>
    <t>Gujarat Plains &amp; Hills Region</t>
  </si>
  <si>
    <t>Gujarat</t>
  </si>
  <si>
    <t>Western Dry Region</t>
  </si>
  <si>
    <t>Rajasthan</t>
  </si>
  <si>
    <t>🌾  India State-Wise Crop Database</t>
  </si>
  <si>
    <t>Comprehensive list of crops grown across all 28 States + key Union Territories of India</t>
  </si>
  <si>
    <t>#</t>
  </si>
  <si>
    <t>State / UT</t>
  </si>
  <si>
    <t>Total Crops (approx.)</t>
  </si>
  <si>
    <t>Notable Facts</t>
  </si>
  <si>
    <t>Andhra Pradesh</t>
  </si>
  <si>
    <t>Leading producer of Bananas, Chilli, Papaya &amp; Tobacco in India | Banaganapalle Mango, Guntur Sannam Chilli, Araku Valley Coffee — GI tagged | Oil Palm emerging as key plantation crop in coastal districts</t>
  </si>
  <si>
    <t>Arunachal Pradesh</t>
  </si>
  <si>
    <t>Richest biodiversity in India — part of Indo-Myanmar hotspot | State Organic Mission declared in 2017 | Kiwi, Dragon Fruit emerging as high-value crops</t>
  </si>
  <si>
    <t>Assam</t>
  </si>
  <si>
    <t>Largest tea producer in India — Assam CTC tea is world-famous | Fourth largest jute producer after WB, Bihar, Assam | Assam Lakhi Muga Silk — only place in world for golden silk</t>
  </si>
  <si>
    <t>Largest producer of Litchi in India (Shahi Litchi — GI tagged) | Major producer of Makhana (Fox Nut) — unique to Bihar | Mango varieties include Jardalu (GI tagged)</t>
  </si>
  <si>
    <t>Chhattisgarh</t>
  </si>
  <si>
    <t>Called 'Rice Bowl of Central India' — over 40% area under rice | Over 20,000 varieties of traditional rice conserved | Kodo millet and Kutki millet — tribal staple crops</t>
  </si>
  <si>
    <t>Goa</t>
  </si>
  <si>
    <t>Cashew is the most important cash crop — Goa is one of India's top cashew producers | Kokum (Garcinia) is a unique fruit grown only in Goa / Konkan region | Feni (cashew &amp; coconut spirit) is a GI-tagged product</t>
  </si>
  <si>
    <t>Largest producer of Cotton in India | Largest producer of Groundnut in India | Largest producer of Castor in India (world's largest castor exporter)</t>
  </si>
  <si>
    <t>Haryana</t>
  </si>
  <si>
    <t>Part of the 'Green Revolution' heartland with Punjab | One of the top Mustard producers in India | Major Sunflower producing state</t>
  </si>
  <si>
    <t>Himachal Pradesh</t>
  </si>
  <si>
    <t>Apple capital of India — Himachali Apple is renowned worldwide | Kangra Tea — GI tagged; second oldest tea garden in India | Hops cultivation for beer — unique to India</t>
  </si>
  <si>
    <t>Jharkhand</t>
  </si>
  <si>
    <t>Rich in tribal agriculture — over 132 varieties of traditional rice | Leading producer of Lac (shellac) in India | Tasar Silk unique to Jharkhand and neighbouring states</t>
  </si>
  <si>
    <t>Karnataka</t>
  </si>
  <si>
    <t>Largest producer of Coffee, Raw Silk &amp; Ragi in India | Second in horticulture production nationally — 40% state income from horticulture | GI tags: Coorg Arabica Coffee, Mysore Silk, Udupi Jasmine, Bangalore Rose Onion</t>
  </si>
  <si>
    <t>Kerala</t>
  </si>
  <si>
    <t>Spice capital of India — Black Pepper, Cardamom, Clove, Nutmeg, Cinnamon | Largest producer of Rubber in India | Largest producer of Coconut in India</t>
  </si>
  <si>
    <t>Largest producer of Soybean in India | Largest producer of Pulses in India | Largest producer of Garlic in India (Mandsaur is garlic hub)</t>
  </si>
  <si>
    <t>Largest producer of Onion in India | Second largest producer of Sugarcane | Nashik is wine capital — Cabernet Sauvignon, Shiraz grapes grown</t>
  </si>
  <si>
    <t>Manipur</t>
  </si>
  <si>
    <t>Loktak Lake region unique for floating (phumdi) agriculture | Naga Mircha / King Chilli (Bhut Jolokia variant) grown here | Kang (maize) and rice are cultural staples</t>
  </si>
  <si>
    <t>Meghalaya</t>
  </si>
  <si>
    <t>Highest rainfall in the world (Cherrapunji / Mawsynram) — unique crops | Khasi Mandarin Orange — GI tagged | Major pineapple and ginger exporter from NE India</t>
  </si>
  <si>
    <t>Mizoram</t>
  </si>
  <si>
    <t>Entirely hilly state — jhum (shifting) cultivation historically practiced | Dragon Fruit hub emerging in Hnahlan village | Passion Fruit and Anthurium are key horticulture exports</t>
  </si>
  <si>
    <t>Nagaland</t>
  </si>
  <si>
    <t>Naga Mircha (King Chilli / Ghost Pepper) — world's hottest chilli | Traditional rice biodiversity: over 400 local cultivars documented | Hornbill Organic Farmers' Association promoting organic agriculture</t>
  </si>
  <si>
    <t>Odisha</t>
  </si>
  <si>
    <t>Largest producer of Sweet Potato &amp; Pumpkin in India | 2nd largest producer of Brinjal &amp; Cabbage in India | Kandhamal Turmeric &amp; Phulbani/Kalinga Baby Potato — GI tagged</t>
  </si>
  <si>
    <t>Punjab</t>
  </si>
  <si>
    <t>Called 'Granary of India' — contributes ~33% of India's wheat to central pool | Highest cropping intensity in India — wheat-rice rotation | Kinnow (mandarin) from Abohar — major export fruit</t>
  </si>
  <si>
    <t>Largest producer of Bajra (Pearl Millet) in India | Largest producer of Mustard in India | Largest producer of Cumin (Jeera) &amp; Fenugreek in India</t>
  </si>
  <si>
    <t>Sikkim</t>
  </si>
  <si>
    <t>First 100% Organic State in India (certified in 2016) | Largest producer of Cardamom (Large) in India | Entire agriculture certified organic — no chemical fertilizer used</t>
  </si>
  <si>
    <t>Tamil Nadu</t>
  </si>
  <si>
    <t>Largest producer of Coconut &amp; Banana in India | Nilgiris Tea (CTC &amp; Orthodox) — GI tagged | Salem Mango, Erodal Turmeric, Dindigul Jasmine — major horticultural GIs</t>
  </si>
  <si>
    <t>Telangana</t>
  </si>
  <si>
    <t>Called 'Rice Bowl of South India' — major contributor to central pool | Sarees are woven using local silk; sericulture important in Warangal | Karimnagar Turmeric — GI tagged; Palamur Jowar — notable heritage grain</t>
  </si>
  <si>
    <t>Tripura</t>
  </si>
  <si>
    <t>Second largest rubber producing state after Kerala | Queen Pineapple from Cachar / Tripura — distinctive variety | Bamboo economy — 3rd most forested state in NE</t>
  </si>
  <si>
    <t>Largest producer of Wheat, Sugarcane, Potato &amp; Food Grains in India | Largest producer of Mango in India — Dussehri (GI), Langra, Chausa | Largest producer of Guava, Aonla, Litchi (Muzaffarpur variety) in India</t>
  </si>
  <si>
    <t>Uttarakhand</t>
  </si>
  <si>
    <t>Basmati Rice from Dehradun — GI tagged; traditional varieties | Red Rice of Uttarakhand is a premium heritage variety | Mandua (Finger Millet) is cultural food staple of hill communities</t>
  </si>
  <si>
    <t>#1 Rice producing state in India | Darjeeling Tea — GI tagged; world's most famous tea | Largest producer of Jute, Potato &amp; Vegetables in India</t>
  </si>
  <si>
    <t>Jammu &amp; Kashmir</t>
  </si>
  <si>
    <t>Saffron (Pampore / Kashmir Saffron — GI) — world's finest quality | Kashmir Apple — 5 lakh MT/year; Kashmiri Walnut &amp; Almond world-class | Basmati Rice grown in Jammu region</t>
  </si>
  <si>
    <t>🌾  Andhra Pradesh — Crop Database</t>
  </si>
  <si>
    <t>★  Leading producer of Bananas, Chilli, Papaya &amp; Tobacco in India</t>
  </si>
  <si>
    <t>★  Banaganapalle Mango, Guntur Sannam Chilli, Araku Valley Coffee — GI tagged</t>
  </si>
  <si>
    <t>★  Oil Palm emerging as key plantation crop in coastal districts</t>
  </si>
  <si>
    <t>Category</t>
  </si>
  <si>
    <t>Crop Name</t>
  </si>
  <si>
    <t>Notes / Significance</t>
  </si>
  <si>
    <t>State</t>
  </si>
  <si>
    <t>Recommended N:P2O5:K2O Ratio</t>
  </si>
  <si>
    <t>Recommended N</t>
  </si>
  <si>
    <t>Recommended P2O5</t>
  </si>
  <si>
    <t>Recommended K2O</t>
  </si>
  <si>
    <t>Nitrogen from DAP (kg/ha)</t>
  </si>
  <si>
    <t>MOP (kg/ha)</t>
  </si>
  <si>
    <t xml:space="preserve">  CEREALS &amp; MILLETS</t>
  </si>
  <si>
    <t>Cereals &amp; Millets</t>
  </si>
  <si>
    <t>Rice (Paddy)</t>
  </si>
  <si>
    <t>150:50:50</t>
  </si>
  <si>
    <t>Maize</t>
  </si>
  <si>
    <t>150:75:75</t>
  </si>
  <si>
    <t>Jowar (Sorghum)</t>
  </si>
  <si>
    <t>80:40:40</t>
  </si>
  <si>
    <t>Bajra (Pearl Millet)</t>
  </si>
  <si>
    <t>40:20:20</t>
  </si>
  <si>
    <t>Ragi (Finger Millet)</t>
  </si>
  <si>
    <t>Foxtail Millet (Korra)</t>
  </si>
  <si>
    <t>Little Millet</t>
  </si>
  <si>
    <t>20:20:10</t>
  </si>
  <si>
    <t>Sama Millet</t>
  </si>
  <si>
    <t xml:space="preserve">  PULSES</t>
  </si>
  <si>
    <t>Pulses</t>
  </si>
  <si>
    <t>Red Gram (Arhar/Pigeon Pea)</t>
  </si>
  <si>
    <t>25:50:30</t>
  </si>
  <si>
    <t>Black Gram (Urad)</t>
  </si>
  <si>
    <t>20:40:20</t>
  </si>
  <si>
    <t>Green Gram (Moong)</t>
  </si>
  <si>
    <t>Bengal Gram (Chickpea)</t>
  </si>
  <si>
    <t>Horse Gram</t>
  </si>
  <si>
    <t>10:20:10</t>
  </si>
  <si>
    <t>Cowpea</t>
  </si>
  <si>
    <t>Lentil (Masoor)</t>
  </si>
  <si>
    <t xml:space="preserve">  OILSEEDS</t>
  </si>
  <si>
    <t>Oilseeds</t>
  </si>
  <si>
    <t>Groundnut</t>
  </si>
  <si>
    <t>20:40:40</t>
  </si>
  <si>
    <t>Castor</t>
  </si>
  <si>
    <t>Sunflower</t>
  </si>
  <si>
    <t>60:90:60</t>
  </si>
  <si>
    <t>Sesame (Til)</t>
  </si>
  <si>
    <t>Mustard</t>
  </si>
  <si>
    <t>Soybean</t>
  </si>
  <si>
    <t>20:60:40</t>
  </si>
  <si>
    <t>Oil Palm</t>
  </si>
  <si>
    <t>1200:600:2700</t>
  </si>
  <si>
    <t xml:space="preserve">  CASH CROPS</t>
  </si>
  <si>
    <t>Cash Crops</t>
  </si>
  <si>
    <t>Sugarcane</t>
  </si>
  <si>
    <t>280:90:90</t>
  </si>
  <si>
    <t>Cotton</t>
  </si>
  <si>
    <t>100:50:50</t>
  </si>
  <si>
    <t>Tobacco</t>
  </si>
  <si>
    <t xml:space="preserve">  FRUITS</t>
  </si>
  <si>
    <t>Fruits</t>
  </si>
  <si>
    <t>Mango (Banaganapalle, Totapuri, Langra)</t>
  </si>
  <si>
    <t>100:100:150</t>
  </si>
  <si>
    <t>Banana</t>
  </si>
  <si>
    <t>110:35:330</t>
  </si>
  <si>
    <t>Papaya</t>
  </si>
  <si>
    <t>100:100:100</t>
  </si>
  <si>
    <t>Guava</t>
  </si>
  <si>
    <t>Pomegranate</t>
  </si>
  <si>
    <t>600:500:1200</t>
  </si>
  <si>
    <t>Sweet Orange / Citrus</t>
  </si>
  <si>
    <t>600:200:300</t>
  </si>
  <si>
    <t>Grape</t>
  </si>
  <si>
    <t>40:24:80</t>
  </si>
  <si>
    <t>Watermelon</t>
  </si>
  <si>
    <t>55:55:55</t>
  </si>
  <si>
    <t>Muskmelon</t>
  </si>
  <si>
    <t>80:60:30</t>
  </si>
  <si>
    <t>Coconut</t>
  </si>
  <si>
    <t>560:320:1200</t>
  </si>
  <si>
    <t>Sapota (Chiku)</t>
  </si>
  <si>
    <t>Lime / Lemon</t>
  </si>
  <si>
    <t>Tamarind</t>
  </si>
  <si>
    <t>75:60:50 (g/tree/yr, approx.)</t>
  </si>
  <si>
    <t>Cashew</t>
  </si>
  <si>
    <t>500:200:300</t>
  </si>
  <si>
    <t>Jackfruit</t>
  </si>
  <si>
    <t>75:40:50</t>
  </si>
  <si>
    <t>Avocado (trial)</t>
  </si>
  <si>
    <t>2:1:2 (mature tree ratio)</t>
  </si>
  <si>
    <t>Cocoa</t>
  </si>
  <si>
    <t>100:96:140</t>
  </si>
  <si>
    <t xml:space="preserve">  VEGETABLES</t>
  </si>
  <si>
    <t>Vegetables</t>
  </si>
  <si>
    <t>Tomato</t>
  </si>
  <si>
    <t>150:100:50</t>
  </si>
  <si>
    <t>Brinjal (Eggplant)</t>
  </si>
  <si>
    <t>100:50:30</t>
  </si>
  <si>
    <t>Okra (Bhindi)</t>
  </si>
  <si>
    <t>40:50:30</t>
  </si>
  <si>
    <t>Chilli</t>
  </si>
  <si>
    <t>120:60:30</t>
  </si>
  <si>
    <t>Onion</t>
  </si>
  <si>
    <t>100:150:75</t>
  </si>
  <si>
    <t>Cabbage</t>
  </si>
  <si>
    <t>100:125:25</t>
  </si>
  <si>
    <t>Cauliflower</t>
  </si>
  <si>
    <t>100:100:50</t>
  </si>
  <si>
    <t>Beans</t>
  </si>
  <si>
    <t>50:50:50</t>
  </si>
  <si>
    <t>Cucumber</t>
  </si>
  <si>
    <t>120:60:60 (kg/ha, fertigation trial RDF)</t>
  </si>
  <si>
    <t>Bitter Gourd</t>
  </si>
  <si>
    <t>6:12:12</t>
  </si>
  <si>
    <t>Ridge Gourd</t>
  </si>
  <si>
    <t>Bottle Gourd</t>
  </si>
  <si>
    <t>Pumpkin</t>
  </si>
  <si>
    <t>Snake Gourd</t>
  </si>
  <si>
    <t>Capsicum</t>
  </si>
  <si>
    <t>160:60:30</t>
  </si>
  <si>
    <t>Drumstick (Moringa)</t>
  </si>
  <si>
    <t>100:50:50 (g/plant/yr, approx.)</t>
  </si>
  <si>
    <t>Leafy Greens</t>
  </si>
  <si>
    <t>60:60:60</t>
  </si>
  <si>
    <t xml:space="preserve">  SPICES</t>
  </si>
  <si>
    <t>Spices</t>
  </si>
  <si>
    <t>Chilli (Guntur Sannam — GI)</t>
  </si>
  <si>
    <t>Turmeric</t>
  </si>
  <si>
    <t>25:60:18</t>
  </si>
  <si>
    <t>Coriander</t>
  </si>
  <si>
    <t>Cumin</t>
  </si>
  <si>
    <t>Black Pepper</t>
  </si>
  <si>
    <t>100:40:140</t>
  </si>
  <si>
    <t>Betel Leaf</t>
  </si>
  <si>
    <t>150:100:30</t>
  </si>
  <si>
    <t xml:space="preserve">  PLANTATION CROPS</t>
  </si>
  <si>
    <t>Plantation Crops</t>
  </si>
  <si>
    <t>Areca Nut</t>
  </si>
  <si>
    <t>100:40:150</t>
  </si>
  <si>
    <t>Rubber (limited)</t>
  </si>
  <si>
    <t>12:6:6</t>
  </si>
  <si>
    <t xml:space="preserve">  FLOWERS</t>
  </si>
  <si>
    <t>Flowers</t>
  </si>
  <si>
    <t>Rose</t>
  </si>
  <si>
    <t>Marigold</t>
  </si>
  <si>
    <t>90:90:75</t>
  </si>
  <si>
    <t>Jasmine</t>
  </si>
  <si>
    <t>60:120:120</t>
  </si>
  <si>
    <t>Chrysanthemum</t>
  </si>
  <si>
    <t>125:120:25</t>
  </si>
  <si>
    <t>Tuberose</t>
  </si>
  <si>
    <t>200:200:200</t>
  </si>
  <si>
    <t>Crossandra</t>
  </si>
  <si>
    <t>75:50:125</t>
  </si>
  <si>
    <t>🌾  Arunachal Pradesh — Crop Database</t>
  </si>
  <si>
    <t>★  Richest biodiversity in India — part of Indo-Myanmar hotspot</t>
  </si>
  <si>
    <t>★  State Organic Mission declared in 2017</t>
  </si>
  <si>
    <t>★  Kiwi, Dragon Fruit emerging as high-value crops</t>
  </si>
  <si>
    <t>Rice (Wet &amp; Dry/Upland)</t>
  </si>
  <si>
    <t>Buckwheat</t>
  </si>
  <si>
    <t>40:20:20 (kg/ha, approx.)</t>
  </si>
  <si>
    <t>Millet (various minor millets)</t>
  </si>
  <si>
    <t>Wheat (limited)</t>
  </si>
  <si>
    <t>120:60:40</t>
  </si>
  <si>
    <t>Black Gram</t>
  </si>
  <si>
    <t>Green Gram</t>
  </si>
  <si>
    <t>Sesame</t>
  </si>
  <si>
    <t>Linseed</t>
  </si>
  <si>
    <t>Rubber</t>
  </si>
  <si>
    <t>Jute (limited)</t>
  </si>
  <si>
    <t>60:30:30</t>
  </si>
  <si>
    <t>Orange (Mandarin)</t>
  </si>
  <si>
    <t>600:200:400</t>
  </si>
  <si>
    <t>Apple</t>
  </si>
  <si>
    <t>500:1000:1000</t>
  </si>
  <si>
    <t>Kiwi</t>
  </si>
  <si>
    <t>875:550:850</t>
  </si>
  <si>
    <t>Pineapple</t>
  </si>
  <si>
    <t>16:4:12</t>
  </si>
  <si>
    <t>Plum</t>
  </si>
  <si>
    <t>Peach</t>
  </si>
  <si>
    <t>Pear</t>
  </si>
  <si>
    <t>Litchi</t>
  </si>
  <si>
    <t>100:40:400</t>
  </si>
  <si>
    <t>Mango</t>
  </si>
  <si>
    <t>Avocado</t>
  </si>
  <si>
    <t>Passion Fruit</t>
  </si>
  <si>
    <t>20:20:15</t>
  </si>
  <si>
    <t>Dragon Fruit</t>
  </si>
  <si>
    <t>400:300:650 (g/pillar/yr, 4 plants/pillar)</t>
  </si>
  <si>
    <t>Walnut</t>
  </si>
  <si>
    <t>90:60:80 (kg/ha equiv., approx.)</t>
  </si>
  <si>
    <t>Citrus (various)</t>
  </si>
  <si>
    <t>Potato</t>
  </si>
  <si>
    <t>120:240:120</t>
  </si>
  <si>
    <t>Ginger</t>
  </si>
  <si>
    <t>75:50:50</t>
  </si>
  <si>
    <t>Brinjal</t>
  </si>
  <si>
    <t>Okra</t>
  </si>
  <si>
    <t>Peas</t>
  </si>
  <si>
    <t>120:80:70</t>
  </si>
  <si>
    <t>Radish</t>
  </si>
  <si>
    <t>50:100:50</t>
  </si>
  <si>
    <t>Carrot</t>
  </si>
  <si>
    <t>135:135:135</t>
  </si>
  <si>
    <t>Colocasia</t>
  </si>
  <si>
    <t>40:60:120</t>
  </si>
  <si>
    <t>Yam</t>
  </si>
  <si>
    <t>90:60:240</t>
  </si>
  <si>
    <t>Cardamom</t>
  </si>
  <si>
    <t>75:75:150</t>
  </si>
  <si>
    <t>Large Cardamom</t>
  </si>
  <si>
    <t>Cinnamon</t>
  </si>
  <si>
    <t>200:180:250</t>
  </si>
  <si>
    <t>Tea</t>
  </si>
  <si>
    <t>220:45:180 (kg/ha/yr, approx. midpoint)</t>
  </si>
  <si>
    <t>Coffee</t>
  </si>
  <si>
    <t>135:34:145 (kg/ha/yr)</t>
  </si>
  <si>
    <t>Orchid</t>
  </si>
  <si>
    <t>20:10:10</t>
  </si>
  <si>
    <t>Anthurium</t>
  </si>
  <si>
    <t>30:10:10</t>
  </si>
  <si>
    <t>🌾  Assam — Crop Database</t>
  </si>
  <si>
    <t>★  Largest tea producer in India — Assam CTC tea is world-famous</t>
  </si>
  <si>
    <t>★  Fourth largest jute producer after WB, Bihar, Assam</t>
  </si>
  <si>
    <t>★  Assam Lakhi Muga Silk — only place in world for golden silk</t>
  </si>
  <si>
    <t>Rice (Ahu, Sali, Boro — 3 seasons)</t>
  </si>
  <si>
    <t>Minor Millets</t>
  </si>
  <si>
    <t>Arhar</t>
  </si>
  <si>
    <t>Lentil</t>
  </si>
  <si>
    <t>Mustard / Rapeseed</t>
  </si>
  <si>
    <t>Jute</t>
  </si>
  <si>
    <t>Silk (Mulberry &amp; Muga)</t>
  </si>
  <si>
    <t>N/A — sericulture output, not a fertilized crop</t>
  </si>
  <si>
    <t>Lemon / Lime</t>
  </si>
  <si>
    <t>400:200:300</t>
  </si>
  <si>
    <t>Arecanut</t>
  </si>
  <si>
    <t>Garlic</t>
  </si>
  <si>
    <t>75:75:75</t>
  </si>
  <si>
    <t>Betel Nut</t>
  </si>
  <si>
    <t>🌾  Bihar — Crop Database</t>
  </si>
  <si>
    <t>★  Largest producer of Litchi in India (Shahi Litchi — GI tagged)</t>
  </si>
  <si>
    <t>★  Major producer of Makhana (Fox Nut) — unique to Bihar</t>
  </si>
  <si>
    <t>★  Mango varieties include Jardalu (GI tagged)</t>
  </si>
  <si>
    <t>Wheat</t>
  </si>
  <si>
    <t>Barley</t>
  </si>
  <si>
    <t>60:30:20</t>
  </si>
  <si>
    <t>Bajra</t>
  </si>
  <si>
    <t>Jowar</t>
  </si>
  <si>
    <t>Arhar (Tur)</t>
  </si>
  <si>
    <t>Gram (Chickpea)</t>
  </si>
  <si>
    <t>Moong</t>
  </si>
  <si>
    <t>Urad</t>
  </si>
  <si>
    <t>Khesari</t>
  </si>
  <si>
    <t>Makhana (Fox Nut)</t>
  </si>
  <si>
    <t>100:60:40 (kg/ha, approx.)</t>
  </si>
  <si>
    <t>Litchi (Shahi — GI)</t>
  </si>
  <si>
    <t>Mango (Jardalu — GI)</t>
  </si>
  <si>
    <t>Custard Apple</t>
  </si>
  <si>
    <t>Ber (Indian Jujube)</t>
  </si>
  <si>
    <t>500:200:500</t>
  </si>
  <si>
    <t>Spinach</t>
  </si>
  <si>
    <t>125:90:50 (kg/ha, approx.)</t>
  </si>
  <si>
    <t>Drumstick</t>
  </si>
  <si>
    <t>Coconut (limited)</t>
  </si>
  <si>
    <t>🌾  Chhattisgarh — Crop Database</t>
  </si>
  <si>
    <t>★  Called 'Rice Bowl of Central India' — over 40% area under rice</t>
  </si>
  <si>
    <t>★  Over 20,000 varieties of traditional rice conserved</t>
  </si>
  <si>
    <t>★  Kodo millet and Kutki millet — tribal staple crops</t>
  </si>
  <si>
    <t>Rice (Paddy — multiple varieties)</t>
  </si>
  <si>
    <t>Kodo Millet</t>
  </si>
  <si>
    <t>Kutki (Little Millet)</t>
  </si>
  <si>
    <t>Ragi</t>
  </si>
  <si>
    <t>Barnyard Millet</t>
  </si>
  <si>
    <t>Kulthi</t>
  </si>
  <si>
    <t>Cotton (limited)</t>
  </si>
  <si>
    <t>Ber</t>
  </si>
  <si>
    <t>Citrus</t>
  </si>
  <si>
    <t>Sweet Potato</t>
  </si>
  <si>
    <t>40:80:120</t>
  </si>
  <si>
    <t>🌾  Goa — Crop Database</t>
  </si>
  <si>
    <t>★  Cashew is the most important cash crop — Goa is one of India's top cashew producers</t>
  </si>
  <si>
    <t>★  Kokum (Garcinia) is a unique fruit grown only in Goa / Konkan region</t>
  </si>
  <si>
    <t>★  Feni (cashew &amp; coconut spirit) is a GI-tagged product</t>
  </si>
  <si>
    <t>Nachni (Ragi)</t>
  </si>
  <si>
    <t>Jowar (limited)</t>
  </si>
  <si>
    <t>Coconut (oil)</t>
  </si>
  <si>
    <t>Groundnut (limited)</t>
  </si>
  <si>
    <t>Mango (Alphonso, Mankurad)</t>
  </si>
  <si>
    <t>Kokum (Garcinia)</t>
  </si>
  <si>
    <t>Sapota</t>
  </si>
  <si>
    <t>Clove</t>
  </si>
  <si>
    <t>300:300:960</t>
  </si>
  <si>
    <t>Nutmeg</t>
  </si>
  <si>
    <t>🌾  Gujarat — Crop Database</t>
  </si>
  <si>
    <t>★  Largest producer of Cotton in India</t>
  </si>
  <si>
    <t>★  Largest producer of Groundnut in India</t>
  </si>
  <si>
    <t>★  Largest producer of Castor in India (world's largest castor exporter)</t>
  </si>
  <si>
    <t>Groundnut (dual use)</t>
  </si>
  <si>
    <t>Tur (Pigeon Pea)</t>
  </si>
  <si>
    <t>Isabgol (Psyllium)</t>
  </si>
  <si>
    <t>30:20:20</t>
  </si>
  <si>
    <t>Mango (Kesar — GI)</t>
  </si>
  <si>
    <t>Chiku (Sapota)</t>
  </si>
  <si>
    <t>Dates (limited)</t>
  </si>
  <si>
    <t>1000:1000:1500 (g/tree/yr, approx.)</t>
  </si>
  <si>
    <t>Coconut (coastal)</t>
  </si>
  <si>
    <t>Cluster Beans (Guar)</t>
  </si>
  <si>
    <t>50:50:25</t>
  </si>
  <si>
    <t>Cumin (Jeera)</t>
  </si>
  <si>
    <t>Fennel (Saunf)</t>
  </si>
  <si>
    <t>Ajwain</t>
  </si>
  <si>
    <t>Fenugreek</t>
  </si>
  <si>
    <t>50:25:40</t>
  </si>
  <si>
    <t>Isabgol</t>
  </si>
  <si>
    <t>Methi</t>
  </si>
  <si>
    <t>Date Palm (limited)</t>
  </si>
  <si>
    <t>Gladiolus</t>
  </si>
  <si>
    <t>120:150:150</t>
  </si>
  <si>
    <t>🌾  Haryana — Crop Database</t>
  </si>
  <si>
    <t>★  Part of the 'Green Revolution' heartland with Punjab</t>
  </si>
  <si>
    <t>★  One of the top Mustard producers in India</t>
  </si>
  <si>
    <t>★  Major Sunflower producing state</t>
  </si>
  <si>
    <t>Aonla (Amla)</t>
  </si>
  <si>
    <t>200:500:200</t>
  </si>
  <si>
    <t>Fenugreek (Methi)</t>
  </si>
  <si>
    <t>Fennel</t>
  </si>
  <si>
    <t>Eucalyptus (commercial forestry)</t>
  </si>
  <si>
    <t>N/A — not conventionally NPK-fertilized</t>
  </si>
  <si>
    <t>🌾  Himachal Pradesh — Crop Database</t>
  </si>
  <si>
    <t>★  Apple capital of India — Himachali Apple is renowned worldwide</t>
  </si>
  <si>
    <t>★  Kangra Tea — GI tagged; second oldest tea garden in India</t>
  </si>
  <si>
    <t>★  Hops cultivation for beer — unique to India</t>
  </si>
  <si>
    <t>Rice (limited, lower altitudes)</t>
  </si>
  <si>
    <t>Oats</t>
  </si>
  <si>
    <t>85:35:40 (kg/ha, single-cut fodder)</t>
  </si>
  <si>
    <t>Rajma (Kidney Bean — Chamba Rajma GI)</t>
  </si>
  <si>
    <t>Gram</t>
  </si>
  <si>
    <t>Sunflower (limited)</t>
  </si>
  <si>
    <t>Hops</t>
  </si>
  <si>
    <t>100:50:50 (kg/ha, approx.)</t>
  </si>
  <si>
    <t>Mushroom</t>
  </si>
  <si>
    <t>N/A — substrate-grown, not soil/NPK-fertilized</t>
  </si>
  <si>
    <t>Medicinal herbs</t>
  </si>
  <si>
    <t>N/A — generic bucket label, not a single crop</t>
  </si>
  <si>
    <t>Apple (Shimla Apple — GI)</t>
  </si>
  <si>
    <t>Apricot</t>
  </si>
  <si>
    <t>500:250:200</t>
  </si>
  <si>
    <t>Cherry</t>
  </si>
  <si>
    <t>80:40:80 (kg/ha equiv., approx.)</t>
  </si>
  <si>
    <t>Almond</t>
  </si>
  <si>
    <t>330:45:455 (g/tree/yr)</t>
  </si>
  <si>
    <t>Chestnut</t>
  </si>
  <si>
    <t>80:45:85 (kg/ha equiv., approx.)</t>
  </si>
  <si>
    <t>Strawberry</t>
  </si>
  <si>
    <t>8:8:8</t>
  </si>
  <si>
    <t>Grape (limited)</t>
  </si>
  <si>
    <t>Potato (seed potato — high quality)</t>
  </si>
  <si>
    <t>Turnip</t>
  </si>
  <si>
    <t>180:125:100</t>
  </si>
  <si>
    <t>Cardamom (small)</t>
  </si>
  <si>
    <t>Turmeric (limited)</t>
  </si>
  <si>
    <t>Tea (Kangra Tea — GI)</t>
  </si>
  <si>
    <t>Carnation</t>
  </si>
  <si>
    <t>100:60:75 (approx. combined, see note)</t>
  </si>
  <si>
    <t>Lily</t>
  </si>
  <si>
    <t>150:100:100 (kg/ha, approx.)</t>
  </si>
  <si>
    <t>Gerbera</t>
  </si>
  <si>
    <t>🌾  Jammu &amp; Kashmir — Crop Database</t>
  </si>
  <si>
    <t>★  Saffron (Pampore / Kashmir Saffron — GI) — world's finest quality</t>
  </si>
  <si>
    <t>★  Kashmir Apple — 5 lakh MT/year; Kashmiri Walnut &amp; Almond world-class</t>
  </si>
  <si>
    <t>★  Basmati Rice grown in Jammu region</t>
  </si>
  <si>
    <t>Rice (Basmati — Jammu region)</t>
  </si>
  <si>
    <t>Rajma (Kidney Bean)</t>
  </si>
  <si>
    <t>Sesame (limited)</t>
  </si>
  <si>
    <t>Saffron (Pampore — GI)</t>
  </si>
  <si>
    <t>90:60:60</t>
  </si>
  <si>
    <t>Apple (Kashmiri Apple)</t>
  </si>
  <si>
    <t>Cherry (Kashmiri)</t>
  </si>
  <si>
    <t>Walnut (#1 in India)</t>
  </si>
  <si>
    <t>Quince</t>
  </si>
  <si>
    <t>75:40:75 (kg/ha equiv., approx.)</t>
  </si>
  <si>
    <t>Hazelnut</t>
  </si>
  <si>
    <t>Pomegranate (Jammu)</t>
  </si>
  <si>
    <t>Mulberry</t>
  </si>
  <si>
    <t>300:120:120 (kg/ha/yr, approx.)</t>
  </si>
  <si>
    <t>Saffron (#1 in India — GI)</t>
  </si>
  <si>
    <t>Turmeric (Jammu)</t>
  </si>
  <si>
    <t>Tulip (largest garden in Asia — Indira Gandhi Tulip Garden)</t>
  </si>
  <si>
    <t>Lotus</t>
  </si>
  <si>
    <t>80:40:40 (kg/ha, approx.)</t>
  </si>
  <si>
    <t>Saffron</t>
  </si>
  <si>
    <t>🌾  Jharkhand — Crop Database</t>
  </si>
  <si>
    <t>★  Rich in tribal agriculture — over 132 varieties of traditional rice</t>
  </si>
  <si>
    <t>★  Leading producer of Lac (shellac) in India</t>
  </si>
  <si>
    <t>★  Tasar Silk unique to Jharkhand and neighbouring states</t>
  </si>
  <si>
    <t>Lac</t>
  </si>
  <si>
    <t>N/A — insect resin, not a fertilized crop</t>
  </si>
  <si>
    <t>Tasar Silk</t>
  </si>
  <si>
    <t>Aonla</t>
  </si>
  <si>
    <t>Rubber (trial)</t>
  </si>
  <si>
    <t>🌾  Karnataka — Crop Database</t>
  </si>
  <si>
    <t>★  Largest producer of Coffee, Raw Silk &amp; Ragi in India</t>
  </si>
  <si>
    <t>★  Second in horticulture production nationally — 40% state income from horticulture</t>
  </si>
  <si>
    <t>★  GI tags: Coorg Arabica Coffee, Mysore Silk, Udupi Jasmine, Bangalore Rose Onion</t>
  </si>
  <si>
    <t>Ragi (Finger Millet — #1 producer)</t>
  </si>
  <si>
    <t>Foxtail Millet</t>
  </si>
  <si>
    <t>Red Gram (Tur)</t>
  </si>
  <si>
    <t>Chickpea (Gram)</t>
  </si>
  <si>
    <t>Field Pea</t>
  </si>
  <si>
    <t>Niger seed</t>
  </si>
  <si>
    <t>Mulberry (Silk)</t>
  </si>
  <si>
    <t>Grapes (wine &amp; table)</t>
  </si>
  <si>
    <t>Orange / Citrus</t>
  </si>
  <si>
    <t>Tomato (#1 producer India)</t>
  </si>
  <si>
    <t>Onion (Rose Onion — GI)</t>
  </si>
  <si>
    <t>Gherkin (export crop)</t>
  </si>
  <si>
    <t>150:75:100</t>
  </si>
  <si>
    <t>Coffee (Arabica, Robusta)</t>
  </si>
  <si>
    <t>Vanilla</t>
  </si>
  <si>
    <t>50:25:80</t>
  </si>
  <si>
    <t>Dry Chilli</t>
  </si>
  <si>
    <t>Coffee (#1 producer India)</t>
  </si>
  <si>
    <t>Areca Nut (#1 producer India)</t>
  </si>
  <si>
    <t>Tea (Coorg)</t>
  </si>
  <si>
    <t>Jasmine (Udupi — GI)</t>
  </si>
  <si>
    <t>Aster</t>
  </si>
  <si>
    <t>70:175:75</t>
  </si>
  <si>
    <t>🌾  Kerala — Crop Database</t>
  </si>
  <si>
    <t>★  Spice capital of India — Black Pepper, Cardamom, Clove, Nutmeg, Cinnamon</t>
  </si>
  <si>
    <t>★  Largest producer of Rubber in India</t>
  </si>
  <si>
    <t>★  Largest producer of Coconut in India</t>
  </si>
  <si>
    <t>Rice (Paddy — Palakkad region)</t>
  </si>
  <si>
    <t>Tapioca (Cassava — staple in tribal areas)</t>
  </si>
  <si>
    <t>90:90:240</t>
  </si>
  <si>
    <t>Rubber (#1 in India)</t>
  </si>
  <si>
    <t>Banana (Nendran, Robusta, Rasthali)</t>
  </si>
  <si>
    <t>Citrus / Lime</t>
  </si>
  <si>
    <t>Breadfruit</t>
  </si>
  <si>
    <t>7:10:5</t>
  </si>
  <si>
    <t>Rambutan</t>
  </si>
  <si>
    <t>Durian</t>
  </si>
  <si>
    <t>38.3:8.2:20.9</t>
  </si>
  <si>
    <t>Mangosteen</t>
  </si>
  <si>
    <t>1000:800:3000</t>
  </si>
  <si>
    <t>Tapioca</t>
  </si>
  <si>
    <t>Yam / Elephant Yam</t>
  </si>
  <si>
    <t>Ash Gourd</t>
  </si>
  <si>
    <t>Ivy Gourd</t>
  </si>
  <si>
    <t>75:40:75</t>
  </si>
  <si>
    <t>Raw Banana</t>
  </si>
  <si>
    <t>Black Pepper (#1 in India)</t>
  </si>
  <si>
    <t>Cardamom (Idukki — #1 in India)</t>
  </si>
  <si>
    <t>Nutmeg / Mace</t>
  </si>
  <si>
    <t>Curry Leaf</t>
  </si>
  <si>
    <t>50:25:25 (g/plant/yr, approx.)</t>
  </si>
  <si>
    <t>Garcinia (Kudampuli)</t>
  </si>
  <si>
    <t>Heliconia</t>
  </si>
  <si>
    <t>100:50:100 (kg/ha, approx.)</t>
  </si>
  <si>
    <t>🌾  Madhya Pradesh — Crop Database</t>
  </si>
  <si>
    <t>★  Largest producer of Soybean in India</t>
  </si>
  <si>
    <t>★  Largest producer of Pulses in India</t>
  </si>
  <si>
    <t>★  Largest producer of Garlic in India (Mandsaur is garlic hub)</t>
  </si>
  <si>
    <t>Chickpea (Gram — #1 in India)</t>
  </si>
  <si>
    <t>Pigeon Pea (Tur)</t>
  </si>
  <si>
    <t>Soybean (#1 in India)</t>
  </si>
  <si>
    <t>Niger Seed</t>
  </si>
  <si>
    <t>Opium (licensed)</t>
  </si>
  <si>
    <t>60:40:40</t>
  </si>
  <si>
    <t>Garlic (#1 in India)</t>
  </si>
  <si>
    <t>Teak (commercial agroforestry)</t>
  </si>
  <si>
    <t>🌾  Maharashtra — Crop Database</t>
  </si>
  <si>
    <t>★  Largest producer of Onion in India</t>
  </si>
  <si>
    <t>★  Second largest producer of Sugarcane</t>
  </si>
  <si>
    <t>★  Nashik is wine capital — Cabernet Sauvignon, Shiraz grapes grown</t>
  </si>
  <si>
    <t>Rice (Paddy — Konkan coast)</t>
  </si>
  <si>
    <t>Nachni</t>
  </si>
  <si>
    <t>Sugarcane (2nd in India)</t>
  </si>
  <si>
    <t>Mango (Alphonso / Hapus — GI)</t>
  </si>
  <si>
    <t>Grape (wine &amp; table — Nashik)</t>
  </si>
  <si>
    <t>Orange (Nagpur — GI)</t>
  </si>
  <si>
    <t>Fig</t>
  </si>
  <si>
    <t>Onion (#1 in India)</t>
  </si>
  <si>
    <t>Cluster Beans</t>
  </si>
  <si>
    <t>Turmeric (Sangli)</t>
  </si>
  <si>
    <t>Kokum</t>
  </si>
  <si>
    <t>Cashew (Konkan)</t>
  </si>
  <si>
    <t>Rubber (Konkan, limited)</t>
  </si>
  <si>
    <t>Rose (Pune)</t>
  </si>
  <si>
    <t>🌾  Manipur — Crop Database</t>
  </si>
  <si>
    <t>★  Loktak Lake region unique for floating (phumdi) agriculture</t>
  </si>
  <si>
    <t>★  Naga Mircha / King Chilli (Bhut Jolokia variant) grown here</t>
  </si>
  <si>
    <t>★  Kang (maize) and rice are cultural staples</t>
  </si>
  <si>
    <t>Rice (upland &amp; lowland)</t>
  </si>
  <si>
    <t>Barley (limited)</t>
  </si>
  <si>
    <t>Sugarcane (limited)</t>
  </si>
  <si>
    <t>Lemon</t>
  </si>
  <si>
    <t>Kiwi (trial)</t>
  </si>
  <si>
    <t>Chilli (Bhut Jolokia variant)</t>
  </si>
  <si>
    <t>Chilli (King Chilli / Umorok)</t>
  </si>
  <si>
    <t>Rubber (growing)</t>
  </si>
  <si>
    <t>Tea (limited)</t>
  </si>
  <si>
    <t>Orchid (Shirui Lily — GI / state flower)</t>
  </si>
  <si>
    <t>🌾  Meghalaya — Crop Database</t>
  </si>
  <si>
    <t>★  Highest rainfall in the world (Cherrapunji / Mawsynram) — unique crops</t>
  </si>
  <si>
    <t>★  Khasi Mandarin Orange — GI tagged</t>
  </si>
  <si>
    <t>★  Major pineapple and ginger exporter from NE India</t>
  </si>
  <si>
    <t>Rice (Kharif &amp; Rabi)</t>
  </si>
  <si>
    <t>Millet</t>
  </si>
  <si>
    <t>Ginger (major export)</t>
  </si>
  <si>
    <t>Orange (Khasi Mandarin — GI)</t>
  </si>
  <si>
    <t>Beans (French)</t>
  </si>
  <si>
    <t>Ginger (#1 NE producer)</t>
  </si>
  <si>
    <t>Coffee (limited)</t>
  </si>
  <si>
    <t>🌾  Mizoram — Crop Database</t>
  </si>
  <si>
    <t>★  Entirely hilly state — jhum (shifting) cultivation historically practiced</t>
  </si>
  <si>
    <t>★  Dragon Fruit hub emerging in Hnahlan village</t>
  </si>
  <si>
    <t>★  Passion Fruit and Anthurium are key horticulture exports</t>
  </si>
  <si>
    <t>Rice (valley &amp; jhum)</t>
  </si>
  <si>
    <t>Job's Tears</t>
  </si>
  <si>
    <t>Rajma</t>
  </si>
  <si>
    <t>Bamboo</t>
  </si>
  <si>
    <t>Orange / Mandarin</t>
  </si>
  <si>
    <t>Bird of Paradise</t>
  </si>
  <si>
    <t>🌾  Nagaland — Crop Database</t>
  </si>
  <si>
    <t>★  Naga Mircha (King Chilli / Ghost Pepper) — world's hottest chilli</t>
  </si>
  <si>
    <t>★  Traditional rice biodiversity: over 400 local cultivars documented</t>
  </si>
  <si>
    <t>★  Hornbill Organic Farmers' Association promoting organic agriculture</t>
  </si>
  <si>
    <t>Rice (400+ varieties)</t>
  </si>
  <si>
    <t>Millet (various)</t>
  </si>
  <si>
    <t>Rubber (emerging)</t>
  </si>
  <si>
    <t>Chilli (Ghost Pepper — Naga Mircha)</t>
  </si>
  <si>
    <t>Naga Mircha (King Chilli — GI)</t>
  </si>
  <si>
    <t>🌾  Odisha — Crop Database</t>
  </si>
  <si>
    <t>★  Largest producer of Sweet Potato &amp; Pumpkin in India</t>
  </si>
  <si>
    <t>★  2nd largest producer of Brinjal &amp; Cabbage in India</t>
  </si>
  <si>
    <t>★  Kandhamal Turmeric &amp; Phulbani/Kalinga Baby Potato — GI tagged</t>
  </si>
  <si>
    <t>Rice (Paddy — 44 lakh ha; 77% of cultivated area)</t>
  </si>
  <si>
    <t>Minor Millets (Kodo, Kutki)</t>
  </si>
  <si>
    <t>Buckwheat (tribal)</t>
  </si>
  <si>
    <t>Moong (Green Gram)</t>
  </si>
  <si>
    <t>Biri (Black Gram / Urad)</t>
  </si>
  <si>
    <t>Kulthi (Horse Gram)</t>
  </si>
  <si>
    <t>Oil Palm (Gajapati, Rayagada, Dhenkanal, Sundergarh)</t>
  </si>
  <si>
    <t>Jute (Cuttack, Balasore, Puri)</t>
  </si>
  <si>
    <t>Mesta</t>
  </si>
  <si>
    <t>Tobacco (Koraput)</t>
  </si>
  <si>
    <t xml:space="preserve">  FRUITS — LONG DURATION</t>
  </si>
  <si>
    <t>Fruits — Long Duration</t>
  </si>
  <si>
    <t>Mango (Bombay Green, Langra, Banaganapalli, Amrapali, Chausa)</t>
  </si>
  <si>
    <t>Rose Apple (1st variety in India — CHES)</t>
  </si>
  <si>
    <t>Amla (Aonla)</t>
  </si>
  <si>
    <t xml:space="preserve">  FRUITS — ANNUAL</t>
  </si>
  <si>
    <t>Fruits — Annual</t>
  </si>
  <si>
    <t>Brinjal (2nd in India)</t>
  </si>
  <si>
    <t>Cabbage (2nd in India)</t>
  </si>
  <si>
    <t>Okra (4th in India)</t>
  </si>
  <si>
    <t>Cauliflower (4th in India)</t>
  </si>
  <si>
    <t>Sweet Potato (#1 in India)</t>
  </si>
  <si>
    <t>Pumpkin (#1 in India)</t>
  </si>
  <si>
    <t>Potato (incl. Kalinga Baby Potato — GI)</t>
  </si>
  <si>
    <t>Bitter Gourd (4th in India)</t>
  </si>
  <si>
    <t>Pointed Gourd</t>
  </si>
  <si>
    <t>Amaranthus</t>
  </si>
  <si>
    <t>Cowpea (vegetable)</t>
  </si>
  <si>
    <t>Turmeric (Kandhamal — GI, Black Turmeric also)</t>
  </si>
  <si>
    <t>Mango Ginger</t>
  </si>
  <si>
    <t>75:50:50 (kg/ha, approx.)</t>
  </si>
  <si>
    <t>Rubber (Eastern Ghats)</t>
  </si>
  <si>
    <t>Coconut (coastal belt)</t>
  </si>
  <si>
    <t>Tea (Eastern Ghats)</t>
  </si>
  <si>
    <t>Coffee (Koraput, Kandhamal)</t>
  </si>
  <si>
    <t>🌾  Punjab — Crop Database</t>
  </si>
  <si>
    <t>★  Called 'Granary of India' — contributes ~33% of India's wheat to central pool</t>
  </si>
  <si>
    <t>★  Highest cropping intensity in India — wheat-rice rotation</t>
  </si>
  <si>
    <t>★  Kinnow (mandarin) from Abohar — major export fruit</t>
  </si>
  <si>
    <t>Wheat (#1 productivity in India)</t>
  </si>
  <si>
    <t>Kinnow (Mandarin — Abohar)</t>
  </si>
  <si>
    <t>Grapes</t>
  </si>
  <si>
    <t>Poplar (agroforestry)</t>
  </si>
  <si>
    <t>🌾  Rajasthan — Crop Database</t>
  </si>
  <si>
    <t>★  Largest producer of Bajra (Pearl Millet) in India</t>
  </si>
  <si>
    <t>★  Largest producer of Mustard in India</t>
  </si>
  <si>
    <t>★  Largest producer of Cumin (Jeera) &amp; Fenugreek in India</t>
  </si>
  <si>
    <t>Bajra (Pearl Millet — #1 in India)</t>
  </si>
  <si>
    <t>Rice (limited, irrigated)</t>
  </si>
  <si>
    <t>Moth Bean</t>
  </si>
  <si>
    <t>10:20:0</t>
  </si>
  <si>
    <t>Mustard / Rapeseed (#1 in India)</t>
  </si>
  <si>
    <t>Cotton (Rajasthan Bt cotton)</t>
  </si>
  <si>
    <t>Mango (limited)</t>
  </si>
  <si>
    <t>Citrus (Kota)</t>
  </si>
  <si>
    <t>Banana (limited)</t>
  </si>
  <si>
    <t>Grapes (limited)</t>
  </si>
  <si>
    <t>Methi (Fenugreek leaves)</t>
  </si>
  <si>
    <t>Cumin (Jeera — #1 in India)</t>
  </si>
  <si>
    <t>Coriander (#1 in India)</t>
  </si>
  <si>
    <t>Fenugreek (Methi — #1 in India)</t>
  </si>
  <si>
    <t>Date Palm (desert areas)</t>
  </si>
  <si>
    <t>🌾  Sikkim — Crop Database</t>
  </si>
  <si>
    <t>★  First 100% Organic State in India (certified in 2016)</t>
  </si>
  <si>
    <t>★  Largest producer of Cardamom (Large) in India</t>
  </si>
  <si>
    <t>★  Entire agriculture certified organic — no chemical fertilizer used</t>
  </si>
  <si>
    <t>Large Cardamom (#1 in India)</t>
  </si>
  <si>
    <t>Broccoli</t>
  </si>
  <si>
    <t>Tea (Temi Tea — GI)</t>
  </si>
  <si>
    <t>Orchid (Dendrobium, Cymbidium)</t>
  </si>
  <si>
    <t>🌾  Tamil Nadu — Crop Database</t>
  </si>
  <si>
    <t>★  Largest producer of Coconut &amp; Banana in India</t>
  </si>
  <si>
    <t>★  Nilgiris Tea (CTC &amp; Orthodox) — GI tagged</t>
  </si>
  <si>
    <t>★  Salem Mango, Erodal Turmeric, Dindigul Jasmine — major horticultural GIs</t>
  </si>
  <si>
    <t>Rice (Paddy — Samba, Kuruvai, Navarai seasons)</t>
  </si>
  <si>
    <t>Jowar (Cholam)</t>
  </si>
  <si>
    <t>Bajra (Kambu)</t>
  </si>
  <si>
    <t>Foxtail Millet (Thinai)</t>
  </si>
  <si>
    <t>Varagu (Kodo Millet)</t>
  </si>
  <si>
    <t>Samai (Little Millet)</t>
  </si>
  <si>
    <t>Panivaragu (Proso Millet)</t>
  </si>
  <si>
    <t>Kuthiraivali (Barnyard)</t>
  </si>
  <si>
    <t>Red Gram (Arhar)</t>
  </si>
  <si>
    <t>Lablab (Field Bean)</t>
  </si>
  <si>
    <t>Bengal Gram</t>
  </si>
  <si>
    <t>Sesame (Gingelly)</t>
  </si>
  <si>
    <t>Soybean (limited)</t>
  </si>
  <si>
    <t>Tapioca (Cassava)</t>
  </si>
  <si>
    <t>Tobacco (limited)</t>
  </si>
  <si>
    <t>Banana (#1 in India — Robusta, Rasthali, Nendran)</t>
  </si>
  <si>
    <t>Coconut (#1 in India)</t>
  </si>
  <si>
    <t>Mango (Salem)</t>
  </si>
  <si>
    <t>Grapes (Theni, Coimbatore)</t>
  </si>
  <si>
    <t>Orange (Nilgiris)</t>
  </si>
  <si>
    <t>Beet Root</t>
  </si>
  <si>
    <t>120:160:100</t>
  </si>
  <si>
    <t>Moringa (Drumstick)</t>
  </si>
  <si>
    <t>Leafy Greens (Keerai)</t>
  </si>
  <si>
    <t>Turmeric (Erode)</t>
  </si>
  <si>
    <t>Tea (Nilgiris — GI)</t>
  </si>
  <si>
    <t>Coffee (Nilgiris, Yercaud)</t>
  </si>
  <si>
    <t>Cashew (Cuddalore)</t>
  </si>
  <si>
    <t>Cinchona (Anaimalai Hills)</t>
  </si>
  <si>
    <t>Rubber (Kanyakumari)</t>
  </si>
  <si>
    <t>Jasmine (Dindigul, Madurai — GI)</t>
  </si>
  <si>
    <t>🌾  Telangana — Crop Database</t>
  </si>
  <si>
    <t>★  Called 'Rice Bowl of South India' — major contributor to central pool</t>
  </si>
  <si>
    <t>★  Sarees are woven using local silk; sericulture important in Warangal</t>
  </si>
  <si>
    <t>★  Karimnagar Turmeric — GI tagged; Palamur Jowar — notable heritage grain</t>
  </si>
  <si>
    <t>Red Gram (Pigeon Pea)</t>
  </si>
  <si>
    <t>Safflower</t>
  </si>
  <si>
    <t>Orange</t>
  </si>
  <si>
    <t>Turmeric (Karimnagar — GI)</t>
  </si>
  <si>
    <t>Cashew (limited)</t>
  </si>
  <si>
    <t>Oil Palm (growing)</t>
  </si>
  <si>
    <t>🌾  Tripura — Crop Database</t>
  </si>
  <si>
    <t>★  Second largest rubber producing state after Kerala</t>
  </si>
  <si>
    <t>★  Queen Pineapple from Cachar / Tripura — distinctive variety</t>
  </si>
  <si>
    <t>★  Bamboo economy — 3rd most forested state in NE</t>
  </si>
  <si>
    <t>Rice (three seasons: Aus, Aman, Boro)</t>
  </si>
  <si>
    <t>Rubber (#2 producer India)</t>
  </si>
  <si>
    <t>Pineapple (Queen variety)</t>
  </si>
  <si>
    <t>🌾  Uttar Pradesh — Crop Database</t>
  </si>
  <si>
    <t>★  Largest producer of Wheat, Sugarcane, Potato &amp; Food Grains in India</t>
  </si>
  <si>
    <t>★  Largest producer of Mango in India — Dussehri (GI), Langra, Chausa</t>
  </si>
  <si>
    <t>★  Largest producer of Guava, Aonla, Litchi (Muzaffarpur variety) in India</t>
  </si>
  <si>
    <t>Wheat (#1 in India)</t>
  </si>
  <si>
    <t>Sugarcane (#1 in India)</t>
  </si>
  <si>
    <t>Cotton (western UP)</t>
  </si>
  <si>
    <t>Mentha (Peppermint — #1 in India)</t>
  </si>
  <si>
    <t>150:60:60</t>
  </si>
  <si>
    <t>Mango (Dussehri — GI, Langra, Chausa, Safeda)</t>
  </si>
  <si>
    <t>Guava (#1 in India)</t>
  </si>
  <si>
    <t>Aonla (Amla — #1 in India)</t>
  </si>
  <si>
    <t>Litchi (Muzaffarpur border region)</t>
  </si>
  <si>
    <t>Ber (Jujube)</t>
  </si>
  <si>
    <t>Bael</t>
  </si>
  <si>
    <t>Citrus / Lemon</t>
  </si>
  <si>
    <t>Potato (#1 in India)</t>
  </si>
  <si>
    <t>Methi (Fenugreek)</t>
  </si>
  <si>
    <t>Arbi</t>
  </si>
  <si>
    <t>Mentha / Peppermint (#1 in India)</t>
  </si>
  <si>
    <t>Eucalyptus / Poplar (agroforestry)</t>
  </si>
  <si>
    <t>Rose (Kannauj Rose for attar — GI)</t>
  </si>
  <si>
    <t>🌾  Uttarakhand — Crop Database</t>
  </si>
  <si>
    <t>★  Basmati Rice from Dehradun — GI tagged; traditional varieties</t>
  </si>
  <si>
    <t>★  Red Rice of Uttarakhand is a premium heritage variety</t>
  </si>
  <si>
    <t>★  Mandua (Finger Millet) is cultural food staple of hill communities</t>
  </si>
  <si>
    <t>Rice (Basmati — Dehradun)</t>
  </si>
  <si>
    <t>Mandua (Finger Millet)</t>
  </si>
  <si>
    <t>Jhangora (Barnyard Millet)</t>
  </si>
  <si>
    <t>Ogal (Buckwheat)</t>
  </si>
  <si>
    <t>Chaulai (Amaranth)</t>
  </si>
  <si>
    <t>Gahat (Horse Gram — Pahadi)</t>
  </si>
  <si>
    <t>Chickpea</t>
  </si>
  <si>
    <t>Sugarcane (Terai belt)</t>
  </si>
  <si>
    <t>Apple (Harsil variety)</t>
  </si>
  <si>
    <t>Litchi (Terai)</t>
  </si>
  <si>
    <t>Mango (Terai)</t>
  </si>
  <si>
    <t>Kiwi (emerging)</t>
  </si>
  <si>
    <t>Potato (Seed Potato — Uttarakhand)</t>
  </si>
  <si>
    <t>Capsicum (hill zones)</t>
  </si>
  <si>
    <t>Timur (Sichuan pepper)</t>
  </si>
  <si>
    <t>Tea (Pauri Garhwal)</t>
  </si>
  <si>
    <t>Eucalyptus</t>
  </si>
  <si>
    <t>🌾  West Bengal — Crop Database</t>
  </si>
  <si>
    <t>★  #1 Rice producing state in India</t>
  </si>
  <si>
    <t>★  Darjeeling Tea — GI tagged; world's most famous tea</t>
  </si>
  <si>
    <t>★  Largest producer of Jute, Potato &amp; Vegetables in India</t>
  </si>
  <si>
    <t>Rice (Paddy — 3 seasons: Aus, Aman, Boro — #1 in India)</t>
  </si>
  <si>
    <t>Urad (Black Gram)</t>
  </si>
  <si>
    <t>Jute (#1 in India)</t>
  </si>
  <si>
    <t>Mulberry Silk</t>
  </si>
  <si>
    <t>Tea (Darjeeling)</t>
  </si>
  <si>
    <t>Mango (Himsagar, Langra, Fazli — GI)</t>
  </si>
  <si>
    <t>Pineapple (from Tripura border)</t>
  </si>
  <si>
    <t>Potato (#2 in India — Bankura, Hoogly)</t>
  </si>
  <si>
    <t>Pointed Gourd (Parwal)</t>
  </si>
  <si>
    <t>Leafy Greens (Shak)</t>
  </si>
  <si>
    <t>Mustard (seeds)</t>
  </si>
  <si>
    <t>Tea (Darjeeling — GI, Dooars &amp; Terai)</t>
  </si>
  <si>
    <t>Rubber (South Bengal, limited)</t>
  </si>
  <si>
    <t>Rose (Howrah)</t>
  </si>
  <si>
    <t>Palm orchids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</si>
</sst>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1B5E2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1"/>
      <name val="Arial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1B5E20"/>
      <name val="Arial"/>
      <charset val="1"/>
    </font>
    <font>
      <b/>
      <sz val="14"/>
      <color rgb="FFFFFFFF"/>
      <name val="Arial"/>
      <charset val="1"/>
    </font>
    <font>
      <i/>
      <sz val="9"/>
      <color rgb="FF1B5E20"/>
      <name val="Arial"/>
      <charset val="1"/>
    </font>
    <font>
      <sz val="9"/>
      <color rgb="FF555555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00"/>
        <bgColor rgb="FFFFFF00"/>
      </patternFill>
    </fill>
    <fill>
      <patternFill patternType="solid">
        <fgColor rgb="FF003300"/>
        <bgColor rgb="FF333300"/>
      </patternFill>
    </fill>
    <fill>
      <patternFill patternType="solid">
        <fgColor rgb="FFFFFFFF"/>
        <bgColor rgb="FFF1F8E9"/>
      </patternFill>
    </fill>
    <fill>
      <patternFill patternType="solid">
        <fgColor rgb="FFE8F5E9"/>
        <bgColor rgb="FFF1F8E9"/>
      </patternFill>
    </fill>
    <fill>
      <patternFill patternType="solid">
        <fgColor rgb="FFFFF9C4"/>
        <bgColor rgb="FFF1F8E9"/>
      </patternFill>
    </fill>
    <fill>
      <patternFill patternType="solid">
        <fgColor rgb="FF2E7D32"/>
        <bgColor rgb="FF388E3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7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/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10" fillId="6" borderId="1" xfId="0" applyFont="1" applyFill="1" applyBorder="1"/>
    <xf numFmtId="0" fontId="0" fillId="6" borderId="1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4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4" fillId="5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388E3C"/>
      <rgbColor rgb="FFCCCCCC"/>
      <rgbColor rgb="FF4CAF50"/>
      <rgbColor rgb="FF9999FF"/>
      <rgbColor rgb="FF993366"/>
      <rgbColor rgb="FFFFF9C4"/>
      <rgbColor rgb="FFE8F5E9"/>
      <rgbColor rgb="FF660066"/>
      <rgbColor rgb="FFFF8080"/>
      <rgbColor rgb="FF0066CC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DCEDC8"/>
      <rgbColor rgb="FFFFFF99"/>
      <rgbColor rgb="FFA5D6A7"/>
      <rgbColor rgb="FFFF99CC"/>
      <rgbColor rgb="FFCC99FF"/>
      <rgbColor rgb="FFFFCC99"/>
      <rgbColor rgb="FF3366FF"/>
      <rgbColor rgb="FF66BB6A"/>
      <rgbColor rgb="FF99CC00"/>
      <rgbColor rgb="FFFFCC00"/>
      <rgbColor rgb="FFFF9900"/>
      <rgbColor rgb="FFFF6600"/>
      <rgbColor rgb="FF555555"/>
      <rgbColor rgb="FF81C784"/>
      <rgbColor rgb="FF003366"/>
      <rgbColor rgb="FF43A047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Normal="100" workbookViewId="0"/>
  </sheetViews>
  <sheetFormatPr defaultColWidth="8.6640625" defaultRowHeight="14.4" x14ac:dyDescent="0.3"/>
  <cols>
    <col min="1" max="3" width="14" customWidth="1"/>
    <col min="4" max="4" width="18" customWidth="1"/>
    <col min="5" max="7" width="14" customWidth="1"/>
  </cols>
  <sheetData>
    <row r="1" spans="1:7" ht="15.75" customHeight="1" x14ac:dyDescent="0.3">
      <c r="A1" s="2" t="s">
        <v>0</v>
      </c>
    </row>
    <row r="2" spans="1:7" ht="30" customHeight="1" x14ac:dyDescent="0.3">
      <c r="A2" s="28" t="s">
        <v>1</v>
      </c>
      <c r="B2" s="28"/>
      <c r="C2" s="28"/>
      <c r="D2" s="28"/>
      <c r="E2" s="28"/>
      <c r="F2" s="28"/>
      <c r="G2" s="28"/>
    </row>
    <row r="4" spans="1:7" ht="1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7" ht="15" customHeight="1" x14ac:dyDescent="0.3">
      <c r="A5" s="4">
        <v>280</v>
      </c>
      <c r="B5" s="4">
        <v>22.9</v>
      </c>
      <c r="C5" s="4">
        <v>144</v>
      </c>
      <c r="D5" s="4" t="s">
        <v>8</v>
      </c>
      <c r="E5" s="4">
        <v>608.70000000000005</v>
      </c>
      <c r="F5" s="4">
        <v>49.78</v>
      </c>
    </row>
    <row r="7" spans="1:7" ht="15" customHeight="1" x14ac:dyDescent="0.3">
      <c r="A7" s="5"/>
    </row>
    <row r="8" spans="1:7" ht="15" customHeight="1" x14ac:dyDescent="0.3">
      <c r="A8" s="5" t="s">
        <v>9</v>
      </c>
    </row>
    <row r="9" spans="1:7" ht="15" customHeight="1" x14ac:dyDescent="0.3">
      <c r="A9" s="5" t="s">
        <v>10</v>
      </c>
    </row>
    <row r="10" spans="1:7" ht="15" customHeight="1" x14ac:dyDescent="0.3">
      <c r="A10" s="5" t="s">
        <v>11</v>
      </c>
    </row>
    <row r="11" spans="1:7" ht="15" customHeight="1" x14ac:dyDescent="0.3">
      <c r="A11" s="5" t="s">
        <v>12</v>
      </c>
    </row>
    <row r="12" spans="1:7" ht="15" customHeight="1" x14ac:dyDescent="0.3">
      <c r="A12" s="5" t="s">
        <v>13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showGridLines="0" zoomScaleNormal="100" workbookViewId="0">
      <pane ySplit="27" topLeftCell="A28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5" customWidth="1"/>
    <col min="3" max="3" width="8" customWidth="1"/>
    <col min="4" max="4" width="9" customWidth="1"/>
    <col min="5" max="5" width="10" customWidth="1"/>
    <col min="6" max="12" width="8" customWidth="1"/>
    <col min="13" max="13" width="7" customWidth="1"/>
    <col min="14" max="14" width="9" customWidth="1"/>
    <col min="15" max="16" width="13" customWidth="1"/>
  </cols>
  <sheetData>
    <row r="1" spans="1:6" ht="17.25" customHeight="1" x14ac:dyDescent="0.3">
      <c r="A1" s="31" t="s">
        <v>14</v>
      </c>
      <c r="B1" s="31"/>
      <c r="C1" s="31"/>
      <c r="D1" s="31"/>
      <c r="E1" s="31"/>
      <c r="F1" s="31"/>
    </row>
    <row r="2" spans="1:6" ht="13.5" customHeight="1" x14ac:dyDescent="0.3">
      <c r="A2" s="29"/>
      <c r="B2" s="29"/>
      <c r="C2" s="29"/>
      <c r="D2" s="29"/>
      <c r="E2" s="29"/>
      <c r="F2" s="29"/>
    </row>
    <row r="3" spans="1:6" ht="13.5" customHeight="1" x14ac:dyDescent="0.3">
      <c r="A3" s="30" t="s">
        <v>15</v>
      </c>
      <c r="B3" s="30"/>
      <c r="C3" s="30"/>
      <c r="D3" s="30"/>
      <c r="E3" s="30"/>
      <c r="F3" s="30"/>
    </row>
    <row r="4" spans="1:6" ht="13.5" customHeight="1" x14ac:dyDescent="0.3">
      <c r="A4" s="29" t="s">
        <v>16</v>
      </c>
      <c r="B4" s="29"/>
      <c r="C4" s="29"/>
      <c r="D4" s="29"/>
      <c r="E4" s="29"/>
      <c r="F4" s="29"/>
    </row>
    <row r="5" spans="1:6" ht="13.5" customHeight="1" x14ac:dyDescent="0.3">
      <c r="A5" s="29" t="s">
        <v>17</v>
      </c>
      <c r="B5" s="29"/>
      <c r="C5" s="29"/>
      <c r="D5" s="29"/>
      <c r="E5" s="29"/>
      <c r="F5" s="29"/>
    </row>
    <row r="6" spans="1:6" ht="13.5" customHeight="1" x14ac:dyDescent="0.3">
      <c r="A6" s="29"/>
      <c r="B6" s="29"/>
      <c r="C6" s="29"/>
      <c r="D6" s="29"/>
      <c r="E6" s="29"/>
      <c r="F6" s="29"/>
    </row>
    <row r="7" spans="1:6" ht="13.5" customHeight="1" x14ac:dyDescent="0.3">
      <c r="A7" s="30" t="s">
        <v>18</v>
      </c>
      <c r="B7" s="30"/>
      <c r="C7" s="30"/>
      <c r="D7" s="30"/>
      <c r="E7" s="30"/>
      <c r="F7" s="30"/>
    </row>
    <row r="8" spans="1:6" ht="13.5" customHeight="1" x14ac:dyDescent="0.3">
      <c r="A8" s="29" t="s">
        <v>19</v>
      </c>
      <c r="B8" s="29"/>
      <c r="C8" s="29"/>
      <c r="D8" s="29"/>
      <c r="E8" s="29"/>
      <c r="F8" s="29"/>
    </row>
    <row r="9" spans="1:6" ht="13.5" customHeight="1" x14ac:dyDescent="0.3">
      <c r="A9" s="29" t="s">
        <v>20</v>
      </c>
      <c r="B9" s="29"/>
      <c r="C9" s="29"/>
      <c r="D9" s="29"/>
      <c r="E9" s="29"/>
      <c r="F9" s="29"/>
    </row>
    <row r="10" spans="1:6" ht="13.5" customHeight="1" x14ac:dyDescent="0.3">
      <c r="A10" s="29" t="s">
        <v>21</v>
      </c>
      <c r="B10" s="29"/>
      <c r="C10" s="29"/>
      <c r="D10" s="29"/>
      <c r="E10" s="29"/>
      <c r="F10" s="29"/>
    </row>
    <row r="11" spans="1:6" ht="13.5" customHeight="1" x14ac:dyDescent="0.3">
      <c r="A11" s="29" t="s">
        <v>22</v>
      </c>
      <c r="B11" s="29"/>
      <c r="C11" s="29"/>
      <c r="D11" s="29"/>
      <c r="E11" s="29"/>
      <c r="F11" s="29"/>
    </row>
    <row r="12" spans="1:6" ht="13.5" customHeight="1" x14ac:dyDescent="0.3">
      <c r="A12" s="29" t="s">
        <v>23</v>
      </c>
      <c r="B12" s="29"/>
      <c r="C12" s="29"/>
      <c r="D12" s="29"/>
      <c r="E12" s="29"/>
      <c r="F12" s="29"/>
    </row>
    <row r="13" spans="1:6" ht="13.5" customHeight="1" x14ac:dyDescent="0.3">
      <c r="A13" s="29" t="s">
        <v>24</v>
      </c>
      <c r="B13" s="29"/>
      <c r="C13" s="29"/>
      <c r="D13" s="29"/>
      <c r="E13" s="29"/>
      <c r="F13" s="29"/>
    </row>
    <row r="14" spans="1:6" ht="13.5" customHeight="1" x14ac:dyDescent="0.3">
      <c r="A14" s="29" t="s">
        <v>25</v>
      </c>
      <c r="B14" s="29"/>
      <c r="C14" s="29"/>
      <c r="D14" s="29"/>
      <c r="E14" s="29"/>
      <c r="F14" s="29"/>
    </row>
    <row r="15" spans="1:6" ht="13.5" customHeight="1" x14ac:dyDescent="0.3">
      <c r="A15" s="29"/>
      <c r="B15" s="29"/>
      <c r="C15" s="29"/>
      <c r="D15" s="29"/>
      <c r="E15" s="29"/>
      <c r="F15" s="29"/>
    </row>
    <row r="16" spans="1:6" ht="13.5" customHeight="1" x14ac:dyDescent="0.3">
      <c r="A16" s="30" t="s">
        <v>26</v>
      </c>
      <c r="B16" s="30"/>
      <c r="C16" s="30"/>
      <c r="D16" s="30"/>
      <c r="E16" s="30"/>
      <c r="F16" s="30"/>
    </row>
    <row r="17" spans="1:6" ht="13.5" customHeight="1" x14ac:dyDescent="0.3">
      <c r="A17" s="29" t="s">
        <v>27</v>
      </c>
      <c r="B17" s="29"/>
      <c r="C17" s="29"/>
      <c r="D17" s="29"/>
      <c r="E17" s="29"/>
      <c r="F17" s="29"/>
    </row>
    <row r="18" spans="1:6" ht="13.5" customHeight="1" x14ac:dyDescent="0.3">
      <c r="A18" s="29" t="s">
        <v>28</v>
      </c>
      <c r="B18" s="29"/>
      <c r="C18" s="29"/>
      <c r="D18" s="29"/>
      <c r="E18" s="29"/>
      <c r="F18" s="29"/>
    </row>
    <row r="19" spans="1:6" ht="13.5" customHeight="1" x14ac:dyDescent="0.3">
      <c r="A19" s="29" t="s">
        <v>29</v>
      </c>
      <c r="B19" s="29"/>
      <c r="C19" s="29"/>
      <c r="D19" s="29"/>
      <c r="E19" s="29"/>
      <c r="F19" s="29"/>
    </row>
    <row r="20" spans="1:6" ht="13.5" customHeight="1" x14ac:dyDescent="0.3">
      <c r="A20" s="29" t="s">
        <v>30</v>
      </c>
      <c r="B20" s="29"/>
      <c r="C20" s="29"/>
      <c r="D20" s="29"/>
      <c r="E20" s="29"/>
      <c r="F20" s="29"/>
    </row>
    <row r="21" spans="1:6" ht="13.5" customHeight="1" x14ac:dyDescent="0.3">
      <c r="A21" s="29" t="s">
        <v>31</v>
      </c>
      <c r="B21" s="29"/>
      <c r="C21" s="29"/>
      <c r="D21" s="29"/>
      <c r="E21" s="29"/>
      <c r="F21" s="29"/>
    </row>
    <row r="22" spans="1:6" ht="13.5" customHeight="1" x14ac:dyDescent="0.3">
      <c r="A22" s="29" t="s">
        <v>32</v>
      </c>
      <c r="B22" s="29"/>
      <c r="C22" s="29"/>
      <c r="D22" s="29"/>
      <c r="E22" s="29"/>
      <c r="F22" s="29"/>
    </row>
    <row r="23" spans="1:6" ht="13.5" customHeight="1" x14ac:dyDescent="0.3">
      <c r="A23" s="29" t="s">
        <v>33</v>
      </c>
      <c r="B23" s="29"/>
      <c r="C23" s="29"/>
      <c r="D23" s="29"/>
      <c r="E23" s="29"/>
      <c r="F23" s="29"/>
    </row>
    <row r="24" spans="1:6" ht="13.5" customHeight="1" x14ac:dyDescent="0.3">
      <c r="A24" s="29"/>
      <c r="B24" s="29"/>
      <c r="C24" s="29"/>
      <c r="D24" s="29"/>
      <c r="E24" s="29"/>
      <c r="F24" s="29"/>
    </row>
    <row r="25" spans="1:6" ht="13.5" customHeight="1" x14ac:dyDescent="0.3">
      <c r="A25" s="30" t="s">
        <v>34</v>
      </c>
      <c r="B25" s="30"/>
      <c r="C25" s="30"/>
      <c r="D25" s="30"/>
      <c r="E25" s="30"/>
      <c r="F25" s="30"/>
    </row>
    <row r="27" spans="1:6" ht="14.25" customHeight="1" x14ac:dyDescent="0.3">
      <c r="A27" s="6" t="s">
        <v>35</v>
      </c>
      <c r="B27" s="6" t="s">
        <v>36</v>
      </c>
      <c r="C27" s="6" t="s">
        <v>37</v>
      </c>
      <c r="D27" s="6" t="s">
        <v>38</v>
      </c>
      <c r="E27" s="6" t="s">
        <v>39</v>
      </c>
      <c r="F27" s="6" t="s">
        <v>40</v>
      </c>
    </row>
    <row r="28" spans="1:6" ht="14.25" customHeight="1" x14ac:dyDescent="0.3">
      <c r="A28" s="1" t="s">
        <v>41</v>
      </c>
      <c r="B28" s="1" t="s">
        <v>42</v>
      </c>
      <c r="C28" s="1">
        <v>0.85</v>
      </c>
      <c r="D28" s="1">
        <v>320</v>
      </c>
      <c r="E28" s="1">
        <v>24</v>
      </c>
      <c r="F28" s="1">
        <v>180</v>
      </c>
    </row>
    <row r="29" spans="1:6" ht="14.25" customHeight="1" x14ac:dyDescent="0.3">
      <c r="A29" s="1" t="s">
        <v>43</v>
      </c>
      <c r="B29" s="1" t="s">
        <v>44</v>
      </c>
      <c r="C29" s="1">
        <v>1.45</v>
      </c>
      <c r="D29" s="1">
        <v>300</v>
      </c>
      <c r="E29" s="1">
        <v>18</v>
      </c>
      <c r="F29" s="1">
        <v>145</v>
      </c>
    </row>
    <row r="30" spans="1:6" ht="14.25" customHeight="1" x14ac:dyDescent="0.3">
      <c r="A30" s="1" t="s">
        <v>45</v>
      </c>
      <c r="B30" s="1" t="s">
        <v>46</v>
      </c>
      <c r="C30" s="1">
        <v>0.68</v>
      </c>
      <c r="D30" s="1">
        <v>270</v>
      </c>
      <c r="E30" s="1">
        <v>22</v>
      </c>
      <c r="F30" s="1">
        <v>160</v>
      </c>
    </row>
    <row r="31" spans="1:6" ht="14.25" customHeight="1" x14ac:dyDescent="0.3">
      <c r="A31" s="1" t="s">
        <v>47</v>
      </c>
      <c r="B31" s="1" t="s">
        <v>48</v>
      </c>
      <c r="C31" s="1">
        <v>0.52</v>
      </c>
      <c r="D31" s="1">
        <v>240</v>
      </c>
      <c r="E31" s="1">
        <v>19</v>
      </c>
      <c r="F31" s="1">
        <v>150</v>
      </c>
    </row>
    <row r="32" spans="1:6" ht="14.25" customHeight="1" x14ac:dyDescent="0.3">
      <c r="A32" s="1" t="s">
        <v>49</v>
      </c>
      <c r="B32" s="1" t="s">
        <v>50</v>
      </c>
      <c r="C32" s="1">
        <v>0.46</v>
      </c>
      <c r="D32" s="1">
        <v>235</v>
      </c>
      <c r="E32" s="1">
        <v>21</v>
      </c>
      <c r="F32" s="1">
        <v>155</v>
      </c>
    </row>
    <row r="33" spans="1:6" ht="14.25" customHeight="1" x14ac:dyDescent="0.3">
      <c r="A33" s="1" t="s">
        <v>51</v>
      </c>
      <c r="B33" s="1" t="s">
        <v>52</v>
      </c>
      <c r="C33" s="1">
        <v>0.42</v>
      </c>
      <c r="D33" s="1">
        <v>255</v>
      </c>
      <c r="E33" s="1">
        <v>26</v>
      </c>
      <c r="F33" s="1">
        <v>170</v>
      </c>
    </row>
    <row r="34" spans="1:6" ht="14.25" customHeight="1" x14ac:dyDescent="0.3">
      <c r="A34" s="1" t="s">
        <v>53</v>
      </c>
      <c r="B34" s="1" t="s">
        <v>54</v>
      </c>
      <c r="C34" s="1">
        <v>0.57999999999999996</v>
      </c>
      <c r="D34" s="1">
        <v>230</v>
      </c>
      <c r="E34" s="1">
        <v>15</v>
      </c>
      <c r="F34" s="1">
        <v>130</v>
      </c>
    </row>
    <row r="35" spans="1:6" ht="14.25" customHeight="1" x14ac:dyDescent="0.3">
      <c r="A35" s="1" t="s">
        <v>55</v>
      </c>
      <c r="B35" s="1" t="s">
        <v>56</v>
      </c>
      <c r="C35" s="1">
        <v>0.55000000000000004</v>
      </c>
      <c r="D35" s="1">
        <v>245</v>
      </c>
      <c r="E35" s="1">
        <v>16</v>
      </c>
      <c r="F35" s="1">
        <v>210</v>
      </c>
    </row>
    <row r="36" spans="1:6" ht="14.25" customHeight="1" x14ac:dyDescent="0.3">
      <c r="A36" s="1" t="s">
        <v>57</v>
      </c>
      <c r="B36" s="1" t="s">
        <v>58</v>
      </c>
      <c r="C36" s="1">
        <v>0.62</v>
      </c>
      <c r="D36" s="1">
        <v>260</v>
      </c>
      <c r="E36" s="1">
        <v>14</v>
      </c>
      <c r="F36" s="1">
        <v>250</v>
      </c>
    </row>
    <row r="37" spans="1:6" ht="14.25" customHeight="1" x14ac:dyDescent="0.3">
      <c r="A37" s="1" t="s">
        <v>59</v>
      </c>
      <c r="B37" s="1" t="s">
        <v>60</v>
      </c>
      <c r="C37" s="1">
        <v>0.48</v>
      </c>
      <c r="D37" s="1">
        <v>225</v>
      </c>
      <c r="E37" s="1">
        <v>17</v>
      </c>
      <c r="F37" s="1">
        <v>220</v>
      </c>
    </row>
    <row r="38" spans="1:6" ht="14.25" customHeight="1" x14ac:dyDescent="0.3">
      <c r="A38" s="1" t="s">
        <v>61</v>
      </c>
      <c r="B38" s="1" t="s">
        <v>62</v>
      </c>
      <c r="C38" s="1">
        <v>0.5</v>
      </c>
      <c r="D38" s="1">
        <v>215</v>
      </c>
      <c r="E38" s="1">
        <v>20</v>
      </c>
      <c r="F38" s="1">
        <v>175</v>
      </c>
    </row>
    <row r="39" spans="1:6" ht="14.25" customHeight="1" x14ac:dyDescent="0.3">
      <c r="A39" s="1" t="s">
        <v>63</v>
      </c>
      <c r="B39" s="1" t="s">
        <v>64</v>
      </c>
      <c r="C39" s="1">
        <v>1.05</v>
      </c>
      <c r="D39" s="1">
        <v>290</v>
      </c>
      <c r="E39" s="1">
        <v>13</v>
      </c>
      <c r="F39" s="1">
        <v>140</v>
      </c>
    </row>
    <row r="40" spans="1:6" ht="14.25" customHeight="1" x14ac:dyDescent="0.3">
      <c r="A40" s="1" t="s">
        <v>65</v>
      </c>
      <c r="B40" s="1" t="s">
        <v>66</v>
      </c>
      <c r="C40" s="1">
        <v>0.45</v>
      </c>
      <c r="D40" s="1">
        <v>200</v>
      </c>
      <c r="E40" s="1">
        <v>18</v>
      </c>
      <c r="F40" s="1">
        <v>230</v>
      </c>
    </row>
    <row r="41" spans="1:6" ht="14.25" customHeight="1" x14ac:dyDescent="0.3">
      <c r="A41" s="1" t="s">
        <v>67</v>
      </c>
      <c r="B41" s="1" t="s">
        <v>68</v>
      </c>
      <c r="C41" s="1">
        <v>0.28000000000000003</v>
      </c>
      <c r="D41" s="1">
        <v>140</v>
      </c>
      <c r="E41" s="1">
        <v>12</v>
      </c>
      <c r="F41" s="1">
        <v>190</v>
      </c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00"/>
  </sheetPr>
  <dimension ref="A1:D33"/>
  <sheetViews>
    <sheetView zoomScaleNormal="100" workbookViewId="0">
      <pane ySplit="4" topLeftCell="A23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2" customWidth="1"/>
    <col min="3" max="3" width="20" customWidth="1"/>
    <col min="4" max="4" width="80" customWidth="1"/>
  </cols>
  <sheetData>
    <row r="1" spans="1:4" ht="36" customHeight="1" x14ac:dyDescent="0.3">
      <c r="A1" s="32" t="s">
        <v>69</v>
      </c>
      <c r="B1" s="32"/>
      <c r="C1" s="32"/>
      <c r="D1" s="32"/>
    </row>
    <row r="2" spans="1:4" ht="19.5" customHeight="1" x14ac:dyDescent="0.3">
      <c r="A2" s="33" t="s">
        <v>70</v>
      </c>
      <c r="B2" s="33"/>
      <c r="C2" s="33"/>
      <c r="D2" s="33"/>
    </row>
    <row r="4" spans="1:4" ht="14.25" customHeight="1" x14ac:dyDescent="0.3">
      <c r="A4" s="7" t="s">
        <v>71</v>
      </c>
      <c r="B4" s="7" t="s">
        <v>72</v>
      </c>
      <c r="C4" s="7" t="s">
        <v>73</v>
      </c>
      <c r="D4" s="7" t="s">
        <v>74</v>
      </c>
    </row>
    <row r="5" spans="1:4" ht="30" customHeight="1" x14ac:dyDescent="0.3">
      <c r="A5" s="8">
        <v>1</v>
      </c>
      <c r="B5" s="9" t="s">
        <v>75</v>
      </c>
      <c r="C5" s="8">
        <v>76</v>
      </c>
      <c r="D5" s="10" t="s">
        <v>76</v>
      </c>
    </row>
    <row r="6" spans="1:4" ht="30" customHeight="1" x14ac:dyDescent="0.3">
      <c r="A6" s="11">
        <v>2</v>
      </c>
      <c r="B6" s="12" t="s">
        <v>77</v>
      </c>
      <c r="C6" s="11">
        <v>58</v>
      </c>
      <c r="D6" s="13" t="s">
        <v>78</v>
      </c>
    </row>
    <row r="7" spans="1:4" ht="30" customHeight="1" x14ac:dyDescent="0.3">
      <c r="A7" s="8">
        <v>3</v>
      </c>
      <c r="B7" s="9" t="s">
        <v>79</v>
      </c>
      <c r="C7" s="8">
        <v>58</v>
      </c>
      <c r="D7" s="10" t="s">
        <v>80</v>
      </c>
    </row>
    <row r="8" spans="1:4" ht="30" customHeight="1" x14ac:dyDescent="0.3">
      <c r="A8" s="11">
        <v>4</v>
      </c>
      <c r="B8" s="12" t="s">
        <v>48</v>
      </c>
      <c r="C8" s="11">
        <v>57</v>
      </c>
      <c r="D8" s="13" t="s">
        <v>81</v>
      </c>
    </row>
    <row r="9" spans="1:4" ht="30" customHeight="1" x14ac:dyDescent="0.3">
      <c r="A9" s="8">
        <v>5</v>
      </c>
      <c r="B9" s="9" t="s">
        <v>82</v>
      </c>
      <c r="C9" s="8">
        <v>58</v>
      </c>
      <c r="D9" s="10" t="s">
        <v>83</v>
      </c>
    </row>
    <row r="10" spans="1:4" ht="30" customHeight="1" x14ac:dyDescent="0.3">
      <c r="A10" s="11">
        <v>6</v>
      </c>
      <c r="B10" s="12" t="s">
        <v>84</v>
      </c>
      <c r="C10" s="11">
        <v>49</v>
      </c>
      <c r="D10" s="13" t="s">
        <v>85</v>
      </c>
    </row>
    <row r="11" spans="1:4" ht="30" customHeight="1" x14ac:dyDescent="0.3">
      <c r="A11" s="8">
        <v>7</v>
      </c>
      <c r="B11" s="9" t="s">
        <v>66</v>
      </c>
      <c r="C11" s="8">
        <v>64</v>
      </c>
      <c r="D11" s="10" t="s">
        <v>86</v>
      </c>
    </row>
    <row r="12" spans="1:4" ht="30" customHeight="1" x14ac:dyDescent="0.3">
      <c r="A12" s="11">
        <v>8</v>
      </c>
      <c r="B12" s="12" t="s">
        <v>87</v>
      </c>
      <c r="C12" s="11">
        <v>51</v>
      </c>
      <c r="D12" s="13" t="s">
        <v>88</v>
      </c>
    </row>
    <row r="13" spans="1:4" ht="30" customHeight="1" x14ac:dyDescent="0.3">
      <c r="A13" s="8">
        <v>9</v>
      </c>
      <c r="B13" s="9" t="s">
        <v>89</v>
      </c>
      <c r="C13" s="8">
        <v>59</v>
      </c>
      <c r="D13" s="10" t="s">
        <v>90</v>
      </c>
    </row>
    <row r="14" spans="1:4" ht="30" customHeight="1" x14ac:dyDescent="0.3">
      <c r="A14" s="11">
        <v>10</v>
      </c>
      <c r="B14" s="12" t="s">
        <v>91</v>
      </c>
      <c r="C14" s="11">
        <v>59</v>
      </c>
      <c r="D14" s="13" t="s">
        <v>92</v>
      </c>
    </row>
    <row r="15" spans="1:4" ht="30" customHeight="1" x14ac:dyDescent="0.3">
      <c r="A15" s="8">
        <v>11</v>
      </c>
      <c r="B15" s="9" t="s">
        <v>93</v>
      </c>
      <c r="C15" s="8">
        <v>91</v>
      </c>
      <c r="D15" s="10" t="s">
        <v>94</v>
      </c>
    </row>
    <row r="16" spans="1:4" ht="30" customHeight="1" x14ac:dyDescent="0.3">
      <c r="A16" s="11">
        <v>12</v>
      </c>
      <c r="B16" s="12" t="s">
        <v>95</v>
      </c>
      <c r="C16" s="11">
        <v>74</v>
      </c>
      <c r="D16" s="13" t="s">
        <v>96</v>
      </c>
    </row>
    <row r="17" spans="1:4" ht="30" customHeight="1" x14ac:dyDescent="0.3">
      <c r="A17" s="8">
        <v>13</v>
      </c>
      <c r="B17" s="9" t="s">
        <v>56</v>
      </c>
      <c r="C17" s="8">
        <v>72</v>
      </c>
      <c r="D17" s="10" t="s">
        <v>97</v>
      </c>
    </row>
    <row r="18" spans="1:4" ht="30" customHeight="1" x14ac:dyDescent="0.3">
      <c r="A18" s="11">
        <v>14</v>
      </c>
      <c r="B18" s="12" t="s">
        <v>58</v>
      </c>
      <c r="C18" s="11">
        <v>78</v>
      </c>
      <c r="D18" s="13" t="s">
        <v>98</v>
      </c>
    </row>
    <row r="19" spans="1:4" ht="30" customHeight="1" x14ac:dyDescent="0.3">
      <c r="A19" s="8">
        <v>15</v>
      </c>
      <c r="B19" s="9" t="s">
        <v>99</v>
      </c>
      <c r="C19" s="8">
        <v>55</v>
      </c>
      <c r="D19" s="10" t="s">
        <v>100</v>
      </c>
    </row>
    <row r="20" spans="1:4" ht="30" customHeight="1" x14ac:dyDescent="0.3">
      <c r="A20" s="11">
        <v>16</v>
      </c>
      <c r="B20" s="12" t="s">
        <v>101</v>
      </c>
      <c r="C20" s="11">
        <v>58</v>
      </c>
      <c r="D20" s="13" t="s">
        <v>102</v>
      </c>
    </row>
    <row r="21" spans="1:4" ht="30" customHeight="1" x14ac:dyDescent="0.3">
      <c r="A21" s="8">
        <v>17</v>
      </c>
      <c r="B21" s="9" t="s">
        <v>103</v>
      </c>
      <c r="C21" s="8">
        <v>52</v>
      </c>
      <c r="D21" s="10" t="s">
        <v>104</v>
      </c>
    </row>
    <row r="22" spans="1:4" ht="30" customHeight="1" x14ac:dyDescent="0.3">
      <c r="A22" s="11">
        <v>18</v>
      </c>
      <c r="B22" s="12" t="s">
        <v>105</v>
      </c>
      <c r="C22" s="11">
        <v>54</v>
      </c>
      <c r="D22" s="13" t="s">
        <v>106</v>
      </c>
    </row>
    <row r="23" spans="1:4" ht="30" customHeight="1" x14ac:dyDescent="0.3">
      <c r="A23" s="8">
        <v>19</v>
      </c>
      <c r="B23" s="9" t="s">
        <v>107</v>
      </c>
      <c r="C23" s="8">
        <v>87</v>
      </c>
      <c r="D23" s="10" t="s">
        <v>108</v>
      </c>
    </row>
    <row r="24" spans="1:4" ht="30" customHeight="1" x14ac:dyDescent="0.3">
      <c r="A24" s="11">
        <v>20</v>
      </c>
      <c r="B24" s="12" t="s">
        <v>109</v>
      </c>
      <c r="C24" s="11">
        <v>48</v>
      </c>
      <c r="D24" s="13" t="s">
        <v>110</v>
      </c>
    </row>
    <row r="25" spans="1:4" ht="30" customHeight="1" x14ac:dyDescent="0.3">
      <c r="A25" s="8">
        <v>21</v>
      </c>
      <c r="B25" s="9" t="s">
        <v>68</v>
      </c>
      <c r="C25" s="8">
        <v>59</v>
      </c>
      <c r="D25" s="10" t="s">
        <v>111</v>
      </c>
    </row>
    <row r="26" spans="1:4" ht="30" customHeight="1" x14ac:dyDescent="0.3">
      <c r="A26" s="11">
        <v>22</v>
      </c>
      <c r="B26" s="12" t="s">
        <v>112</v>
      </c>
      <c r="C26" s="11">
        <v>57</v>
      </c>
      <c r="D26" s="13" t="s">
        <v>113</v>
      </c>
    </row>
    <row r="27" spans="1:4" ht="30" customHeight="1" x14ac:dyDescent="0.3">
      <c r="A27" s="8">
        <v>23</v>
      </c>
      <c r="B27" s="9" t="s">
        <v>114</v>
      </c>
      <c r="C27" s="8">
        <v>88</v>
      </c>
      <c r="D27" s="10" t="s">
        <v>115</v>
      </c>
    </row>
    <row r="28" spans="1:4" ht="30" customHeight="1" x14ac:dyDescent="0.3">
      <c r="A28" s="11">
        <v>24</v>
      </c>
      <c r="B28" s="12" t="s">
        <v>116</v>
      </c>
      <c r="C28" s="11">
        <v>68</v>
      </c>
      <c r="D28" s="13" t="s">
        <v>117</v>
      </c>
    </row>
    <row r="29" spans="1:4" ht="30" customHeight="1" x14ac:dyDescent="0.3">
      <c r="A29" s="8">
        <v>25</v>
      </c>
      <c r="B29" s="9" t="s">
        <v>118</v>
      </c>
      <c r="C29" s="8">
        <v>56</v>
      </c>
      <c r="D29" s="10" t="s">
        <v>119</v>
      </c>
    </row>
    <row r="30" spans="1:4" ht="30" customHeight="1" x14ac:dyDescent="0.3">
      <c r="A30" s="11">
        <v>26</v>
      </c>
      <c r="B30" s="12" t="s">
        <v>50</v>
      </c>
      <c r="C30" s="11">
        <v>74</v>
      </c>
      <c r="D30" s="13" t="s">
        <v>120</v>
      </c>
    </row>
    <row r="31" spans="1:4" ht="30" customHeight="1" x14ac:dyDescent="0.3">
      <c r="A31" s="8">
        <v>27</v>
      </c>
      <c r="B31" s="9" t="s">
        <v>121</v>
      </c>
      <c r="C31" s="8">
        <v>69</v>
      </c>
      <c r="D31" s="10" t="s">
        <v>122</v>
      </c>
    </row>
    <row r="32" spans="1:4" ht="30" customHeight="1" x14ac:dyDescent="0.3">
      <c r="A32" s="11">
        <v>28</v>
      </c>
      <c r="B32" s="12" t="s">
        <v>46</v>
      </c>
      <c r="C32" s="11">
        <v>72</v>
      </c>
      <c r="D32" s="13" t="s">
        <v>123</v>
      </c>
    </row>
    <row r="33" spans="1:4" ht="30" customHeight="1" x14ac:dyDescent="0.3">
      <c r="A33" s="8">
        <v>29</v>
      </c>
      <c r="B33" s="9" t="s">
        <v>124</v>
      </c>
      <c r="C33" s="8">
        <v>55</v>
      </c>
      <c r="D33" s="10" t="s">
        <v>125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20"/>
  </sheetPr>
  <dimension ref="A1:M91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126</v>
      </c>
      <c r="B1" s="26"/>
      <c r="C1" s="26"/>
    </row>
    <row r="2" spans="1:13" ht="19.5" customHeight="1" x14ac:dyDescent="0.3">
      <c r="A2" s="27" t="s">
        <v>127</v>
      </c>
      <c r="B2" s="27"/>
      <c r="C2" s="27"/>
    </row>
    <row r="3" spans="1:13" ht="19.5" customHeight="1" x14ac:dyDescent="0.3">
      <c r="A3" s="27" t="s">
        <v>128</v>
      </c>
      <c r="B3" s="27"/>
      <c r="C3" s="27"/>
    </row>
    <row r="4" spans="1:13" ht="19.5" customHeight="1" x14ac:dyDescent="0.3">
      <c r="A4" s="27" t="s">
        <v>129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75</v>
      </c>
      <c r="E8" s="1" t="s">
        <v>61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75</v>
      </c>
      <c r="E9" s="1" t="s">
        <v>61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146</v>
      </c>
      <c r="C10" s="18"/>
      <c r="D10" s="19" t="s">
        <v>75</v>
      </c>
      <c r="E10" s="1" t="s">
        <v>61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148</v>
      </c>
      <c r="C11" s="23"/>
      <c r="D11" s="24" t="s">
        <v>75</v>
      </c>
      <c r="E11" s="1" t="s">
        <v>61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150</v>
      </c>
      <c r="C12" s="18"/>
      <c r="D12" s="19" t="s">
        <v>75</v>
      </c>
      <c r="E12" s="1" t="s">
        <v>61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151</v>
      </c>
      <c r="C13" s="23"/>
      <c r="D13" s="24" t="s">
        <v>75</v>
      </c>
      <c r="E13" s="1" t="s">
        <v>61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152</v>
      </c>
      <c r="C14" s="18"/>
      <c r="D14" s="19" t="s">
        <v>75</v>
      </c>
      <c r="E14" s="1" t="s">
        <v>61</v>
      </c>
      <c r="F14" s="20" t="s">
        <v>153</v>
      </c>
      <c r="G14">
        <f t="shared" si="0"/>
        <v>25</v>
      </c>
      <c r="H14">
        <f t="shared" si="1"/>
        <v>25</v>
      </c>
      <c r="I14">
        <f t="shared" si="2"/>
        <v>12.5</v>
      </c>
      <c r="J14">
        <f t="shared" si="3"/>
        <v>54.35</v>
      </c>
      <c r="K14">
        <f t="shared" si="4"/>
        <v>9.7829999999999995</v>
      </c>
      <c r="L14">
        <f t="shared" si="5"/>
        <v>33.08</v>
      </c>
      <c r="M14">
        <f t="shared" si="6"/>
        <v>20.83</v>
      </c>
    </row>
    <row r="15" spans="1:13" ht="15" customHeight="1" x14ac:dyDescent="0.3">
      <c r="A15" s="21" t="s">
        <v>141</v>
      </c>
      <c r="B15" s="22" t="s">
        <v>154</v>
      </c>
      <c r="C15" s="23"/>
      <c r="D15" s="24" t="s">
        <v>75</v>
      </c>
      <c r="E15" s="1" t="s">
        <v>61</v>
      </c>
      <c r="F15" s="20" t="s">
        <v>149</v>
      </c>
      <c r="G15">
        <f t="shared" si="0"/>
        <v>50</v>
      </c>
      <c r="H15">
        <f t="shared" si="1"/>
        <v>25</v>
      </c>
      <c r="I15">
        <f t="shared" si="2"/>
        <v>25</v>
      </c>
      <c r="J15">
        <f t="shared" si="3"/>
        <v>54.35</v>
      </c>
      <c r="K15">
        <f t="shared" si="4"/>
        <v>9.7829999999999995</v>
      </c>
      <c r="L15">
        <f t="shared" si="5"/>
        <v>87.43</v>
      </c>
      <c r="M15">
        <f t="shared" si="6"/>
        <v>41.67</v>
      </c>
    </row>
    <row r="16" spans="1:13" ht="18" customHeight="1" x14ac:dyDescent="0.3">
      <c r="A16" s="25" t="s">
        <v>155</v>
      </c>
      <c r="B16" s="25"/>
      <c r="C16" s="25"/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  <c r="M16" t="str">
        <f t="shared" si="6"/>
        <v/>
      </c>
    </row>
    <row r="17" spans="1:13" ht="15" customHeight="1" x14ac:dyDescent="0.3">
      <c r="A17" s="16" t="s">
        <v>156</v>
      </c>
      <c r="B17" s="17" t="s">
        <v>157</v>
      </c>
      <c r="C17" s="18"/>
      <c r="D17" s="19" t="s">
        <v>75</v>
      </c>
      <c r="E17" s="1" t="s">
        <v>61</v>
      </c>
      <c r="F17" s="20" t="s">
        <v>158</v>
      </c>
      <c r="G17">
        <f t="shared" si="0"/>
        <v>31.25</v>
      </c>
      <c r="H17">
        <f t="shared" si="1"/>
        <v>62.5</v>
      </c>
      <c r="I17">
        <f t="shared" si="2"/>
        <v>37.5</v>
      </c>
      <c r="J17">
        <f t="shared" si="3"/>
        <v>135.87</v>
      </c>
      <c r="K17">
        <f t="shared" si="4"/>
        <v>24.456600000000002</v>
      </c>
      <c r="L17">
        <f t="shared" si="5"/>
        <v>14.77</v>
      </c>
      <c r="M17">
        <f t="shared" si="6"/>
        <v>62.5</v>
      </c>
    </row>
    <row r="18" spans="1:13" ht="15" customHeight="1" x14ac:dyDescent="0.3">
      <c r="A18" s="21" t="s">
        <v>156</v>
      </c>
      <c r="B18" s="22" t="s">
        <v>159</v>
      </c>
      <c r="C18" s="23"/>
      <c r="D18" s="24" t="s">
        <v>75</v>
      </c>
      <c r="E18" s="1" t="s">
        <v>61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161</v>
      </c>
      <c r="C19" s="18"/>
      <c r="D19" s="19" t="s">
        <v>75</v>
      </c>
      <c r="E19" s="1" t="s">
        <v>61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162</v>
      </c>
      <c r="C20" s="23"/>
      <c r="D20" s="24" t="s">
        <v>75</v>
      </c>
      <c r="E20" s="1" t="s">
        <v>61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163</v>
      </c>
      <c r="C21" s="18"/>
      <c r="D21" s="19" t="s">
        <v>75</v>
      </c>
      <c r="E21" s="1" t="s">
        <v>61</v>
      </c>
      <c r="F21" s="20" t="s">
        <v>164</v>
      </c>
      <c r="G21">
        <f t="shared" si="0"/>
        <v>12.5</v>
      </c>
      <c r="H21">
        <f t="shared" si="1"/>
        <v>25</v>
      </c>
      <c r="I21">
        <f t="shared" si="2"/>
        <v>12.5</v>
      </c>
      <c r="J21">
        <f t="shared" si="3"/>
        <v>54.35</v>
      </c>
      <c r="K21">
        <f t="shared" si="4"/>
        <v>9.7829999999999995</v>
      </c>
      <c r="L21">
        <f t="shared" si="5"/>
        <v>5.91</v>
      </c>
      <c r="M21">
        <f t="shared" si="6"/>
        <v>20.83</v>
      </c>
    </row>
    <row r="22" spans="1:13" ht="15" customHeight="1" x14ac:dyDescent="0.3">
      <c r="A22" s="21" t="s">
        <v>156</v>
      </c>
      <c r="B22" s="22" t="s">
        <v>165</v>
      </c>
      <c r="C22" s="23"/>
      <c r="D22" s="24" t="s">
        <v>75</v>
      </c>
      <c r="E22" s="1" t="s">
        <v>61</v>
      </c>
      <c r="F22" s="20" t="s">
        <v>160</v>
      </c>
      <c r="G22">
        <f t="shared" si="0"/>
        <v>25</v>
      </c>
      <c r="H22">
        <f t="shared" si="1"/>
        <v>50</v>
      </c>
      <c r="I22">
        <f t="shared" si="2"/>
        <v>25</v>
      </c>
      <c r="J22">
        <f t="shared" si="3"/>
        <v>108.7</v>
      </c>
      <c r="K22">
        <f t="shared" si="4"/>
        <v>19.565999999999999</v>
      </c>
      <c r="L22">
        <f t="shared" si="5"/>
        <v>11.81</v>
      </c>
      <c r="M22">
        <f t="shared" si="6"/>
        <v>41.67</v>
      </c>
    </row>
    <row r="23" spans="1:13" ht="15" customHeight="1" x14ac:dyDescent="0.3">
      <c r="A23" s="16" t="s">
        <v>156</v>
      </c>
      <c r="B23" s="17" t="s">
        <v>166</v>
      </c>
      <c r="C23" s="18"/>
      <c r="D23" s="19" t="s">
        <v>75</v>
      </c>
      <c r="E23" s="1" t="s">
        <v>61</v>
      </c>
      <c r="F23" s="20" t="s">
        <v>160</v>
      </c>
      <c r="G23">
        <f t="shared" si="0"/>
        <v>25</v>
      </c>
      <c r="H23">
        <f t="shared" si="1"/>
        <v>50</v>
      </c>
      <c r="I23">
        <f t="shared" si="2"/>
        <v>25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41.67</v>
      </c>
    </row>
    <row r="24" spans="1:13" ht="18" customHeight="1" x14ac:dyDescent="0.3">
      <c r="A24" s="25" t="s">
        <v>167</v>
      </c>
      <c r="B24" s="25"/>
      <c r="C24" s="25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5"/>
        <v/>
      </c>
      <c r="M24" t="str">
        <f t="shared" si="6"/>
        <v/>
      </c>
    </row>
    <row r="25" spans="1:13" ht="15" customHeight="1" x14ac:dyDescent="0.3">
      <c r="A25" s="21" t="s">
        <v>168</v>
      </c>
      <c r="B25" s="22" t="s">
        <v>169</v>
      </c>
      <c r="C25" s="23"/>
      <c r="D25" s="24" t="s">
        <v>75</v>
      </c>
      <c r="E25" s="1" t="s">
        <v>61</v>
      </c>
      <c r="F25" s="20" t="s">
        <v>170</v>
      </c>
      <c r="G25">
        <f t="shared" si="0"/>
        <v>25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171</v>
      </c>
      <c r="C26" s="18"/>
      <c r="D26" s="19" t="s">
        <v>75</v>
      </c>
      <c r="E26" s="1" t="s">
        <v>61</v>
      </c>
      <c r="F26" s="20" t="s">
        <v>147</v>
      </c>
      <c r="G26">
        <f t="shared" si="0"/>
        <v>100</v>
      </c>
      <c r="H26">
        <f t="shared" si="1"/>
        <v>50</v>
      </c>
      <c r="I26">
        <f t="shared" si="2"/>
        <v>50</v>
      </c>
      <c r="J26">
        <f t="shared" si="3"/>
        <v>108.7</v>
      </c>
      <c r="K26">
        <f t="shared" si="4"/>
        <v>19.565999999999999</v>
      </c>
      <c r="L26">
        <f t="shared" si="5"/>
        <v>174.86</v>
      </c>
      <c r="M26">
        <f t="shared" si="6"/>
        <v>83.33</v>
      </c>
    </row>
    <row r="27" spans="1:13" ht="15" customHeight="1" x14ac:dyDescent="0.3">
      <c r="A27" s="21" t="s">
        <v>168</v>
      </c>
      <c r="B27" s="22" t="s">
        <v>172</v>
      </c>
      <c r="C27" s="23"/>
      <c r="D27" s="24" t="s">
        <v>75</v>
      </c>
      <c r="E27" s="1" t="s">
        <v>61</v>
      </c>
      <c r="F27" s="20" t="s">
        <v>173</v>
      </c>
      <c r="G27">
        <f t="shared" si="0"/>
        <v>75</v>
      </c>
      <c r="H27">
        <f t="shared" si="1"/>
        <v>112.5</v>
      </c>
      <c r="I27">
        <f t="shared" si="2"/>
        <v>75</v>
      </c>
      <c r="J27">
        <f t="shared" si="3"/>
        <v>244.57</v>
      </c>
      <c r="K27">
        <f t="shared" si="4"/>
        <v>44.022599999999997</v>
      </c>
      <c r="L27">
        <f t="shared" si="5"/>
        <v>67.34</v>
      </c>
      <c r="M27">
        <f t="shared" si="6"/>
        <v>125</v>
      </c>
    </row>
    <row r="28" spans="1:13" ht="15" customHeight="1" x14ac:dyDescent="0.3">
      <c r="A28" s="16" t="s">
        <v>168</v>
      </c>
      <c r="B28" s="17" t="s">
        <v>174</v>
      </c>
      <c r="C28" s="18"/>
      <c r="D28" s="19" t="s">
        <v>75</v>
      </c>
      <c r="E28" s="1" t="s">
        <v>61</v>
      </c>
      <c r="F28" s="20" t="s">
        <v>149</v>
      </c>
      <c r="G28">
        <f t="shared" si="0"/>
        <v>50</v>
      </c>
      <c r="H28">
        <f t="shared" si="1"/>
        <v>25</v>
      </c>
      <c r="I28">
        <f t="shared" si="2"/>
        <v>25</v>
      </c>
      <c r="J28">
        <f t="shared" si="3"/>
        <v>54.35</v>
      </c>
      <c r="K28">
        <f t="shared" si="4"/>
        <v>9.7829999999999995</v>
      </c>
      <c r="L28">
        <f t="shared" si="5"/>
        <v>87.43</v>
      </c>
      <c r="M28">
        <f t="shared" si="6"/>
        <v>41.67</v>
      </c>
    </row>
    <row r="29" spans="1:13" ht="15" customHeight="1" x14ac:dyDescent="0.3">
      <c r="A29" s="21" t="s">
        <v>168</v>
      </c>
      <c r="B29" s="22" t="s">
        <v>175</v>
      </c>
      <c r="C29" s="23"/>
      <c r="D29" s="24" t="s">
        <v>75</v>
      </c>
      <c r="E29" s="1" t="s">
        <v>61</v>
      </c>
      <c r="F29" s="20" t="s">
        <v>147</v>
      </c>
      <c r="G29">
        <f t="shared" si="0"/>
        <v>100</v>
      </c>
      <c r="H29">
        <f t="shared" si="1"/>
        <v>50</v>
      </c>
      <c r="I29">
        <f t="shared" si="2"/>
        <v>50</v>
      </c>
      <c r="J29">
        <f t="shared" si="3"/>
        <v>108.7</v>
      </c>
      <c r="K29">
        <f t="shared" si="4"/>
        <v>19.565999999999999</v>
      </c>
      <c r="L29">
        <f t="shared" si="5"/>
        <v>174.86</v>
      </c>
      <c r="M29">
        <f t="shared" si="6"/>
        <v>83.33</v>
      </c>
    </row>
    <row r="30" spans="1:13" ht="15" customHeight="1" x14ac:dyDescent="0.3">
      <c r="A30" s="16" t="s">
        <v>168</v>
      </c>
      <c r="B30" s="17" t="s">
        <v>176</v>
      </c>
      <c r="C30" s="18"/>
      <c r="D30" s="19" t="s">
        <v>75</v>
      </c>
      <c r="E30" s="1" t="s">
        <v>61</v>
      </c>
      <c r="F30" s="20" t="s">
        <v>177</v>
      </c>
      <c r="G30">
        <f t="shared" si="0"/>
        <v>25</v>
      </c>
      <c r="H30">
        <f t="shared" si="1"/>
        <v>75</v>
      </c>
      <c r="I30">
        <f t="shared" si="2"/>
        <v>50</v>
      </c>
      <c r="J30">
        <f t="shared" si="3"/>
        <v>163.04</v>
      </c>
      <c r="K30">
        <f t="shared" si="4"/>
        <v>29.347199999999997</v>
      </c>
      <c r="L30">
        <f t="shared" si="5"/>
        <v>-9.4499999999999993</v>
      </c>
      <c r="M30">
        <f t="shared" si="6"/>
        <v>83.33</v>
      </c>
    </row>
    <row r="31" spans="1:13" ht="15" customHeight="1" x14ac:dyDescent="0.3">
      <c r="A31" s="21" t="s">
        <v>168</v>
      </c>
      <c r="B31" s="22" t="s">
        <v>178</v>
      </c>
      <c r="C31" s="23"/>
      <c r="D31" s="24" t="s">
        <v>75</v>
      </c>
      <c r="E31" s="1" t="s">
        <v>61</v>
      </c>
      <c r="F31" s="20" t="s">
        <v>179</v>
      </c>
      <c r="G31">
        <f t="shared" si="0"/>
        <v>1500</v>
      </c>
      <c r="H31">
        <f t="shared" si="1"/>
        <v>750</v>
      </c>
      <c r="I31">
        <f t="shared" si="2"/>
        <v>3375</v>
      </c>
      <c r="J31">
        <f t="shared" si="3"/>
        <v>1630.43</v>
      </c>
      <c r="K31">
        <f t="shared" si="4"/>
        <v>293.47739999999999</v>
      </c>
      <c r="L31">
        <f t="shared" si="5"/>
        <v>2622.88</v>
      </c>
      <c r="M31">
        <f t="shared" si="6"/>
        <v>5625</v>
      </c>
    </row>
    <row r="32" spans="1:13" ht="18" customHeight="1" x14ac:dyDescent="0.3">
      <c r="A32" s="25" t="s">
        <v>180</v>
      </c>
      <c r="B32" s="25"/>
      <c r="C32" s="25"/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  <c r="L32" t="str">
        <f t="shared" si="5"/>
        <v/>
      </c>
      <c r="M32" t="str">
        <f t="shared" si="6"/>
        <v/>
      </c>
    </row>
    <row r="33" spans="1:13" ht="15" customHeight="1" x14ac:dyDescent="0.3">
      <c r="A33" s="16" t="s">
        <v>181</v>
      </c>
      <c r="B33" s="17" t="s">
        <v>182</v>
      </c>
      <c r="C33" s="18"/>
      <c r="D33" s="19" t="s">
        <v>75</v>
      </c>
      <c r="E33" s="1" t="s">
        <v>61</v>
      </c>
      <c r="F33" s="20" t="s">
        <v>183</v>
      </c>
      <c r="G33">
        <f t="shared" si="0"/>
        <v>350</v>
      </c>
      <c r="H33">
        <f t="shared" si="1"/>
        <v>112.5</v>
      </c>
      <c r="I33">
        <f t="shared" si="2"/>
        <v>112.5</v>
      </c>
      <c r="J33">
        <f t="shared" si="3"/>
        <v>244.57</v>
      </c>
      <c r="K33">
        <f t="shared" si="4"/>
        <v>44.022599999999997</v>
      </c>
      <c r="L33">
        <f t="shared" si="5"/>
        <v>665.17</v>
      </c>
      <c r="M33">
        <f t="shared" si="6"/>
        <v>187.5</v>
      </c>
    </row>
    <row r="34" spans="1:13" ht="15" customHeight="1" x14ac:dyDescent="0.3">
      <c r="A34" s="21" t="s">
        <v>181</v>
      </c>
      <c r="B34" s="22" t="s">
        <v>184</v>
      </c>
      <c r="C34" s="23"/>
      <c r="D34" s="24" t="s">
        <v>75</v>
      </c>
      <c r="E34" s="1" t="s">
        <v>61</v>
      </c>
      <c r="F34" s="20" t="s">
        <v>185</v>
      </c>
      <c r="G34">
        <f t="shared" si="0"/>
        <v>125</v>
      </c>
      <c r="H34">
        <f t="shared" si="1"/>
        <v>62.5</v>
      </c>
      <c r="I34">
        <f t="shared" si="2"/>
        <v>62.5</v>
      </c>
      <c r="J34">
        <f t="shared" si="3"/>
        <v>135.87</v>
      </c>
      <c r="K34">
        <f t="shared" si="4"/>
        <v>24.456600000000002</v>
      </c>
      <c r="L34">
        <f t="shared" si="5"/>
        <v>218.57</v>
      </c>
      <c r="M34">
        <f t="shared" si="6"/>
        <v>104.17</v>
      </c>
    </row>
    <row r="35" spans="1:13" ht="15" customHeight="1" x14ac:dyDescent="0.3">
      <c r="A35" s="16" t="s">
        <v>181</v>
      </c>
      <c r="B35" s="17" t="s">
        <v>186</v>
      </c>
      <c r="C35" s="18"/>
      <c r="D35" s="19" t="s">
        <v>75</v>
      </c>
      <c r="E35" s="1" t="s">
        <v>61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8" customHeight="1" x14ac:dyDescent="0.3">
      <c r="A36" s="25" t="s">
        <v>187</v>
      </c>
      <c r="B36" s="25"/>
      <c r="C36" s="25"/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5"/>
        <v/>
      </c>
      <c r="M36" t="str">
        <f t="shared" si="6"/>
        <v/>
      </c>
    </row>
    <row r="37" spans="1:13" ht="15" customHeight="1" x14ac:dyDescent="0.3">
      <c r="A37" s="21" t="s">
        <v>188</v>
      </c>
      <c r="B37" s="22" t="s">
        <v>189</v>
      </c>
      <c r="C37" s="23"/>
      <c r="D37" s="24" t="s">
        <v>75</v>
      </c>
      <c r="E37" s="1" t="s">
        <v>61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191</v>
      </c>
      <c r="C38" s="18"/>
      <c r="D38" s="19" t="s">
        <v>75</v>
      </c>
      <c r="E38" s="1" t="s">
        <v>61</v>
      </c>
      <c r="F38" s="20" t="s">
        <v>192</v>
      </c>
      <c r="G38">
        <f t="shared" si="0"/>
        <v>137.5</v>
      </c>
      <c r="H38">
        <f t="shared" si="1"/>
        <v>43.75</v>
      </c>
      <c r="I38">
        <f t="shared" si="2"/>
        <v>412.5</v>
      </c>
      <c r="J38">
        <f t="shared" si="3"/>
        <v>95.11</v>
      </c>
      <c r="K38">
        <f t="shared" si="4"/>
        <v>17.119799999999998</v>
      </c>
      <c r="L38">
        <f t="shared" si="5"/>
        <v>261.7</v>
      </c>
      <c r="M38">
        <f t="shared" si="6"/>
        <v>687.5</v>
      </c>
    </row>
    <row r="39" spans="1:13" ht="15" customHeight="1" x14ac:dyDescent="0.3">
      <c r="A39" s="21" t="s">
        <v>188</v>
      </c>
      <c r="B39" s="22" t="s">
        <v>193</v>
      </c>
      <c r="C39" s="23"/>
      <c r="D39" s="24" t="s">
        <v>75</v>
      </c>
      <c r="E39" s="1" t="s">
        <v>61</v>
      </c>
      <c r="F39" s="20" t="s">
        <v>194</v>
      </c>
      <c r="G39">
        <f t="shared" ref="G39:G70" si="7">IF($F39="","",IFERROR(VALUE(TRIM(LEFT($F39,FIND(":",$F39)-1)))*1.25,"N/A"))</f>
        <v>125</v>
      </c>
      <c r="H39">
        <f t="shared" ref="H39:H70" si="8">IF($F39="","",IFERROR(VALUE(TRIM(MID($F39,FIND(":",$F39)+1,FIND(":",$F39,FIND(":",$F39)+1)-FIND(":",$F39)-1)))*1.25,"N/A"))</f>
        <v>125</v>
      </c>
      <c r="I39">
        <f t="shared" ref="I39:I70" si="9">IF($F39="","",IFERROR(VALUE(TRIM(LEFT(MID($F39,FIND(":",$F39,FIND(":",$F39)+1)+1,LEN($F39)),FIND(" ",MID($F39,FIND(":",$F39,FIND(":",$F39)+1)+1,LEN($F39))&amp;" ")-1)))*1.25,"N/A"))</f>
        <v>125</v>
      </c>
      <c r="J39">
        <f t="shared" ref="J39:J70" si="10">IF(OR($F39="",$H39="N/A"),IF($F39="","","N/A"),ROUND($H39/0.46,2))</f>
        <v>271.74</v>
      </c>
      <c r="K39">
        <f t="shared" ref="K39:K70" si="11">IF(OR($F39="",$J39="N/A"),IF($F39="","","N/A"),$J39*0.18)</f>
        <v>48.913200000000003</v>
      </c>
      <c r="L39">
        <f t="shared" ref="L39:L70" si="12">IF(OR($F39="",$G39="N/A",$K39="N/A"),IF($F39="","","N/A"),ROUND(($G39-$K39)/0.46,2))</f>
        <v>165.41</v>
      </c>
      <c r="M39">
        <f t="shared" ref="M39:M70" si="13">IF(OR($F39="",$I39="N/A"),IF($F39="","","N/A"),ROUND($I39/0.6,2))</f>
        <v>208.33</v>
      </c>
    </row>
    <row r="40" spans="1:13" ht="15" customHeight="1" x14ac:dyDescent="0.3">
      <c r="A40" s="16" t="s">
        <v>188</v>
      </c>
      <c r="B40" s="17" t="s">
        <v>195</v>
      </c>
      <c r="C40" s="18"/>
      <c r="D40" s="19" t="s">
        <v>75</v>
      </c>
      <c r="E40" s="1" t="s">
        <v>61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196</v>
      </c>
      <c r="C41" s="23"/>
      <c r="D41" s="24" t="s">
        <v>75</v>
      </c>
      <c r="E41" s="1" t="s">
        <v>61</v>
      </c>
      <c r="F41" s="20" t="s">
        <v>197</v>
      </c>
      <c r="G41">
        <f t="shared" si="7"/>
        <v>750</v>
      </c>
      <c r="H41">
        <f t="shared" si="8"/>
        <v>625</v>
      </c>
      <c r="I41">
        <f t="shared" si="9"/>
        <v>1500</v>
      </c>
      <c r="J41">
        <f t="shared" si="10"/>
        <v>1358.7</v>
      </c>
      <c r="K41">
        <f t="shared" si="11"/>
        <v>244.566</v>
      </c>
      <c r="L41">
        <f t="shared" si="12"/>
        <v>1098.77</v>
      </c>
      <c r="M41">
        <f t="shared" si="13"/>
        <v>2500</v>
      </c>
    </row>
    <row r="42" spans="1:13" ht="15" customHeight="1" x14ac:dyDescent="0.3">
      <c r="A42" s="16" t="s">
        <v>188</v>
      </c>
      <c r="B42" s="17" t="s">
        <v>198</v>
      </c>
      <c r="C42" s="18"/>
      <c r="D42" s="19" t="s">
        <v>75</v>
      </c>
      <c r="E42" s="1" t="s">
        <v>61</v>
      </c>
      <c r="F42" s="20" t="s">
        <v>199</v>
      </c>
      <c r="G42">
        <f t="shared" si="7"/>
        <v>750</v>
      </c>
      <c r="H42">
        <f t="shared" si="8"/>
        <v>250</v>
      </c>
      <c r="I42">
        <f t="shared" si="9"/>
        <v>375</v>
      </c>
      <c r="J42">
        <f t="shared" si="10"/>
        <v>543.48</v>
      </c>
      <c r="K42">
        <f t="shared" si="11"/>
        <v>97.826400000000007</v>
      </c>
      <c r="L42">
        <f t="shared" si="12"/>
        <v>1417.77</v>
      </c>
      <c r="M42">
        <f t="shared" si="13"/>
        <v>625</v>
      </c>
    </row>
    <row r="43" spans="1:13" ht="15" customHeight="1" x14ac:dyDescent="0.3">
      <c r="A43" s="21" t="s">
        <v>188</v>
      </c>
      <c r="B43" s="22" t="s">
        <v>200</v>
      </c>
      <c r="C43" s="23"/>
      <c r="D43" s="24" t="s">
        <v>75</v>
      </c>
      <c r="E43" s="1" t="s">
        <v>61</v>
      </c>
      <c r="F43" s="20" t="s">
        <v>201</v>
      </c>
      <c r="G43">
        <f t="shared" si="7"/>
        <v>50</v>
      </c>
      <c r="H43">
        <f t="shared" si="8"/>
        <v>30</v>
      </c>
      <c r="I43">
        <f t="shared" si="9"/>
        <v>100</v>
      </c>
      <c r="J43">
        <f t="shared" si="10"/>
        <v>65.22</v>
      </c>
      <c r="K43">
        <f t="shared" si="11"/>
        <v>11.739599999999999</v>
      </c>
      <c r="L43">
        <f t="shared" si="12"/>
        <v>83.17</v>
      </c>
      <c r="M43">
        <f t="shared" si="13"/>
        <v>166.67</v>
      </c>
    </row>
    <row r="44" spans="1:13" ht="15" customHeight="1" x14ac:dyDescent="0.3">
      <c r="A44" s="16" t="s">
        <v>188</v>
      </c>
      <c r="B44" s="17" t="s">
        <v>202</v>
      </c>
      <c r="C44" s="18"/>
      <c r="D44" s="19" t="s">
        <v>75</v>
      </c>
      <c r="E44" s="1" t="s">
        <v>61</v>
      </c>
      <c r="F44" s="20" t="s">
        <v>203</v>
      </c>
      <c r="G44">
        <f t="shared" si="7"/>
        <v>68.75</v>
      </c>
      <c r="H44">
        <f t="shared" si="8"/>
        <v>68.75</v>
      </c>
      <c r="I44">
        <f t="shared" si="9"/>
        <v>68.75</v>
      </c>
      <c r="J44">
        <f t="shared" si="10"/>
        <v>149.46</v>
      </c>
      <c r="K44">
        <f t="shared" si="11"/>
        <v>26.902799999999999</v>
      </c>
      <c r="L44">
        <f t="shared" si="12"/>
        <v>90.97</v>
      </c>
      <c r="M44">
        <f t="shared" si="13"/>
        <v>114.58</v>
      </c>
    </row>
    <row r="45" spans="1:13" ht="15" customHeight="1" x14ac:dyDescent="0.3">
      <c r="A45" s="21" t="s">
        <v>188</v>
      </c>
      <c r="B45" s="22" t="s">
        <v>204</v>
      </c>
      <c r="C45" s="23"/>
      <c r="D45" s="24" t="s">
        <v>75</v>
      </c>
      <c r="E45" s="1" t="s">
        <v>61</v>
      </c>
      <c r="F45" s="20" t="s">
        <v>205</v>
      </c>
      <c r="G45">
        <f t="shared" si="7"/>
        <v>100</v>
      </c>
      <c r="H45">
        <f t="shared" si="8"/>
        <v>75</v>
      </c>
      <c r="I45">
        <f t="shared" si="9"/>
        <v>37.5</v>
      </c>
      <c r="J45">
        <f t="shared" si="10"/>
        <v>163.04</v>
      </c>
      <c r="K45">
        <f t="shared" si="11"/>
        <v>29.347199999999997</v>
      </c>
      <c r="L45">
        <f t="shared" si="12"/>
        <v>153.59</v>
      </c>
      <c r="M45">
        <f t="shared" si="13"/>
        <v>62.5</v>
      </c>
    </row>
    <row r="46" spans="1:13" ht="15" customHeight="1" x14ac:dyDescent="0.3">
      <c r="A46" s="16" t="s">
        <v>188</v>
      </c>
      <c r="B46" s="17" t="s">
        <v>206</v>
      </c>
      <c r="C46" s="18"/>
      <c r="D46" s="19" t="s">
        <v>75</v>
      </c>
      <c r="E46" s="1" t="s">
        <v>61</v>
      </c>
      <c r="F46" s="20" t="s">
        <v>207</v>
      </c>
      <c r="G46">
        <f t="shared" si="7"/>
        <v>700</v>
      </c>
      <c r="H46">
        <f t="shared" si="8"/>
        <v>400</v>
      </c>
      <c r="I46">
        <f t="shared" si="9"/>
        <v>1500</v>
      </c>
      <c r="J46">
        <f t="shared" si="10"/>
        <v>869.57</v>
      </c>
      <c r="K46">
        <f t="shared" si="11"/>
        <v>156.52260000000001</v>
      </c>
      <c r="L46">
        <f t="shared" si="12"/>
        <v>1181.47</v>
      </c>
      <c r="M46">
        <f t="shared" si="13"/>
        <v>2500</v>
      </c>
    </row>
    <row r="47" spans="1:13" ht="15" customHeight="1" x14ac:dyDescent="0.3">
      <c r="A47" s="21" t="s">
        <v>188</v>
      </c>
      <c r="B47" s="22" t="s">
        <v>208</v>
      </c>
      <c r="C47" s="23"/>
      <c r="D47" s="24" t="s">
        <v>75</v>
      </c>
      <c r="E47" s="1" t="s">
        <v>61</v>
      </c>
      <c r="F47" s="20" t="s">
        <v>190</v>
      </c>
      <c r="G47">
        <f t="shared" si="7"/>
        <v>125</v>
      </c>
      <c r="H47">
        <f t="shared" si="8"/>
        <v>125</v>
      </c>
      <c r="I47">
        <f t="shared" si="9"/>
        <v>187.5</v>
      </c>
      <c r="J47">
        <f t="shared" si="10"/>
        <v>271.74</v>
      </c>
      <c r="K47">
        <f t="shared" si="11"/>
        <v>48.913200000000003</v>
      </c>
      <c r="L47">
        <f t="shared" si="12"/>
        <v>165.41</v>
      </c>
      <c r="M47">
        <f t="shared" si="13"/>
        <v>312.5</v>
      </c>
    </row>
    <row r="48" spans="1:13" ht="15" customHeight="1" x14ac:dyDescent="0.3">
      <c r="A48" s="16" t="s">
        <v>188</v>
      </c>
      <c r="B48" s="17" t="s">
        <v>209</v>
      </c>
      <c r="C48" s="18"/>
      <c r="D48" s="19" t="s">
        <v>75</v>
      </c>
      <c r="E48" s="1" t="s">
        <v>61</v>
      </c>
      <c r="F48" s="20" t="s">
        <v>199</v>
      </c>
      <c r="G48">
        <f t="shared" si="7"/>
        <v>750</v>
      </c>
      <c r="H48">
        <f t="shared" si="8"/>
        <v>250</v>
      </c>
      <c r="I48">
        <f t="shared" si="9"/>
        <v>375</v>
      </c>
      <c r="J48">
        <f t="shared" si="10"/>
        <v>543.48</v>
      </c>
      <c r="K48">
        <f t="shared" si="11"/>
        <v>97.826400000000007</v>
      </c>
      <c r="L48">
        <f t="shared" si="12"/>
        <v>1417.77</v>
      </c>
      <c r="M48">
        <f t="shared" si="13"/>
        <v>625</v>
      </c>
    </row>
    <row r="49" spans="1:13" ht="15" customHeight="1" x14ac:dyDescent="0.3">
      <c r="A49" s="21" t="s">
        <v>188</v>
      </c>
      <c r="B49" s="22" t="s">
        <v>210</v>
      </c>
      <c r="C49" s="23"/>
      <c r="D49" s="24" t="s">
        <v>75</v>
      </c>
      <c r="E49" s="1" t="s">
        <v>61</v>
      </c>
      <c r="F49" s="20" t="s">
        <v>211</v>
      </c>
      <c r="G49">
        <f t="shared" si="7"/>
        <v>93.75</v>
      </c>
      <c r="H49">
        <f t="shared" si="8"/>
        <v>75</v>
      </c>
      <c r="I49">
        <f t="shared" si="9"/>
        <v>62.5</v>
      </c>
      <c r="J49">
        <f t="shared" si="10"/>
        <v>163.04</v>
      </c>
      <c r="K49">
        <f t="shared" si="11"/>
        <v>29.347199999999997</v>
      </c>
      <c r="L49">
        <f t="shared" si="12"/>
        <v>140.01</v>
      </c>
      <c r="M49">
        <f t="shared" si="13"/>
        <v>104.17</v>
      </c>
    </row>
    <row r="50" spans="1:13" ht="15" customHeight="1" x14ac:dyDescent="0.3">
      <c r="A50" s="16" t="s">
        <v>188</v>
      </c>
      <c r="B50" s="17" t="s">
        <v>212</v>
      </c>
      <c r="C50" s="18"/>
      <c r="D50" s="19" t="s">
        <v>75</v>
      </c>
      <c r="E50" s="1" t="s">
        <v>61</v>
      </c>
      <c r="F50" s="20" t="s">
        <v>213</v>
      </c>
      <c r="G50">
        <f t="shared" si="7"/>
        <v>625</v>
      </c>
      <c r="H50">
        <f t="shared" si="8"/>
        <v>250</v>
      </c>
      <c r="I50">
        <f t="shared" si="9"/>
        <v>375</v>
      </c>
      <c r="J50">
        <f t="shared" si="10"/>
        <v>543.48</v>
      </c>
      <c r="K50">
        <f t="shared" si="11"/>
        <v>97.826400000000007</v>
      </c>
      <c r="L50">
        <f t="shared" si="12"/>
        <v>1146.03</v>
      </c>
      <c r="M50">
        <f t="shared" si="13"/>
        <v>625</v>
      </c>
    </row>
    <row r="51" spans="1:13" ht="15" customHeight="1" x14ac:dyDescent="0.3">
      <c r="A51" s="21" t="s">
        <v>188</v>
      </c>
      <c r="B51" s="22" t="s">
        <v>214</v>
      </c>
      <c r="C51" s="23"/>
      <c r="D51" s="24" t="s">
        <v>75</v>
      </c>
      <c r="E51" s="1" t="s">
        <v>61</v>
      </c>
      <c r="F51" s="20" t="s">
        <v>215</v>
      </c>
      <c r="G51">
        <f t="shared" si="7"/>
        <v>93.75</v>
      </c>
      <c r="H51">
        <f t="shared" si="8"/>
        <v>50</v>
      </c>
      <c r="I51">
        <f t="shared" si="9"/>
        <v>62.5</v>
      </c>
      <c r="J51">
        <f t="shared" si="10"/>
        <v>108.7</v>
      </c>
      <c r="K51">
        <f t="shared" si="11"/>
        <v>19.565999999999999</v>
      </c>
      <c r="L51">
        <f t="shared" si="12"/>
        <v>161.27000000000001</v>
      </c>
      <c r="M51">
        <f t="shared" si="13"/>
        <v>104.17</v>
      </c>
    </row>
    <row r="52" spans="1:13" ht="15" customHeight="1" x14ac:dyDescent="0.3">
      <c r="A52" s="16" t="s">
        <v>188</v>
      </c>
      <c r="B52" s="17" t="s">
        <v>216</v>
      </c>
      <c r="C52" s="18"/>
      <c r="D52" s="19" t="s">
        <v>75</v>
      </c>
      <c r="E52" s="1" t="s">
        <v>61</v>
      </c>
      <c r="F52" s="20" t="s">
        <v>217</v>
      </c>
      <c r="G52">
        <f t="shared" si="7"/>
        <v>2.5</v>
      </c>
      <c r="H52">
        <f t="shared" si="8"/>
        <v>1.25</v>
      </c>
      <c r="I52">
        <f t="shared" si="9"/>
        <v>2.5</v>
      </c>
      <c r="J52">
        <f t="shared" si="10"/>
        <v>2.72</v>
      </c>
      <c r="K52">
        <f t="shared" si="11"/>
        <v>0.48960000000000004</v>
      </c>
      <c r="L52">
        <f t="shared" si="12"/>
        <v>4.37</v>
      </c>
      <c r="M52">
        <f t="shared" si="13"/>
        <v>4.17</v>
      </c>
    </row>
    <row r="53" spans="1:13" ht="15" customHeight="1" x14ac:dyDescent="0.3">
      <c r="A53" s="21" t="s">
        <v>188</v>
      </c>
      <c r="B53" s="22" t="s">
        <v>218</v>
      </c>
      <c r="C53" s="23"/>
      <c r="D53" s="24" t="s">
        <v>75</v>
      </c>
      <c r="E53" s="1" t="s">
        <v>61</v>
      </c>
      <c r="F53" s="20" t="s">
        <v>219</v>
      </c>
      <c r="G53">
        <f t="shared" si="7"/>
        <v>125</v>
      </c>
      <c r="H53">
        <f t="shared" si="8"/>
        <v>120</v>
      </c>
      <c r="I53">
        <f t="shared" si="9"/>
        <v>175</v>
      </c>
      <c r="J53">
        <f t="shared" si="10"/>
        <v>260.87</v>
      </c>
      <c r="K53">
        <f t="shared" si="11"/>
        <v>46.956600000000002</v>
      </c>
      <c r="L53">
        <f t="shared" si="12"/>
        <v>169.66</v>
      </c>
      <c r="M53">
        <f t="shared" si="13"/>
        <v>291.67</v>
      </c>
    </row>
    <row r="54" spans="1:13" ht="18" customHeight="1" x14ac:dyDescent="0.3">
      <c r="A54" s="25" t="s">
        <v>220</v>
      </c>
      <c r="B54" s="25"/>
      <c r="C54" s="25"/>
      <c r="G54" t="str">
        <f t="shared" si="7"/>
        <v/>
      </c>
      <c r="H54" t="str">
        <f t="shared" si="8"/>
        <v/>
      </c>
      <c r="I54" t="str">
        <f t="shared" si="9"/>
        <v/>
      </c>
      <c r="J54" t="str">
        <f t="shared" si="10"/>
        <v/>
      </c>
      <c r="K54" t="str">
        <f t="shared" si="11"/>
        <v/>
      </c>
      <c r="L54" t="str">
        <f t="shared" si="12"/>
        <v/>
      </c>
      <c r="M54" t="str">
        <f t="shared" si="13"/>
        <v/>
      </c>
    </row>
    <row r="55" spans="1:13" ht="15" customHeight="1" x14ac:dyDescent="0.3">
      <c r="A55" s="16" t="s">
        <v>221</v>
      </c>
      <c r="B55" s="17" t="s">
        <v>222</v>
      </c>
      <c r="C55" s="18"/>
      <c r="D55" s="19" t="s">
        <v>75</v>
      </c>
      <c r="E55" s="1" t="s">
        <v>61</v>
      </c>
      <c r="F55" s="20" t="s">
        <v>223</v>
      </c>
      <c r="G55">
        <f t="shared" si="7"/>
        <v>187.5</v>
      </c>
      <c r="H55">
        <f t="shared" si="8"/>
        <v>125</v>
      </c>
      <c r="I55">
        <f t="shared" si="9"/>
        <v>62.5</v>
      </c>
      <c r="J55">
        <f t="shared" si="10"/>
        <v>271.74</v>
      </c>
      <c r="K55">
        <f t="shared" si="11"/>
        <v>48.913200000000003</v>
      </c>
      <c r="L55">
        <f t="shared" si="12"/>
        <v>301.27999999999997</v>
      </c>
      <c r="M55">
        <f t="shared" si="13"/>
        <v>104.17</v>
      </c>
    </row>
    <row r="56" spans="1:13" ht="15" customHeight="1" x14ac:dyDescent="0.3">
      <c r="A56" s="21" t="s">
        <v>221</v>
      </c>
      <c r="B56" s="22" t="s">
        <v>224</v>
      </c>
      <c r="C56" s="23"/>
      <c r="D56" s="24" t="s">
        <v>75</v>
      </c>
      <c r="E56" s="1" t="s">
        <v>61</v>
      </c>
      <c r="F56" s="20" t="s">
        <v>225</v>
      </c>
      <c r="G56">
        <f t="shared" si="7"/>
        <v>125</v>
      </c>
      <c r="H56">
        <f t="shared" si="8"/>
        <v>62.5</v>
      </c>
      <c r="I56">
        <f t="shared" si="9"/>
        <v>37.5</v>
      </c>
      <c r="J56">
        <f t="shared" si="10"/>
        <v>135.87</v>
      </c>
      <c r="K56">
        <f t="shared" si="11"/>
        <v>24.456600000000002</v>
      </c>
      <c r="L56">
        <f t="shared" si="12"/>
        <v>218.57</v>
      </c>
      <c r="M56">
        <f t="shared" si="13"/>
        <v>62.5</v>
      </c>
    </row>
    <row r="57" spans="1:13" ht="15" customHeight="1" x14ac:dyDescent="0.3">
      <c r="A57" s="16" t="s">
        <v>221</v>
      </c>
      <c r="B57" s="17" t="s">
        <v>226</v>
      </c>
      <c r="C57" s="18"/>
      <c r="D57" s="19" t="s">
        <v>75</v>
      </c>
      <c r="E57" s="1" t="s">
        <v>61</v>
      </c>
      <c r="F57" s="20" t="s">
        <v>227</v>
      </c>
      <c r="G57">
        <f t="shared" si="7"/>
        <v>50</v>
      </c>
      <c r="H57">
        <f t="shared" si="8"/>
        <v>62.5</v>
      </c>
      <c r="I57">
        <f t="shared" si="9"/>
        <v>37.5</v>
      </c>
      <c r="J57">
        <f t="shared" si="10"/>
        <v>135.87</v>
      </c>
      <c r="K57">
        <f t="shared" si="11"/>
        <v>24.456600000000002</v>
      </c>
      <c r="L57">
        <f t="shared" si="12"/>
        <v>55.53</v>
      </c>
      <c r="M57">
        <f t="shared" si="13"/>
        <v>62.5</v>
      </c>
    </row>
    <row r="58" spans="1:13" ht="15" customHeight="1" x14ac:dyDescent="0.3">
      <c r="A58" s="21" t="s">
        <v>221</v>
      </c>
      <c r="B58" s="22" t="s">
        <v>228</v>
      </c>
      <c r="C58" s="23"/>
      <c r="D58" s="24" t="s">
        <v>75</v>
      </c>
      <c r="E58" s="1" t="s">
        <v>61</v>
      </c>
      <c r="F58" s="20" t="s">
        <v>229</v>
      </c>
      <c r="G58">
        <f t="shared" si="7"/>
        <v>150</v>
      </c>
      <c r="H58">
        <f t="shared" si="8"/>
        <v>75</v>
      </c>
      <c r="I58">
        <f t="shared" si="9"/>
        <v>37.5</v>
      </c>
      <c r="J58">
        <f t="shared" si="10"/>
        <v>163.04</v>
      </c>
      <c r="K58">
        <f t="shared" si="11"/>
        <v>29.347199999999997</v>
      </c>
      <c r="L58">
        <f t="shared" si="12"/>
        <v>262.29000000000002</v>
      </c>
      <c r="M58">
        <f t="shared" si="13"/>
        <v>62.5</v>
      </c>
    </row>
    <row r="59" spans="1:13" ht="15" customHeight="1" x14ac:dyDescent="0.3">
      <c r="A59" s="16" t="s">
        <v>221</v>
      </c>
      <c r="B59" s="17" t="s">
        <v>230</v>
      </c>
      <c r="C59" s="18"/>
      <c r="D59" s="19" t="s">
        <v>75</v>
      </c>
      <c r="E59" s="1" t="s">
        <v>61</v>
      </c>
      <c r="F59" s="20" t="s">
        <v>231</v>
      </c>
      <c r="G59">
        <f t="shared" si="7"/>
        <v>125</v>
      </c>
      <c r="H59">
        <f t="shared" si="8"/>
        <v>187.5</v>
      </c>
      <c r="I59">
        <f t="shared" si="9"/>
        <v>93.75</v>
      </c>
      <c r="J59">
        <f t="shared" si="10"/>
        <v>407.61</v>
      </c>
      <c r="K59">
        <f t="shared" si="11"/>
        <v>73.369799999999998</v>
      </c>
      <c r="L59">
        <f t="shared" si="12"/>
        <v>112.24</v>
      </c>
      <c r="M59">
        <f t="shared" si="13"/>
        <v>156.25</v>
      </c>
    </row>
    <row r="60" spans="1:13" ht="15" customHeight="1" x14ac:dyDescent="0.3">
      <c r="A60" s="21" t="s">
        <v>221</v>
      </c>
      <c r="B60" s="22" t="s">
        <v>232</v>
      </c>
      <c r="C60" s="23"/>
      <c r="D60" s="24" t="s">
        <v>75</v>
      </c>
      <c r="E60" s="1" t="s">
        <v>61</v>
      </c>
      <c r="F60" s="20" t="s">
        <v>233</v>
      </c>
      <c r="G60">
        <f t="shared" si="7"/>
        <v>125</v>
      </c>
      <c r="H60">
        <f t="shared" si="8"/>
        <v>156.25</v>
      </c>
      <c r="I60">
        <f t="shared" si="9"/>
        <v>31.25</v>
      </c>
      <c r="J60">
        <f t="shared" si="10"/>
        <v>339.67</v>
      </c>
      <c r="K60">
        <f t="shared" si="11"/>
        <v>61.140599999999999</v>
      </c>
      <c r="L60">
        <f t="shared" si="12"/>
        <v>138.82</v>
      </c>
      <c r="M60">
        <f t="shared" si="13"/>
        <v>52.08</v>
      </c>
    </row>
    <row r="61" spans="1:13" ht="15" customHeight="1" x14ac:dyDescent="0.3">
      <c r="A61" s="16" t="s">
        <v>221</v>
      </c>
      <c r="B61" s="17" t="s">
        <v>234</v>
      </c>
      <c r="C61" s="18"/>
      <c r="D61" s="19" t="s">
        <v>75</v>
      </c>
      <c r="E61" s="1" t="s">
        <v>61</v>
      </c>
      <c r="F61" s="20" t="s">
        <v>235</v>
      </c>
      <c r="G61">
        <f t="shared" si="7"/>
        <v>125</v>
      </c>
      <c r="H61">
        <f t="shared" si="8"/>
        <v>125</v>
      </c>
      <c r="I61">
        <f t="shared" si="9"/>
        <v>62.5</v>
      </c>
      <c r="J61">
        <f t="shared" si="10"/>
        <v>271.74</v>
      </c>
      <c r="K61">
        <f t="shared" si="11"/>
        <v>48.913200000000003</v>
      </c>
      <c r="L61">
        <f t="shared" si="12"/>
        <v>165.41</v>
      </c>
      <c r="M61">
        <f t="shared" si="13"/>
        <v>104.17</v>
      </c>
    </row>
    <row r="62" spans="1:13" ht="15" customHeight="1" x14ac:dyDescent="0.3">
      <c r="A62" s="21" t="s">
        <v>221</v>
      </c>
      <c r="B62" s="22" t="s">
        <v>236</v>
      </c>
      <c r="C62" s="23"/>
      <c r="D62" s="24" t="s">
        <v>75</v>
      </c>
      <c r="E62" s="1" t="s">
        <v>61</v>
      </c>
      <c r="F62" s="20" t="s">
        <v>237</v>
      </c>
      <c r="G62">
        <f t="shared" si="7"/>
        <v>62.5</v>
      </c>
      <c r="H62">
        <f t="shared" si="8"/>
        <v>62.5</v>
      </c>
      <c r="I62">
        <f t="shared" si="9"/>
        <v>62.5</v>
      </c>
      <c r="J62">
        <f t="shared" si="10"/>
        <v>135.87</v>
      </c>
      <c r="K62">
        <f t="shared" si="11"/>
        <v>24.456600000000002</v>
      </c>
      <c r="L62">
        <f t="shared" si="12"/>
        <v>82.7</v>
      </c>
      <c r="M62">
        <f t="shared" si="13"/>
        <v>104.17</v>
      </c>
    </row>
    <row r="63" spans="1:13" ht="15" customHeight="1" x14ac:dyDescent="0.3">
      <c r="A63" s="16" t="s">
        <v>221</v>
      </c>
      <c r="B63" s="17" t="s">
        <v>238</v>
      </c>
      <c r="C63" s="18"/>
      <c r="D63" s="19" t="s">
        <v>75</v>
      </c>
      <c r="E63" s="1" t="s">
        <v>61</v>
      </c>
      <c r="F63" s="20" t="s">
        <v>239</v>
      </c>
      <c r="G63">
        <f t="shared" si="7"/>
        <v>150</v>
      </c>
      <c r="H63">
        <f t="shared" si="8"/>
        <v>75</v>
      </c>
      <c r="I63">
        <f t="shared" si="9"/>
        <v>75</v>
      </c>
      <c r="J63">
        <f t="shared" si="10"/>
        <v>163.04</v>
      </c>
      <c r="K63">
        <f t="shared" si="11"/>
        <v>29.347199999999997</v>
      </c>
      <c r="L63">
        <f t="shared" si="12"/>
        <v>262.29000000000002</v>
      </c>
      <c r="M63">
        <f t="shared" si="13"/>
        <v>125</v>
      </c>
    </row>
    <row r="64" spans="1:13" ht="15" customHeight="1" x14ac:dyDescent="0.3">
      <c r="A64" s="21" t="s">
        <v>221</v>
      </c>
      <c r="B64" s="22" t="s">
        <v>240</v>
      </c>
      <c r="C64" s="23"/>
      <c r="D64" s="24" t="s">
        <v>75</v>
      </c>
      <c r="E64" s="1" t="s">
        <v>61</v>
      </c>
      <c r="F64" s="20" t="s">
        <v>241</v>
      </c>
      <c r="G64">
        <f t="shared" si="7"/>
        <v>7.5</v>
      </c>
      <c r="H64">
        <f t="shared" si="8"/>
        <v>15</v>
      </c>
      <c r="I64">
        <f t="shared" si="9"/>
        <v>15</v>
      </c>
      <c r="J64">
        <f t="shared" si="10"/>
        <v>32.61</v>
      </c>
      <c r="K64">
        <f t="shared" si="11"/>
        <v>5.8697999999999997</v>
      </c>
      <c r="L64">
        <f t="shared" si="12"/>
        <v>3.54</v>
      </c>
      <c r="M64">
        <f t="shared" si="13"/>
        <v>25</v>
      </c>
    </row>
    <row r="65" spans="1:13" ht="15" customHeight="1" x14ac:dyDescent="0.3">
      <c r="A65" s="16" t="s">
        <v>221</v>
      </c>
      <c r="B65" s="17" t="s">
        <v>242</v>
      </c>
      <c r="C65" s="18"/>
      <c r="D65" s="19" t="s">
        <v>75</v>
      </c>
      <c r="E65" s="1" t="s">
        <v>61</v>
      </c>
      <c r="F65" s="20" t="s">
        <v>241</v>
      </c>
      <c r="G65">
        <f t="shared" si="7"/>
        <v>7.5</v>
      </c>
      <c r="H65">
        <f t="shared" si="8"/>
        <v>15</v>
      </c>
      <c r="I65">
        <f t="shared" si="9"/>
        <v>15</v>
      </c>
      <c r="J65">
        <f t="shared" si="10"/>
        <v>32.61</v>
      </c>
      <c r="K65">
        <f t="shared" si="11"/>
        <v>5.8697999999999997</v>
      </c>
      <c r="L65">
        <f t="shared" si="12"/>
        <v>3.54</v>
      </c>
      <c r="M65">
        <f t="shared" si="13"/>
        <v>25</v>
      </c>
    </row>
    <row r="66" spans="1:13" ht="15" customHeight="1" x14ac:dyDescent="0.3">
      <c r="A66" s="21" t="s">
        <v>221</v>
      </c>
      <c r="B66" s="22" t="s">
        <v>243</v>
      </c>
      <c r="C66" s="23"/>
      <c r="D66" s="24" t="s">
        <v>75</v>
      </c>
      <c r="E66" s="1" t="s">
        <v>61</v>
      </c>
      <c r="F66" s="20" t="s">
        <v>241</v>
      </c>
      <c r="G66">
        <f t="shared" si="7"/>
        <v>7.5</v>
      </c>
      <c r="H66">
        <f t="shared" si="8"/>
        <v>15</v>
      </c>
      <c r="I66">
        <f t="shared" si="9"/>
        <v>15</v>
      </c>
      <c r="J66">
        <f t="shared" si="10"/>
        <v>32.61</v>
      </c>
      <c r="K66">
        <f t="shared" si="11"/>
        <v>5.8697999999999997</v>
      </c>
      <c r="L66">
        <f t="shared" si="12"/>
        <v>3.54</v>
      </c>
      <c r="M66">
        <f t="shared" si="13"/>
        <v>25</v>
      </c>
    </row>
    <row r="67" spans="1:13" ht="15" customHeight="1" x14ac:dyDescent="0.3">
      <c r="A67" s="16" t="s">
        <v>221</v>
      </c>
      <c r="B67" s="17" t="s">
        <v>244</v>
      </c>
      <c r="C67" s="18"/>
      <c r="D67" s="19" t="s">
        <v>75</v>
      </c>
      <c r="E67" s="1" t="s">
        <v>61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  <row r="68" spans="1:13" ht="15" customHeight="1" x14ac:dyDescent="0.3">
      <c r="A68" s="21" t="s">
        <v>221</v>
      </c>
      <c r="B68" s="22" t="s">
        <v>245</v>
      </c>
      <c r="C68" s="23"/>
      <c r="D68" s="24" t="s">
        <v>75</v>
      </c>
      <c r="E68" s="1" t="s">
        <v>61</v>
      </c>
      <c r="F68" s="20" t="s">
        <v>241</v>
      </c>
      <c r="G68">
        <f t="shared" si="7"/>
        <v>7.5</v>
      </c>
      <c r="H68">
        <f t="shared" si="8"/>
        <v>15</v>
      </c>
      <c r="I68">
        <f t="shared" si="9"/>
        <v>15</v>
      </c>
      <c r="J68">
        <f t="shared" si="10"/>
        <v>32.61</v>
      </c>
      <c r="K68">
        <f t="shared" si="11"/>
        <v>5.8697999999999997</v>
      </c>
      <c r="L68">
        <f t="shared" si="12"/>
        <v>3.54</v>
      </c>
      <c r="M68">
        <f t="shared" si="13"/>
        <v>25</v>
      </c>
    </row>
    <row r="69" spans="1:13" ht="15" customHeight="1" x14ac:dyDescent="0.3">
      <c r="A69" s="16" t="s">
        <v>221</v>
      </c>
      <c r="B69" s="17" t="s">
        <v>246</v>
      </c>
      <c r="C69" s="18"/>
      <c r="D69" s="19" t="s">
        <v>75</v>
      </c>
      <c r="E69" s="1" t="s">
        <v>61</v>
      </c>
      <c r="F69" s="20" t="s">
        <v>247</v>
      </c>
      <c r="G69">
        <f t="shared" si="7"/>
        <v>200</v>
      </c>
      <c r="H69">
        <f t="shared" si="8"/>
        <v>75</v>
      </c>
      <c r="I69">
        <f t="shared" si="9"/>
        <v>37.5</v>
      </c>
      <c r="J69">
        <f t="shared" si="10"/>
        <v>163.04</v>
      </c>
      <c r="K69">
        <f t="shared" si="11"/>
        <v>29.347199999999997</v>
      </c>
      <c r="L69">
        <f t="shared" si="12"/>
        <v>370.98</v>
      </c>
      <c r="M69">
        <f t="shared" si="13"/>
        <v>62.5</v>
      </c>
    </row>
    <row r="70" spans="1:13" ht="15" customHeight="1" x14ac:dyDescent="0.3">
      <c r="A70" s="21" t="s">
        <v>221</v>
      </c>
      <c r="B70" s="22" t="s">
        <v>248</v>
      </c>
      <c r="C70" s="23"/>
      <c r="D70" s="24" t="s">
        <v>75</v>
      </c>
      <c r="E70" s="1" t="s">
        <v>61</v>
      </c>
      <c r="F70" s="20" t="s">
        <v>249</v>
      </c>
      <c r="G70">
        <f t="shared" si="7"/>
        <v>125</v>
      </c>
      <c r="H70">
        <f t="shared" si="8"/>
        <v>62.5</v>
      </c>
      <c r="I70">
        <f t="shared" si="9"/>
        <v>62.5</v>
      </c>
      <c r="J70">
        <f t="shared" si="10"/>
        <v>135.87</v>
      </c>
      <c r="K70">
        <f t="shared" si="11"/>
        <v>24.456600000000002</v>
      </c>
      <c r="L70">
        <f t="shared" si="12"/>
        <v>218.57</v>
      </c>
      <c r="M70">
        <f t="shared" si="13"/>
        <v>104.17</v>
      </c>
    </row>
    <row r="71" spans="1:13" ht="15" customHeight="1" x14ac:dyDescent="0.3">
      <c r="A71" s="16" t="s">
        <v>221</v>
      </c>
      <c r="B71" s="17" t="s">
        <v>250</v>
      </c>
      <c r="C71" s="18"/>
      <c r="D71" s="19" t="s">
        <v>75</v>
      </c>
      <c r="E71" s="1" t="s">
        <v>61</v>
      </c>
      <c r="F71" s="20" t="s">
        <v>251</v>
      </c>
      <c r="G71">
        <f t="shared" ref="G71:G91" si="14">IF($F71="","",IFERROR(VALUE(TRIM(LEFT($F71,FIND(":",$F71)-1)))*1.25,"N/A"))</f>
        <v>75</v>
      </c>
      <c r="H71">
        <f t="shared" ref="H71:H91" si="15">IF($F71="","",IFERROR(VALUE(TRIM(MID($F71,FIND(":",$F71)+1,FIND(":",$F71,FIND(":",$F71)+1)-FIND(":",$F71)-1)))*1.25,"N/A"))</f>
        <v>75</v>
      </c>
      <c r="I71">
        <f t="shared" ref="I71:I91" si="16">IF($F71="","",IFERROR(VALUE(TRIM(LEFT(MID($F71,FIND(":",$F71,FIND(":",$F71)+1)+1,LEN($F71)),FIND(" ",MID($F71,FIND(":",$F71,FIND(":",$F71)+1)+1,LEN($F71))&amp;" ")-1)))*1.25,"N/A"))</f>
        <v>75</v>
      </c>
      <c r="J71">
        <f t="shared" ref="J71:J91" si="17">IF(OR($F71="",$H71="N/A"),IF($F71="","","N/A"),ROUND($H71/0.46,2))</f>
        <v>163.04</v>
      </c>
      <c r="K71">
        <f t="shared" ref="K71:K91" si="18">IF(OR($F71="",$J71="N/A"),IF($F71="","","N/A"),$J71*0.18)</f>
        <v>29.347199999999997</v>
      </c>
      <c r="L71">
        <f t="shared" ref="L71:L91" si="19">IF(OR($F71="",$G71="N/A",$K71="N/A"),IF($F71="","","N/A"),ROUND(($G71-$K71)/0.46,2))</f>
        <v>99.25</v>
      </c>
      <c r="M71">
        <f t="shared" ref="M71:M91" si="20">IF(OR($F71="",$I71="N/A"),IF($F71="","","N/A"),ROUND($I71/0.6,2))</f>
        <v>125</v>
      </c>
    </row>
    <row r="72" spans="1:13" ht="18" customHeight="1" x14ac:dyDescent="0.3">
      <c r="A72" s="25" t="s">
        <v>252</v>
      </c>
      <c r="B72" s="25"/>
      <c r="C72" s="25"/>
      <c r="G72" t="str">
        <f t="shared" si="14"/>
        <v/>
      </c>
      <c r="H72" t="str">
        <f t="shared" si="15"/>
        <v/>
      </c>
      <c r="I72" t="str">
        <f t="shared" si="16"/>
        <v/>
      </c>
      <c r="J72" t="str">
        <f t="shared" si="17"/>
        <v/>
      </c>
      <c r="K72" t="str">
        <f t="shared" si="18"/>
        <v/>
      </c>
      <c r="L72" t="str">
        <f t="shared" si="19"/>
        <v/>
      </c>
      <c r="M72" t="str">
        <f t="shared" si="20"/>
        <v/>
      </c>
    </row>
    <row r="73" spans="1:13" ht="15" customHeight="1" x14ac:dyDescent="0.3">
      <c r="A73" s="21" t="s">
        <v>253</v>
      </c>
      <c r="B73" s="22" t="s">
        <v>254</v>
      </c>
      <c r="C73" s="23"/>
      <c r="D73" s="24" t="s">
        <v>75</v>
      </c>
      <c r="E73" s="1" t="s">
        <v>61</v>
      </c>
      <c r="F73" s="20" t="s">
        <v>229</v>
      </c>
      <c r="G73">
        <f t="shared" si="14"/>
        <v>150</v>
      </c>
      <c r="H73">
        <f t="shared" si="15"/>
        <v>75</v>
      </c>
      <c r="I73">
        <f t="shared" si="16"/>
        <v>37.5</v>
      </c>
      <c r="J73">
        <f t="shared" si="17"/>
        <v>163.04</v>
      </c>
      <c r="K73">
        <f t="shared" si="18"/>
        <v>29.347199999999997</v>
      </c>
      <c r="L73">
        <f t="shared" si="19"/>
        <v>262.29000000000002</v>
      </c>
      <c r="M73">
        <f t="shared" si="20"/>
        <v>62.5</v>
      </c>
    </row>
    <row r="74" spans="1:13" ht="15" customHeight="1" x14ac:dyDescent="0.3">
      <c r="A74" s="16" t="s">
        <v>253</v>
      </c>
      <c r="B74" s="17" t="s">
        <v>255</v>
      </c>
      <c r="C74" s="18"/>
      <c r="D74" s="19" t="s">
        <v>75</v>
      </c>
      <c r="E74" s="1" t="s">
        <v>61</v>
      </c>
      <c r="F74" s="20" t="s">
        <v>256</v>
      </c>
      <c r="G74">
        <f t="shared" si="14"/>
        <v>31.25</v>
      </c>
      <c r="H74">
        <f t="shared" si="15"/>
        <v>75</v>
      </c>
      <c r="I74">
        <f t="shared" si="16"/>
        <v>22.5</v>
      </c>
      <c r="J74">
        <f t="shared" si="17"/>
        <v>163.04</v>
      </c>
      <c r="K74">
        <f t="shared" si="18"/>
        <v>29.347199999999997</v>
      </c>
      <c r="L74">
        <f t="shared" si="19"/>
        <v>4.1399999999999997</v>
      </c>
      <c r="M74">
        <f t="shared" si="20"/>
        <v>37.5</v>
      </c>
    </row>
    <row r="75" spans="1:13" ht="15" customHeight="1" x14ac:dyDescent="0.3">
      <c r="A75" s="21" t="s">
        <v>253</v>
      </c>
      <c r="B75" s="22" t="s">
        <v>257</v>
      </c>
      <c r="C75" s="23"/>
      <c r="D75" s="24" t="s">
        <v>75</v>
      </c>
      <c r="E75" s="1" t="s">
        <v>61</v>
      </c>
      <c r="F75" s="20" t="s">
        <v>160</v>
      </c>
      <c r="G75">
        <f t="shared" si="14"/>
        <v>25</v>
      </c>
      <c r="H75">
        <f t="shared" si="15"/>
        <v>50</v>
      </c>
      <c r="I75">
        <f t="shared" si="16"/>
        <v>25</v>
      </c>
      <c r="J75">
        <f t="shared" si="17"/>
        <v>108.7</v>
      </c>
      <c r="K75">
        <f t="shared" si="18"/>
        <v>19.565999999999999</v>
      </c>
      <c r="L75">
        <f t="shared" si="19"/>
        <v>11.81</v>
      </c>
      <c r="M75">
        <f t="shared" si="20"/>
        <v>41.67</v>
      </c>
    </row>
    <row r="76" spans="1:13" ht="15" customHeight="1" x14ac:dyDescent="0.3">
      <c r="A76" s="16" t="s">
        <v>253</v>
      </c>
      <c r="B76" s="17" t="s">
        <v>258</v>
      </c>
      <c r="C76" s="18"/>
      <c r="D76" s="19" t="s">
        <v>75</v>
      </c>
      <c r="E76" s="1" t="s">
        <v>61</v>
      </c>
      <c r="F76" s="20" t="s">
        <v>160</v>
      </c>
      <c r="G76">
        <f t="shared" si="14"/>
        <v>25</v>
      </c>
      <c r="H76">
        <f t="shared" si="15"/>
        <v>50</v>
      </c>
      <c r="I76">
        <f t="shared" si="16"/>
        <v>25</v>
      </c>
      <c r="J76">
        <f t="shared" si="17"/>
        <v>108.7</v>
      </c>
      <c r="K76">
        <f t="shared" si="18"/>
        <v>19.565999999999999</v>
      </c>
      <c r="L76">
        <f t="shared" si="19"/>
        <v>11.81</v>
      </c>
      <c r="M76">
        <f t="shared" si="20"/>
        <v>41.67</v>
      </c>
    </row>
    <row r="77" spans="1:13" ht="15" customHeight="1" x14ac:dyDescent="0.3">
      <c r="A77" s="21" t="s">
        <v>253</v>
      </c>
      <c r="B77" s="22" t="s">
        <v>259</v>
      </c>
      <c r="C77" s="23"/>
      <c r="D77" s="24" t="s">
        <v>75</v>
      </c>
      <c r="E77" s="1" t="s">
        <v>61</v>
      </c>
      <c r="F77" s="20" t="s">
        <v>260</v>
      </c>
      <c r="G77">
        <f t="shared" si="14"/>
        <v>125</v>
      </c>
      <c r="H77">
        <f t="shared" si="15"/>
        <v>50</v>
      </c>
      <c r="I77">
        <f t="shared" si="16"/>
        <v>175</v>
      </c>
      <c r="J77">
        <f t="shared" si="17"/>
        <v>108.7</v>
      </c>
      <c r="K77">
        <f t="shared" si="18"/>
        <v>19.565999999999999</v>
      </c>
      <c r="L77">
        <f t="shared" si="19"/>
        <v>229.2</v>
      </c>
      <c r="M77">
        <f t="shared" si="20"/>
        <v>291.67</v>
      </c>
    </row>
    <row r="78" spans="1:13" ht="15" customHeight="1" x14ac:dyDescent="0.3">
      <c r="A78" s="16" t="s">
        <v>253</v>
      </c>
      <c r="B78" s="17" t="s">
        <v>261</v>
      </c>
      <c r="C78" s="18"/>
      <c r="D78" s="19" t="s">
        <v>75</v>
      </c>
      <c r="E78" s="1" t="s">
        <v>61</v>
      </c>
      <c r="F78" s="20" t="s">
        <v>262</v>
      </c>
      <c r="G78">
        <f t="shared" si="14"/>
        <v>187.5</v>
      </c>
      <c r="H78">
        <f t="shared" si="15"/>
        <v>125</v>
      </c>
      <c r="I78">
        <f t="shared" si="16"/>
        <v>37.5</v>
      </c>
      <c r="J78">
        <f t="shared" si="17"/>
        <v>271.74</v>
      </c>
      <c r="K78">
        <f t="shared" si="18"/>
        <v>48.913200000000003</v>
      </c>
      <c r="L78">
        <f t="shared" si="19"/>
        <v>301.27999999999997</v>
      </c>
      <c r="M78">
        <f t="shared" si="20"/>
        <v>62.5</v>
      </c>
    </row>
    <row r="79" spans="1:13" ht="18" customHeight="1" x14ac:dyDescent="0.3">
      <c r="A79" s="25" t="s">
        <v>263</v>
      </c>
      <c r="B79" s="25"/>
      <c r="C79" s="25"/>
      <c r="G79" t="str">
        <f t="shared" si="14"/>
        <v/>
      </c>
      <c r="H79" t="str">
        <f t="shared" si="15"/>
        <v/>
      </c>
      <c r="I79" t="str">
        <f t="shared" si="16"/>
        <v/>
      </c>
      <c r="J79" t="str">
        <f t="shared" si="17"/>
        <v/>
      </c>
      <c r="K79" t="str">
        <f t="shared" si="18"/>
        <v/>
      </c>
      <c r="L79" t="str">
        <f t="shared" si="19"/>
        <v/>
      </c>
      <c r="M79" t="str">
        <f t="shared" si="20"/>
        <v/>
      </c>
    </row>
    <row r="80" spans="1:13" ht="15" customHeight="1" x14ac:dyDescent="0.3">
      <c r="A80" s="21" t="s">
        <v>264</v>
      </c>
      <c r="B80" s="22" t="s">
        <v>206</v>
      </c>
      <c r="C80" s="23"/>
      <c r="D80" s="24" t="s">
        <v>75</v>
      </c>
      <c r="E80" s="1" t="s">
        <v>61</v>
      </c>
      <c r="F80" s="20" t="s">
        <v>207</v>
      </c>
      <c r="G80">
        <f t="shared" si="14"/>
        <v>700</v>
      </c>
      <c r="H80">
        <f t="shared" si="15"/>
        <v>400</v>
      </c>
      <c r="I80">
        <f t="shared" si="16"/>
        <v>1500</v>
      </c>
      <c r="J80">
        <f t="shared" si="17"/>
        <v>869.57</v>
      </c>
      <c r="K80">
        <f t="shared" si="18"/>
        <v>156.52260000000001</v>
      </c>
      <c r="L80">
        <f t="shared" si="19"/>
        <v>1181.47</v>
      </c>
      <c r="M80">
        <f t="shared" si="20"/>
        <v>2500</v>
      </c>
    </row>
    <row r="81" spans="1:13" ht="15" customHeight="1" x14ac:dyDescent="0.3">
      <c r="A81" s="16" t="s">
        <v>264</v>
      </c>
      <c r="B81" s="17" t="s">
        <v>212</v>
      </c>
      <c r="C81" s="18"/>
      <c r="D81" s="19" t="s">
        <v>75</v>
      </c>
      <c r="E81" s="1" t="s">
        <v>61</v>
      </c>
      <c r="F81" s="20" t="s">
        <v>213</v>
      </c>
      <c r="G81">
        <f t="shared" si="14"/>
        <v>625</v>
      </c>
      <c r="H81">
        <f t="shared" si="15"/>
        <v>250</v>
      </c>
      <c r="I81">
        <f t="shared" si="16"/>
        <v>375</v>
      </c>
      <c r="J81">
        <f t="shared" si="17"/>
        <v>543.48</v>
      </c>
      <c r="K81">
        <f t="shared" si="18"/>
        <v>97.826400000000007</v>
      </c>
      <c r="L81">
        <f t="shared" si="19"/>
        <v>1146.03</v>
      </c>
      <c r="M81">
        <f t="shared" si="20"/>
        <v>625</v>
      </c>
    </row>
    <row r="82" spans="1:13" ht="15" customHeight="1" x14ac:dyDescent="0.3">
      <c r="A82" s="21" t="s">
        <v>264</v>
      </c>
      <c r="B82" s="22" t="s">
        <v>178</v>
      </c>
      <c r="C82" s="23"/>
      <c r="D82" s="24" t="s">
        <v>75</v>
      </c>
      <c r="E82" s="1" t="s">
        <v>61</v>
      </c>
      <c r="F82" s="20" t="s">
        <v>179</v>
      </c>
      <c r="G82">
        <f t="shared" si="14"/>
        <v>1500</v>
      </c>
      <c r="H82">
        <f t="shared" si="15"/>
        <v>750</v>
      </c>
      <c r="I82">
        <f t="shared" si="16"/>
        <v>3375</v>
      </c>
      <c r="J82">
        <f t="shared" si="17"/>
        <v>1630.43</v>
      </c>
      <c r="K82">
        <f t="shared" si="18"/>
        <v>293.47739999999999</v>
      </c>
      <c r="L82">
        <f t="shared" si="19"/>
        <v>2622.88</v>
      </c>
      <c r="M82">
        <f t="shared" si="20"/>
        <v>5625</v>
      </c>
    </row>
    <row r="83" spans="1:13" ht="15" customHeight="1" x14ac:dyDescent="0.3">
      <c r="A83" s="16" t="s">
        <v>264</v>
      </c>
      <c r="B83" s="17" t="s">
        <v>265</v>
      </c>
      <c r="C83" s="18"/>
      <c r="D83" s="19" t="s">
        <v>75</v>
      </c>
      <c r="E83" s="1" t="s">
        <v>61</v>
      </c>
      <c r="F83" s="20" t="s">
        <v>266</v>
      </c>
      <c r="G83">
        <f t="shared" si="14"/>
        <v>125</v>
      </c>
      <c r="H83">
        <f t="shared" si="15"/>
        <v>50</v>
      </c>
      <c r="I83">
        <f t="shared" si="16"/>
        <v>187.5</v>
      </c>
      <c r="J83">
        <f t="shared" si="17"/>
        <v>108.7</v>
      </c>
      <c r="K83">
        <f t="shared" si="18"/>
        <v>19.565999999999999</v>
      </c>
      <c r="L83">
        <f t="shared" si="19"/>
        <v>229.2</v>
      </c>
      <c r="M83">
        <f t="shared" si="20"/>
        <v>312.5</v>
      </c>
    </row>
    <row r="84" spans="1:13" ht="15" customHeight="1" x14ac:dyDescent="0.3">
      <c r="A84" s="21" t="s">
        <v>264</v>
      </c>
      <c r="B84" s="22" t="s">
        <v>267</v>
      </c>
      <c r="C84" s="23"/>
      <c r="D84" s="24" t="s">
        <v>75</v>
      </c>
      <c r="E84" s="1" t="s">
        <v>61</v>
      </c>
      <c r="F84" s="20" t="s">
        <v>268</v>
      </c>
      <c r="G84">
        <f t="shared" si="14"/>
        <v>15</v>
      </c>
      <c r="H84">
        <f t="shared" si="15"/>
        <v>7.5</v>
      </c>
      <c r="I84">
        <f t="shared" si="16"/>
        <v>7.5</v>
      </c>
      <c r="J84">
        <f t="shared" si="17"/>
        <v>16.3</v>
      </c>
      <c r="K84">
        <f t="shared" si="18"/>
        <v>2.9340000000000002</v>
      </c>
      <c r="L84">
        <f t="shared" si="19"/>
        <v>26.23</v>
      </c>
      <c r="M84">
        <f t="shared" si="20"/>
        <v>12.5</v>
      </c>
    </row>
    <row r="85" spans="1:13" ht="18" customHeight="1" x14ac:dyDescent="0.3">
      <c r="A85" s="25" t="s">
        <v>269</v>
      </c>
      <c r="B85" s="25"/>
      <c r="C85" s="25"/>
      <c r="G85" t="str">
        <f t="shared" si="14"/>
        <v/>
      </c>
      <c r="H85" t="str">
        <f t="shared" si="15"/>
        <v/>
      </c>
      <c r="I85" t="str">
        <f t="shared" si="16"/>
        <v/>
      </c>
      <c r="J85" t="str">
        <f t="shared" si="17"/>
        <v/>
      </c>
      <c r="K85" t="str">
        <f t="shared" si="18"/>
        <v/>
      </c>
      <c r="L85" t="str">
        <f t="shared" si="19"/>
        <v/>
      </c>
      <c r="M85" t="str">
        <f t="shared" si="20"/>
        <v/>
      </c>
    </row>
    <row r="86" spans="1:13" ht="15" customHeight="1" x14ac:dyDescent="0.3">
      <c r="A86" s="16" t="s">
        <v>270</v>
      </c>
      <c r="B86" s="17" t="s">
        <v>271</v>
      </c>
      <c r="C86" s="18"/>
      <c r="D86" s="19" t="s">
        <v>75</v>
      </c>
      <c r="E86" s="1" t="s">
        <v>61</v>
      </c>
      <c r="F86" s="20" t="s">
        <v>241</v>
      </c>
      <c r="G86">
        <f t="shared" si="14"/>
        <v>7.5</v>
      </c>
      <c r="H86">
        <f t="shared" si="15"/>
        <v>15</v>
      </c>
      <c r="I86">
        <f t="shared" si="16"/>
        <v>15</v>
      </c>
      <c r="J86">
        <f t="shared" si="17"/>
        <v>32.61</v>
      </c>
      <c r="K86">
        <f t="shared" si="18"/>
        <v>5.8697999999999997</v>
      </c>
      <c r="L86">
        <f t="shared" si="19"/>
        <v>3.54</v>
      </c>
      <c r="M86">
        <f t="shared" si="20"/>
        <v>25</v>
      </c>
    </row>
    <row r="87" spans="1:13" ht="15" customHeight="1" x14ac:dyDescent="0.3">
      <c r="A87" s="21" t="s">
        <v>270</v>
      </c>
      <c r="B87" s="22" t="s">
        <v>272</v>
      </c>
      <c r="C87" s="23"/>
      <c r="D87" s="24" t="s">
        <v>75</v>
      </c>
      <c r="E87" s="1" t="s">
        <v>61</v>
      </c>
      <c r="F87" s="20" t="s">
        <v>273</v>
      </c>
      <c r="G87">
        <f t="shared" si="14"/>
        <v>112.5</v>
      </c>
      <c r="H87">
        <f t="shared" si="15"/>
        <v>112.5</v>
      </c>
      <c r="I87">
        <f t="shared" si="16"/>
        <v>93.75</v>
      </c>
      <c r="J87">
        <f t="shared" si="17"/>
        <v>244.57</v>
      </c>
      <c r="K87">
        <f t="shared" si="18"/>
        <v>44.022599999999997</v>
      </c>
      <c r="L87">
        <f t="shared" si="19"/>
        <v>148.86000000000001</v>
      </c>
      <c r="M87">
        <f t="shared" si="20"/>
        <v>156.25</v>
      </c>
    </row>
    <row r="88" spans="1:13" ht="15" customHeight="1" x14ac:dyDescent="0.3">
      <c r="A88" s="16" t="s">
        <v>270</v>
      </c>
      <c r="B88" s="17" t="s">
        <v>274</v>
      </c>
      <c r="C88" s="18"/>
      <c r="D88" s="19" t="s">
        <v>75</v>
      </c>
      <c r="E88" s="1" t="s">
        <v>61</v>
      </c>
      <c r="F88" s="20" t="s">
        <v>275</v>
      </c>
      <c r="G88">
        <f t="shared" si="14"/>
        <v>75</v>
      </c>
      <c r="H88">
        <f t="shared" si="15"/>
        <v>150</v>
      </c>
      <c r="I88">
        <f t="shared" si="16"/>
        <v>150</v>
      </c>
      <c r="J88">
        <f t="shared" si="17"/>
        <v>326.08999999999997</v>
      </c>
      <c r="K88">
        <f t="shared" si="18"/>
        <v>58.69619999999999</v>
      </c>
      <c r="L88">
        <f t="shared" si="19"/>
        <v>35.44</v>
      </c>
      <c r="M88">
        <f t="shared" si="20"/>
        <v>250</v>
      </c>
    </row>
    <row r="89" spans="1:13" ht="15" customHeight="1" x14ac:dyDescent="0.3">
      <c r="A89" s="21" t="s">
        <v>270</v>
      </c>
      <c r="B89" s="22" t="s">
        <v>276</v>
      </c>
      <c r="C89" s="23"/>
      <c r="D89" s="24" t="s">
        <v>75</v>
      </c>
      <c r="E89" s="1" t="s">
        <v>61</v>
      </c>
      <c r="F89" s="20" t="s">
        <v>277</v>
      </c>
      <c r="G89">
        <f t="shared" si="14"/>
        <v>156.25</v>
      </c>
      <c r="H89">
        <f t="shared" si="15"/>
        <v>150</v>
      </c>
      <c r="I89">
        <f t="shared" si="16"/>
        <v>31.25</v>
      </c>
      <c r="J89">
        <f t="shared" si="17"/>
        <v>326.08999999999997</v>
      </c>
      <c r="K89">
        <f t="shared" si="18"/>
        <v>58.69619999999999</v>
      </c>
      <c r="L89">
        <f t="shared" si="19"/>
        <v>212.07</v>
      </c>
      <c r="M89">
        <f t="shared" si="20"/>
        <v>52.08</v>
      </c>
    </row>
    <row r="90" spans="1:13" ht="15" customHeight="1" x14ac:dyDescent="0.3">
      <c r="A90" s="16" t="s">
        <v>270</v>
      </c>
      <c r="B90" s="17" t="s">
        <v>278</v>
      </c>
      <c r="C90" s="18"/>
      <c r="D90" s="19" t="s">
        <v>75</v>
      </c>
      <c r="E90" s="1" t="s">
        <v>61</v>
      </c>
      <c r="F90" s="20" t="s">
        <v>279</v>
      </c>
      <c r="G90">
        <f t="shared" si="14"/>
        <v>250</v>
      </c>
      <c r="H90">
        <f t="shared" si="15"/>
        <v>250</v>
      </c>
      <c r="I90">
        <f t="shared" si="16"/>
        <v>250</v>
      </c>
      <c r="J90">
        <f t="shared" si="17"/>
        <v>543.48</v>
      </c>
      <c r="K90">
        <f t="shared" si="18"/>
        <v>97.826400000000007</v>
      </c>
      <c r="L90">
        <f t="shared" si="19"/>
        <v>330.81</v>
      </c>
      <c r="M90">
        <f t="shared" si="20"/>
        <v>416.67</v>
      </c>
    </row>
    <row r="91" spans="1:13" ht="15" customHeight="1" x14ac:dyDescent="0.3">
      <c r="A91" s="21" t="s">
        <v>270</v>
      </c>
      <c r="B91" s="22" t="s">
        <v>280</v>
      </c>
      <c r="C91" s="23"/>
      <c r="D91" s="24" t="s">
        <v>75</v>
      </c>
      <c r="E91" s="1" t="s">
        <v>61</v>
      </c>
      <c r="F91" s="20" t="s">
        <v>281</v>
      </c>
      <c r="G91">
        <f t="shared" si="14"/>
        <v>93.75</v>
      </c>
      <c r="H91">
        <f t="shared" si="15"/>
        <v>62.5</v>
      </c>
      <c r="I91">
        <f t="shared" si="16"/>
        <v>156.25</v>
      </c>
      <c r="J91">
        <f t="shared" si="17"/>
        <v>135.87</v>
      </c>
      <c r="K91">
        <f t="shared" si="18"/>
        <v>24.456600000000002</v>
      </c>
      <c r="L91">
        <f t="shared" si="19"/>
        <v>150.63999999999999</v>
      </c>
      <c r="M91">
        <f t="shared" si="20"/>
        <v>260.42</v>
      </c>
    </row>
  </sheetData>
  <mergeCells count="13">
    <mergeCell ref="A1:C1"/>
    <mergeCell ref="A2:C2"/>
    <mergeCell ref="A3:C3"/>
    <mergeCell ref="A4:C4"/>
    <mergeCell ref="A7:C7"/>
    <mergeCell ref="A72:C72"/>
    <mergeCell ref="A79:C79"/>
    <mergeCell ref="A85:C85"/>
    <mergeCell ref="A16:C16"/>
    <mergeCell ref="A24:C24"/>
    <mergeCell ref="A32:C32"/>
    <mergeCell ref="A36:C36"/>
    <mergeCell ref="A54:C5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M7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282</v>
      </c>
      <c r="B1" s="26"/>
      <c r="C1" s="26"/>
    </row>
    <row r="2" spans="1:13" ht="19.5" customHeight="1" x14ac:dyDescent="0.3">
      <c r="A2" s="27" t="s">
        <v>283</v>
      </c>
      <c r="B2" s="27"/>
      <c r="C2" s="27"/>
    </row>
    <row r="3" spans="1:13" ht="19.5" customHeight="1" x14ac:dyDescent="0.3">
      <c r="A3" s="27" t="s">
        <v>284</v>
      </c>
      <c r="B3" s="27"/>
      <c r="C3" s="27"/>
    </row>
    <row r="4" spans="1:13" ht="19.5" customHeight="1" x14ac:dyDescent="0.3">
      <c r="A4" s="27" t="s">
        <v>285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286</v>
      </c>
      <c r="C8" s="18"/>
      <c r="D8" s="19" t="s">
        <v>77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77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287</v>
      </c>
      <c r="C10" s="18"/>
      <c r="D10" s="19" t="s">
        <v>77</v>
      </c>
      <c r="E10" s="1" t="s">
        <v>43</v>
      </c>
      <c r="F10" s="20" t="s">
        <v>288</v>
      </c>
      <c r="G10">
        <f t="shared" si="0"/>
        <v>50</v>
      </c>
      <c r="H10">
        <f t="shared" si="1"/>
        <v>25</v>
      </c>
      <c r="I10">
        <f t="shared" si="2"/>
        <v>25</v>
      </c>
      <c r="J10">
        <f t="shared" si="3"/>
        <v>54.35</v>
      </c>
      <c r="K10">
        <f t="shared" si="4"/>
        <v>9.7829999999999995</v>
      </c>
      <c r="L10">
        <f t="shared" si="5"/>
        <v>87.43</v>
      </c>
      <c r="M10">
        <f t="shared" si="6"/>
        <v>41.67</v>
      </c>
    </row>
    <row r="11" spans="1:13" ht="15" customHeight="1" x14ac:dyDescent="0.3">
      <c r="A11" s="21" t="s">
        <v>141</v>
      </c>
      <c r="B11" s="22" t="s">
        <v>289</v>
      </c>
      <c r="C11" s="23"/>
      <c r="D11" s="24" t="s">
        <v>77</v>
      </c>
      <c r="E11" s="1" t="s">
        <v>43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5" customHeight="1" x14ac:dyDescent="0.3">
      <c r="A12" s="16" t="s">
        <v>141</v>
      </c>
      <c r="B12" s="17" t="s">
        <v>290</v>
      </c>
      <c r="C12" s="18"/>
      <c r="D12" s="19" t="s">
        <v>77</v>
      </c>
      <c r="E12" s="1" t="s">
        <v>43</v>
      </c>
      <c r="F12" s="20" t="s">
        <v>291</v>
      </c>
      <c r="G12">
        <f t="shared" si="0"/>
        <v>150</v>
      </c>
      <c r="H12">
        <f t="shared" si="1"/>
        <v>75</v>
      </c>
      <c r="I12">
        <f t="shared" si="2"/>
        <v>50</v>
      </c>
      <c r="J12">
        <f t="shared" si="3"/>
        <v>163.04</v>
      </c>
      <c r="K12">
        <f t="shared" si="4"/>
        <v>29.347199999999997</v>
      </c>
      <c r="L12">
        <f t="shared" si="5"/>
        <v>262.29000000000002</v>
      </c>
      <c r="M12">
        <f t="shared" si="6"/>
        <v>83.33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176</v>
      </c>
      <c r="C14" s="23"/>
      <c r="D14" s="24" t="s">
        <v>77</v>
      </c>
      <c r="E14" s="1" t="s">
        <v>43</v>
      </c>
      <c r="F14" s="20" t="s">
        <v>177</v>
      </c>
      <c r="G14">
        <f t="shared" si="0"/>
        <v>25</v>
      </c>
      <c r="H14">
        <f t="shared" si="1"/>
        <v>75</v>
      </c>
      <c r="I14">
        <f t="shared" si="2"/>
        <v>50</v>
      </c>
      <c r="J14">
        <f t="shared" si="3"/>
        <v>163.04</v>
      </c>
      <c r="K14">
        <f t="shared" si="4"/>
        <v>29.347199999999997</v>
      </c>
      <c r="L14">
        <f t="shared" si="5"/>
        <v>-9.4499999999999993</v>
      </c>
      <c r="M14">
        <f t="shared" si="6"/>
        <v>83.33</v>
      </c>
    </row>
    <row r="15" spans="1:13" ht="15" customHeight="1" x14ac:dyDescent="0.3">
      <c r="A15" s="16" t="s">
        <v>156</v>
      </c>
      <c r="B15" s="17" t="s">
        <v>292</v>
      </c>
      <c r="C15" s="18"/>
      <c r="D15" s="19" t="s">
        <v>77</v>
      </c>
      <c r="E15" s="1" t="s">
        <v>43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293</v>
      </c>
      <c r="C16" s="23"/>
      <c r="D16" s="24" t="s">
        <v>77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163</v>
      </c>
      <c r="C17" s="18"/>
      <c r="D17" s="19" t="s">
        <v>77</v>
      </c>
      <c r="E17" s="1" t="s">
        <v>43</v>
      </c>
      <c r="F17" s="20" t="s">
        <v>164</v>
      </c>
      <c r="G17">
        <f t="shared" si="0"/>
        <v>12.5</v>
      </c>
      <c r="H17">
        <f t="shared" si="1"/>
        <v>25</v>
      </c>
      <c r="I17">
        <f t="shared" si="2"/>
        <v>12.5</v>
      </c>
      <c r="J17">
        <f t="shared" si="3"/>
        <v>54.35</v>
      </c>
      <c r="K17">
        <f t="shared" si="4"/>
        <v>9.7829999999999995</v>
      </c>
      <c r="L17">
        <f t="shared" si="5"/>
        <v>5.91</v>
      </c>
      <c r="M17">
        <f t="shared" si="6"/>
        <v>20.83</v>
      </c>
    </row>
    <row r="18" spans="1:13" ht="15" customHeight="1" x14ac:dyDescent="0.3">
      <c r="A18" s="21" t="s">
        <v>156</v>
      </c>
      <c r="B18" s="22" t="s">
        <v>165</v>
      </c>
      <c r="C18" s="23"/>
      <c r="D18" s="24" t="s">
        <v>77</v>
      </c>
      <c r="E18" s="1" t="s">
        <v>43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8" customHeight="1" x14ac:dyDescent="0.3">
      <c r="A19" s="25" t="s">
        <v>167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16" t="s">
        <v>168</v>
      </c>
      <c r="B20" s="17" t="s">
        <v>175</v>
      </c>
      <c r="C20" s="18"/>
      <c r="D20" s="19" t="s">
        <v>77</v>
      </c>
      <c r="E20" s="1" t="s">
        <v>43</v>
      </c>
      <c r="F20" s="20" t="s">
        <v>147</v>
      </c>
      <c r="G20">
        <f t="shared" si="0"/>
        <v>100</v>
      </c>
      <c r="H20">
        <f t="shared" si="1"/>
        <v>50</v>
      </c>
      <c r="I20">
        <f t="shared" si="2"/>
        <v>50</v>
      </c>
      <c r="J20">
        <f t="shared" si="3"/>
        <v>108.7</v>
      </c>
      <c r="K20">
        <f t="shared" si="4"/>
        <v>19.565999999999999</v>
      </c>
      <c r="L20">
        <f t="shared" si="5"/>
        <v>174.86</v>
      </c>
      <c r="M20">
        <f t="shared" si="6"/>
        <v>83.33</v>
      </c>
    </row>
    <row r="21" spans="1:13" ht="15" customHeight="1" x14ac:dyDescent="0.3">
      <c r="A21" s="21" t="s">
        <v>168</v>
      </c>
      <c r="B21" s="22" t="s">
        <v>294</v>
      </c>
      <c r="C21" s="23"/>
      <c r="D21" s="24" t="s">
        <v>77</v>
      </c>
      <c r="E21" s="1" t="s">
        <v>43</v>
      </c>
      <c r="F21" s="20" t="s">
        <v>149</v>
      </c>
      <c r="G21">
        <f t="shared" si="0"/>
        <v>50</v>
      </c>
      <c r="H21">
        <f t="shared" si="1"/>
        <v>25</v>
      </c>
      <c r="I21">
        <f t="shared" si="2"/>
        <v>25</v>
      </c>
      <c r="J21">
        <f t="shared" si="3"/>
        <v>54.35</v>
      </c>
      <c r="K21">
        <f t="shared" si="4"/>
        <v>9.7829999999999995</v>
      </c>
      <c r="L21">
        <f t="shared" si="5"/>
        <v>87.43</v>
      </c>
      <c r="M21">
        <f t="shared" si="6"/>
        <v>41.67</v>
      </c>
    </row>
    <row r="22" spans="1:13" ht="15" customHeight="1" x14ac:dyDescent="0.3">
      <c r="A22" s="16" t="s">
        <v>168</v>
      </c>
      <c r="B22" s="17" t="s">
        <v>295</v>
      </c>
      <c r="C22" s="18"/>
      <c r="D22" s="19" t="s">
        <v>77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8" customHeight="1" x14ac:dyDescent="0.3">
      <c r="A23" s="25" t="s">
        <v>180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21" t="s">
        <v>181</v>
      </c>
      <c r="B24" s="22" t="s">
        <v>296</v>
      </c>
      <c r="C24" s="23"/>
      <c r="D24" s="24" t="s">
        <v>77</v>
      </c>
      <c r="E24" s="1" t="s">
        <v>43</v>
      </c>
      <c r="F24" s="20" t="s">
        <v>268</v>
      </c>
      <c r="G24">
        <f t="shared" si="0"/>
        <v>15</v>
      </c>
      <c r="H24">
        <f t="shared" si="1"/>
        <v>7.5</v>
      </c>
      <c r="I24">
        <f t="shared" si="2"/>
        <v>7.5</v>
      </c>
      <c r="J24">
        <f t="shared" si="3"/>
        <v>16.3</v>
      </c>
      <c r="K24">
        <f t="shared" si="4"/>
        <v>2.9340000000000002</v>
      </c>
      <c r="L24">
        <f t="shared" si="5"/>
        <v>26.23</v>
      </c>
      <c r="M24">
        <f t="shared" si="6"/>
        <v>12.5</v>
      </c>
    </row>
    <row r="25" spans="1:13" ht="15" customHeight="1" x14ac:dyDescent="0.3">
      <c r="A25" s="16" t="s">
        <v>181</v>
      </c>
      <c r="B25" s="17" t="s">
        <v>297</v>
      </c>
      <c r="C25" s="18"/>
      <c r="D25" s="19" t="s">
        <v>77</v>
      </c>
      <c r="E25" s="1" t="s">
        <v>43</v>
      </c>
      <c r="F25" s="20" t="s">
        <v>298</v>
      </c>
      <c r="G25">
        <f t="shared" si="0"/>
        <v>75</v>
      </c>
      <c r="H25">
        <f t="shared" si="1"/>
        <v>37.5</v>
      </c>
      <c r="I25">
        <f t="shared" si="2"/>
        <v>37.5</v>
      </c>
      <c r="J25">
        <f t="shared" si="3"/>
        <v>81.52</v>
      </c>
      <c r="K25">
        <f t="shared" si="4"/>
        <v>14.673599999999999</v>
      </c>
      <c r="L25">
        <f t="shared" si="5"/>
        <v>131.13999999999999</v>
      </c>
      <c r="M25">
        <f t="shared" si="6"/>
        <v>62.5</v>
      </c>
    </row>
    <row r="26" spans="1:13" ht="18" customHeight="1" x14ac:dyDescent="0.3">
      <c r="A26" s="25" t="s">
        <v>187</v>
      </c>
      <c r="B26" s="25"/>
      <c r="C26" s="25"/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  <c r="L26" t="str">
        <f t="shared" si="5"/>
        <v/>
      </c>
      <c r="M26" t="str">
        <f t="shared" si="6"/>
        <v/>
      </c>
    </row>
    <row r="27" spans="1:13" ht="15" customHeight="1" x14ac:dyDescent="0.3">
      <c r="A27" s="21" t="s">
        <v>188</v>
      </c>
      <c r="B27" s="22" t="s">
        <v>299</v>
      </c>
      <c r="C27" s="23"/>
      <c r="D27" s="24" t="s">
        <v>77</v>
      </c>
      <c r="E27" s="1" t="s">
        <v>43</v>
      </c>
      <c r="F27" s="20" t="s">
        <v>300</v>
      </c>
      <c r="G27">
        <f t="shared" si="0"/>
        <v>750</v>
      </c>
      <c r="H27">
        <f t="shared" si="1"/>
        <v>250</v>
      </c>
      <c r="I27">
        <f t="shared" si="2"/>
        <v>500</v>
      </c>
      <c r="J27">
        <f t="shared" si="3"/>
        <v>543.48</v>
      </c>
      <c r="K27">
        <f t="shared" si="4"/>
        <v>97.826400000000007</v>
      </c>
      <c r="L27">
        <f t="shared" si="5"/>
        <v>1417.77</v>
      </c>
      <c r="M27">
        <f t="shared" si="6"/>
        <v>833.33</v>
      </c>
    </row>
    <row r="28" spans="1:13" ht="15" customHeight="1" x14ac:dyDescent="0.3">
      <c r="A28" s="16" t="s">
        <v>188</v>
      </c>
      <c r="B28" s="17" t="s">
        <v>301</v>
      </c>
      <c r="C28" s="18"/>
      <c r="D28" s="19" t="s">
        <v>77</v>
      </c>
      <c r="E28" s="1" t="s">
        <v>43</v>
      </c>
      <c r="F28" s="20" t="s">
        <v>302</v>
      </c>
      <c r="G28">
        <f t="shared" si="0"/>
        <v>625</v>
      </c>
      <c r="H28">
        <f t="shared" si="1"/>
        <v>1250</v>
      </c>
      <c r="I28">
        <f t="shared" si="2"/>
        <v>1250</v>
      </c>
      <c r="J28">
        <f t="shared" si="3"/>
        <v>2717.39</v>
      </c>
      <c r="K28">
        <f t="shared" si="4"/>
        <v>489.13019999999995</v>
      </c>
      <c r="L28">
        <f t="shared" si="5"/>
        <v>295.37</v>
      </c>
      <c r="M28">
        <f t="shared" si="6"/>
        <v>2083.33</v>
      </c>
    </row>
    <row r="29" spans="1:13" ht="15" customHeight="1" x14ac:dyDescent="0.3">
      <c r="A29" s="21" t="s">
        <v>188</v>
      </c>
      <c r="B29" s="22" t="s">
        <v>303</v>
      </c>
      <c r="C29" s="23"/>
      <c r="D29" s="24" t="s">
        <v>77</v>
      </c>
      <c r="E29" s="1" t="s">
        <v>43</v>
      </c>
      <c r="F29" s="20" t="s">
        <v>304</v>
      </c>
      <c r="G29">
        <f t="shared" si="0"/>
        <v>1093.75</v>
      </c>
      <c r="H29">
        <f t="shared" si="1"/>
        <v>687.5</v>
      </c>
      <c r="I29">
        <f t="shared" si="2"/>
        <v>1062.5</v>
      </c>
      <c r="J29">
        <f t="shared" si="3"/>
        <v>1494.57</v>
      </c>
      <c r="K29">
        <f t="shared" si="4"/>
        <v>269.02259999999995</v>
      </c>
      <c r="L29">
        <f t="shared" si="5"/>
        <v>1792.89</v>
      </c>
      <c r="M29">
        <f t="shared" si="6"/>
        <v>1770.83</v>
      </c>
    </row>
    <row r="30" spans="1:13" ht="15" customHeight="1" x14ac:dyDescent="0.3">
      <c r="A30" s="16" t="s">
        <v>188</v>
      </c>
      <c r="B30" s="17" t="s">
        <v>305</v>
      </c>
      <c r="C30" s="18"/>
      <c r="D30" s="19" t="s">
        <v>77</v>
      </c>
      <c r="E30" s="1" t="s">
        <v>43</v>
      </c>
      <c r="F30" s="20" t="s">
        <v>306</v>
      </c>
      <c r="G30">
        <f t="shared" si="0"/>
        <v>20</v>
      </c>
      <c r="H30">
        <f t="shared" si="1"/>
        <v>5</v>
      </c>
      <c r="I30">
        <f t="shared" si="2"/>
        <v>15</v>
      </c>
      <c r="J30">
        <f t="shared" si="3"/>
        <v>10.87</v>
      </c>
      <c r="K30">
        <f t="shared" si="4"/>
        <v>1.9565999999999999</v>
      </c>
      <c r="L30">
        <f t="shared" si="5"/>
        <v>39.22</v>
      </c>
      <c r="M30">
        <f t="shared" si="6"/>
        <v>25</v>
      </c>
    </row>
    <row r="31" spans="1:13" ht="15" customHeight="1" x14ac:dyDescent="0.3">
      <c r="A31" s="21" t="s">
        <v>188</v>
      </c>
      <c r="B31" s="22" t="s">
        <v>191</v>
      </c>
      <c r="C31" s="23"/>
      <c r="D31" s="24" t="s">
        <v>77</v>
      </c>
      <c r="E31" s="1" t="s">
        <v>43</v>
      </c>
      <c r="F31" s="20" t="s">
        <v>192</v>
      </c>
      <c r="G31">
        <f t="shared" si="0"/>
        <v>137.5</v>
      </c>
      <c r="H31">
        <f t="shared" si="1"/>
        <v>43.75</v>
      </c>
      <c r="I31">
        <f t="shared" si="2"/>
        <v>412.5</v>
      </c>
      <c r="J31">
        <f t="shared" si="3"/>
        <v>95.11</v>
      </c>
      <c r="K31">
        <f t="shared" si="4"/>
        <v>17.119799999999998</v>
      </c>
      <c r="L31">
        <f t="shared" si="5"/>
        <v>261.7</v>
      </c>
      <c r="M31">
        <f t="shared" si="6"/>
        <v>687.5</v>
      </c>
    </row>
    <row r="32" spans="1:13" ht="15" customHeight="1" x14ac:dyDescent="0.3">
      <c r="A32" s="16" t="s">
        <v>188</v>
      </c>
      <c r="B32" s="17" t="s">
        <v>193</v>
      </c>
      <c r="C32" s="18"/>
      <c r="D32" s="19" t="s">
        <v>77</v>
      </c>
      <c r="E32" s="1" t="s">
        <v>43</v>
      </c>
      <c r="F32" s="20" t="s">
        <v>194</v>
      </c>
      <c r="G32">
        <f t="shared" si="0"/>
        <v>125</v>
      </c>
      <c r="H32">
        <f t="shared" si="1"/>
        <v>125</v>
      </c>
      <c r="I32">
        <f t="shared" si="2"/>
        <v>125</v>
      </c>
      <c r="J32">
        <f t="shared" si="3"/>
        <v>271.74</v>
      </c>
      <c r="K32">
        <f t="shared" si="4"/>
        <v>48.913200000000003</v>
      </c>
      <c r="L32">
        <f t="shared" si="5"/>
        <v>165.41</v>
      </c>
      <c r="M32">
        <f t="shared" si="6"/>
        <v>208.33</v>
      </c>
    </row>
    <row r="33" spans="1:13" ht="15" customHeight="1" x14ac:dyDescent="0.3">
      <c r="A33" s="21" t="s">
        <v>188</v>
      </c>
      <c r="B33" s="22" t="s">
        <v>214</v>
      </c>
      <c r="C33" s="23"/>
      <c r="D33" s="24" t="s">
        <v>77</v>
      </c>
      <c r="E33" s="1" t="s">
        <v>43</v>
      </c>
      <c r="F33" s="20" t="s">
        <v>215</v>
      </c>
      <c r="G33">
        <f t="shared" si="0"/>
        <v>93.75</v>
      </c>
      <c r="H33">
        <f t="shared" si="1"/>
        <v>50</v>
      </c>
      <c r="I33">
        <f t="shared" si="2"/>
        <v>62.5</v>
      </c>
      <c r="J33">
        <f t="shared" si="3"/>
        <v>108.7</v>
      </c>
      <c r="K33">
        <f t="shared" si="4"/>
        <v>19.565999999999999</v>
      </c>
      <c r="L33">
        <f t="shared" si="5"/>
        <v>161.27000000000001</v>
      </c>
      <c r="M33">
        <f t="shared" si="6"/>
        <v>104.17</v>
      </c>
    </row>
    <row r="34" spans="1:13" ht="15" customHeight="1" x14ac:dyDescent="0.3">
      <c r="A34" s="16" t="s">
        <v>188</v>
      </c>
      <c r="B34" s="17" t="s">
        <v>307</v>
      </c>
      <c r="C34" s="18"/>
      <c r="D34" s="19" t="s">
        <v>77</v>
      </c>
      <c r="E34" s="1" t="s">
        <v>43</v>
      </c>
      <c r="F34" s="20" t="s">
        <v>302</v>
      </c>
      <c r="G34">
        <f t="shared" si="0"/>
        <v>625</v>
      </c>
      <c r="H34">
        <f t="shared" si="1"/>
        <v>1250</v>
      </c>
      <c r="I34">
        <f t="shared" si="2"/>
        <v>1250</v>
      </c>
      <c r="J34">
        <f t="shared" si="3"/>
        <v>2717.39</v>
      </c>
      <c r="K34">
        <f t="shared" si="4"/>
        <v>489.13019999999995</v>
      </c>
      <c r="L34">
        <f t="shared" si="5"/>
        <v>295.37</v>
      </c>
      <c r="M34">
        <f t="shared" si="6"/>
        <v>2083.33</v>
      </c>
    </row>
    <row r="35" spans="1:13" ht="15" customHeight="1" x14ac:dyDescent="0.3">
      <c r="A35" s="21" t="s">
        <v>188</v>
      </c>
      <c r="B35" s="22" t="s">
        <v>308</v>
      </c>
      <c r="C35" s="23"/>
      <c r="D35" s="24" t="s">
        <v>77</v>
      </c>
      <c r="E35" s="1" t="s">
        <v>43</v>
      </c>
      <c r="F35" s="20" t="s">
        <v>302</v>
      </c>
      <c r="G35">
        <f t="shared" si="0"/>
        <v>625</v>
      </c>
      <c r="H35">
        <f t="shared" si="1"/>
        <v>1250</v>
      </c>
      <c r="I35">
        <f t="shared" si="2"/>
        <v>1250</v>
      </c>
      <c r="J35">
        <f t="shared" si="3"/>
        <v>2717.39</v>
      </c>
      <c r="K35">
        <f t="shared" si="4"/>
        <v>489.13019999999995</v>
      </c>
      <c r="L35">
        <f t="shared" si="5"/>
        <v>295.37</v>
      </c>
      <c r="M35">
        <f t="shared" si="6"/>
        <v>2083.33</v>
      </c>
    </row>
    <row r="36" spans="1:13" ht="15" customHeight="1" x14ac:dyDescent="0.3">
      <c r="A36" s="16" t="s">
        <v>188</v>
      </c>
      <c r="B36" s="17" t="s">
        <v>309</v>
      </c>
      <c r="C36" s="18"/>
      <c r="D36" s="19" t="s">
        <v>77</v>
      </c>
      <c r="E36" s="1" t="s">
        <v>43</v>
      </c>
      <c r="F36" s="20" t="s">
        <v>302</v>
      </c>
      <c r="G36">
        <f t="shared" si="0"/>
        <v>625</v>
      </c>
      <c r="H36">
        <f t="shared" si="1"/>
        <v>1250</v>
      </c>
      <c r="I36">
        <f t="shared" si="2"/>
        <v>1250</v>
      </c>
      <c r="J36">
        <f t="shared" si="3"/>
        <v>2717.39</v>
      </c>
      <c r="K36">
        <f t="shared" si="4"/>
        <v>489.13019999999995</v>
      </c>
      <c r="L36">
        <f t="shared" si="5"/>
        <v>295.37</v>
      </c>
      <c r="M36">
        <f t="shared" si="6"/>
        <v>2083.33</v>
      </c>
    </row>
    <row r="37" spans="1:13" ht="15" customHeight="1" x14ac:dyDescent="0.3">
      <c r="A37" s="21" t="s">
        <v>188</v>
      </c>
      <c r="B37" s="22" t="s">
        <v>310</v>
      </c>
      <c r="C37" s="23"/>
      <c r="D37" s="24" t="s">
        <v>77</v>
      </c>
      <c r="E37" s="1" t="s">
        <v>43</v>
      </c>
      <c r="F37" s="20" t="s">
        <v>311</v>
      </c>
      <c r="G37">
        <f t="shared" si="0"/>
        <v>125</v>
      </c>
      <c r="H37">
        <f t="shared" si="1"/>
        <v>50</v>
      </c>
      <c r="I37">
        <f t="shared" si="2"/>
        <v>500</v>
      </c>
      <c r="J37">
        <f t="shared" si="3"/>
        <v>108.7</v>
      </c>
      <c r="K37">
        <f t="shared" si="4"/>
        <v>19.565999999999999</v>
      </c>
      <c r="L37">
        <f t="shared" si="5"/>
        <v>229.2</v>
      </c>
      <c r="M37">
        <f t="shared" si="6"/>
        <v>833.33</v>
      </c>
    </row>
    <row r="38" spans="1:13" ht="15" customHeight="1" x14ac:dyDescent="0.3">
      <c r="A38" s="16" t="s">
        <v>188</v>
      </c>
      <c r="B38" s="17" t="s">
        <v>312</v>
      </c>
      <c r="C38" s="18"/>
      <c r="D38" s="19" t="s">
        <v>77</v>
      </c>
      <c r="E38" s="1" t="s">
        <v>43</v>
      </c>
      <c r="F38" s="20" t="s">
        <v>190</v>
      </c>
      <c r="G38">
        <f t="shared" si="0"/>
        <v>125</v>
      </c>
      <c r="H38">
        <f t="shared" si="1"/>
        <v>125</v>
      </c>
      <c r="I38">
        <f t="shared" si="2"/>
        <v>187.5</v>
      </c>
      <c r="J38">
        <f t="shared" si="3"/>
        <v>271.74</v>
      </c>
      <c r="K38">
        <f t="shared" si="4"/>
        <v>48.913200000000003</v>
      </c>
      <c r="L38">
        <f t="shared" si="5"/>
        <v>165.41</v>
      </c>
      <c r="M38">
        <f t="shared" si="6"/>
        <v>312.5</v>
      </c>
    </row>
    <row r="39" spans="1:13" ht="15" customHeight="1" x14ac:dyDescent="0.3">
      <c r="A39" s="21" t="s">
        <v>188</v>
      </c>
      <c r="B39" s="22" t="s">
        <v>313</v>
      </c>
      <c r="C39" s="23"/>
      <c r="D39" s="24" t="s">
        <v>77</v>
      </c>
      <c r="E39" s="1" t="s">
        <v>43</v>
      </c>
      <c r="F39" s="20" t="s">
        <v>217</v>
      </c>
      <c r="G39">
        <f t="shared" ref="G39:G73" si="7">IF($F39="","",IFERROR(VALUE(TRIM(LEFT($F39,FIND(":",$F39)-1)))*1.25,"N/A"))</f>
        <v>2.5</v>
      </c>
      <c r="H39">
        <f t="shared" ref="H39:H73" si="8">IF($F39="","",IFERROR(VALUE(TRIM(MID($F39,FIND(":",$F39)+1,FIND(":",$F39,FIND(":",$F39)+1)-FIND(":",$F39)-1)))*1.25,"N/A"))</f>
        <v>1.25</v>
      </c>
      <c r="I39">
        <f t="shared" ref="I39:I73" si="9">IF($F39="","",IFERROR(VALUE(TRIM(LEFT(MID($F39,FIND(":",$F39,FIND(":",$F39)+1)+1,LEN($F39)),FIND(" ",MID($F39,FIND(":",$F39,FIND(":",$F39)+1)+1,LEN($F39))&amp;" ")-1)))*1.25,"N/A"))</f>
        <v>2.5</v>
      </c>
      <c r="J39">
        <f t="shared" ref="J39:J73" si="10">IF(OR($F39="",$H39="N/A"),IF($F39="","","N/A"),ROUND($H39/0.46,2))</f>
        <v>2.72</v>
      </c>
      <c r="K39">
        <f t="shared" ref="K39:K73" si="11">IF(OR($F39="",$J39="N/A"),IF($F39="","","N/A"),$J39*0.18)</f>
        <v>0.48960000000000004</v>
      </c>
      <c r="L39">
        <f t="shared" ref="L39:L73" si="12">IF(OR($F39="",$G39="N/A",$K39="N/A"),IF($F39="","","N/A"),ROUND(($G39-$K39)/0.46,2))</f>
        <v>4.37</v>
      </c>
      <c r="M39">
        <f t="shared" ref="M39:M73" si="13">IF(OR($F39="",$I39="N/A"),IF($F39="","","N/A"),ROUND($I39/0.6,2))</f>
        <v>4.17</v>
      </c>
    </row>
    <row r="40" spans="1:13" ht="15" customHeight="1" x14ac:dyDescent="0.3">
      <c r="A40" s="16" t="s">
        <v>188</v>
      </c>
      <c r="B40" s="17" t="s">
        <v>314</v>
      </c>
      <c r="C40" s="18"/>
      <c r="D40" s="19" t="s">
        <v>77</v>
      </c>
      <c r="E40" s="1" t="s">
        <v>43</v>
      </c>
      <c r="F40" s="20" t="s">
        <v>315</v>
      </c>
      <c r="G40">
        <f t="shared" si="7"/>
        <v>25</v>
      </c>
      <c r="H40">
        <f t="shared" si="8"/>
        <v>25</v>
      </c>
      <c r="I40">
        <f t="shared" si="9"/>
        <v>18.75</v>
      </c>
      <c r="J40">
        <f t="shared" si="10"/>
        <v>54.35</v>
      </c>
      <c r="K40">
        <f t="shared" si="11"/>
        <v>9.7829999999999995</v>
      </c>
      <c r="L40">
        <f t="shared" si="12"/>
        <v>33.08</v>
      </c>
      <c r="M40">
        <f t="shared" si="13"/>
        <v>31.25</v>
      </c>
    </row>
    <row r="41" spans="1:13" ht="15" customHeight="1" x14ac:dyDescent="0.3">
      <c r="A41" s="21" t="s">
        <v>188</v>
      </c>
      <c r="B41" s="22" t="s">
        <v>316</v>
      </c>
      <c r="C41" s="23"/>
      <c r="D41" s="24" t="s">
        <v>77</v>
      </c>
      <c r="E41" s="1" t="s">
        <v>43</v>
      </c>
      <c r="F41" s="20" t="s">
        <v>317</v>
      </c>
      <c r="G41">
        <f t="shared" si="7"/>
        <v>500</v>
      </c>
      <c r="H41">
        <f t="shared" si="8"/>
        <v>375</v>
      </c>
      <c r="I41">
        <f t="shared" si="9"/>
        <v>812.5</v>
      </c>
      <c r="J41">
        <f t="shared" si="10"/>
        <v>815.22</v>
      </c>
      <c r="K41">
        <f t="shared" si="11"/>
        <v>146.7396</v>
      </c>
      <c r="L41">
        <f t="shared" si="12"/>
        <v>767.96</v>
      </c>
      <c r="M41">
        <f t="shared" si="13"/>
        <v>1354.17</v>
      </c>
    </row>
    <row r="42" spans="1:13" ht="15" customHeight="1" x14ac:dyDescent="0.3">
      <c r="A42" s="16" t="s">
        <v>188</v>
      </c>
      <c r="B42" s="17" t="s">
        <v>318</v>
      </c>
      <c r="C42" s="18"/>
      <c r="D42" s="19" t="s">
        <v>77</v>
      </c>
      <c r="E42" s="1" t="s">
        <v>43</v>
      </c>
      <c r="F42" s="20" t="s">
        <v>319</v>
      </c>
      <c r="G42">
        <f t="shared" si="7"/>
        <v>112.5</v>
      </c>
      <c r="H42">
        <f t="shared" si="8"/>
        <v>75</v>
      </c>
      <c r="I42">
        <f t="shared" si="9"/>
        <v>100</v>
      </c>
      <c r="J42">
        <f t="shared" si="10"/>
        <v>163.04</v>
      </c>
      <c r="K42">
        <f t="shared" si="11"/>
        <v>29.347199999999997</v>
      </c>
      <c r="L42">
        <f t="shared" si="12"/>
        <v>180.77</v>
      </c>
      <c r="M42">
        <f t="shared" si="13"/>
        <v>166.67</v>
      </c>
    </row>
    <row r="43" spans="1:13" ht="15" customHeight="1" x14ac:dyDescent="0.3">
      <c r="A43" s="21" t="s">
        <v>188</v>
      </c>
      <c r="B43" s="22" t="s">
        <v>320</v>
      </c>
      <c r="C43" s="23"/>
      <c r="D43" s="24" t="s">
        <v>77</v>
      </c>
      <c r="E43" s="1" t="s">
        <v>43</v>
      </c>
      <c r="F43" s="20" t="s">
        <v>199</v>
      </c>
      <c r="G43">
        <f t="shared" si="7"/>
        <v>750</v>
      </c>
      <c r="H43">
        <f t="shared" si="8"/>
        <v>250</v>
      </c>
      <c r="I43">
        <f t="shared" si="9"/>
        <v>375</v>
      </c>
      <c r="J43">
        <f t="shared" si="10"/>
        <v>543.48</v>
      </c>
      <c r="K43">
        <f t="shared" si="11"/>
        <v>97.826400000000007</v>
      </c>
      <c r="L43">
        <f t="shared" si="12"/>
        <v>1417.77</v>
      </c>
      <c r="M43">
        <f t="shared" si="13"/>
        <v>625</v>
      </c>
    </row>
    <row r="44" spans="1:13" ht="18" customHeight="1" x14ac:dyDescent="0.3">
      <c r="A44" s="25" t="s">
        <v>220</v>
      </c>
      <c r="B44" s="25"/>
      <c r="C44" s="25"/>
      <c r="G44" t="str">
        <f t="shared" si="7"/>
        <v/>
      </c>
      <c r="H44" t="str">
        <f t="shared" si="8"/>
        <v/>
      </c>
      <c r="I44" t="str">
        <f t="shared" si="9"/>
        <v/>
      </c>
      <c r="J44" t="str">
        <f t="shared" si="10"/>
        <v/>
      </c>
      <c r="K44" t="str">
        <f t="shared" si="11"/>
        <v/>
      </c>
      <c r="L44" t="str">
        <f t="shared" si="12"/>
        <v/>
      </c>
      <c r="M44" t="str">
        <f t="shared" si="13"/>
        <v/>
      </c>
    </row>
    <row r="45" spans="1:13" ht="15" customHeight="1" x14ac:dyDescent="0.3">
      <c r="A45" s="16" t="s">
        <v>221</v>
      </c>
      <c r="B45" s="17" t="s">
        <v>321</v>
      </c>
      <c r="C45" s="18"/>
      <c r="D45" s="19" t="s">
        <v>77</v>
      </c>
      <c r="E45" s="1" t="s">
        <v>43</v>
      </c>
      <c r="F45" s="20" t="s">
        <v>322</v>
      </c>
      <c r="G45">
        <f t="shared" si="7"/>
        <v>150</v>
      </c>
      <c r="H45">
        <f t="shared" si="8"/>
        <v>300</v>
      </c>
      <c r="I45">
        <f t="shared" si="9"/>
        <v>150</v>
      </c>
      <c r="J45">
        <f t="shared" si="10"/>
        <v>652.16999999999996</v>
      </c>
      <c r="K45">
        <f t="shared" si="11"/>
        <v>117.39059999999999</v>
      </c>
      <c r="L45">
        <f t="shared" si="12"/>
        <v>70.89</v>
      </c>
      <c r="M45">
        <f t="shared" si="13"/>
        <v>250</v>
      </c>
    </row>
    <row r="46" spans="1:13" ht="15" customHeight="1" x14ac:dyDescent="0.3">
      <c r="A46" s="21" t="s">
        <v>221</v>
      </c>
      <c r="B46" s="22" t="s">
        <v>323</v>
      </c>
      <c r="C46" s="23"/>
      <c r="D46" s="24" t="s">
        <v>77</v>
      </c>
      <c r="E46" s="1" t="s">
        <v>43</v>
      </c>
      <c r="F46" s="20" t="s">
        <v>324</v>
      </c>
      <c r="G46">
        <f t="shared" si="7"/>
        <v>93.75</v>
      </c>
      <c r="H46">
        <f t="shared" si="8"/>
        <v>62.5</v>
      </c>
      <c r="I46">
        <f t="shared" si="9"/>
        <v>62.5</v>
      </c>
      <c r="J46">
        <f t="shared" si="10"/>
        <v>135.87</v>
      </c>
      <c r="K46">
        <f t="shared" si="11"/>
        <v>24.456600000000002</v>
      </c>
      <c r="L46">
        <f t="shared" si="12"/>
        <v>150.63999999999999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222</v>
      </c>
      <c r="C47" s="18"/>
      <c r="D47" s="19" t="s">
        <v>77</v>
      </c>
      <c r="E47" s="1" t="s">
        <v>43</v>
      </c>
      <c r="F47" s="20" t="s">
        <v>223</v>
      </c>
      <c r="G47">
        <f t="shared" si="7"/>
        <v>187.5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301.27999999999997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325</v>
      </c>
      <c r="C48" s="23"/>
      <c r="D48" s="24" t="s">
        <v>77</v>
      </c>
      <c r="E48" s="1" t="s">
        <v>43</v>
      </c>
      <c r="F48" s="20" t="s">
        <v>225</v>
      </c>
      <c r="G48">
        <f t="shared" si="7"/>
        <v>125</v>
      </c>
      <c r="H48">
        <f t="shared" si="8"/>
        <v>62.5</v>
      </c>
      <c r="I48">
        <f t="shared" si="9"/>
        <v>37.5</v>
      </c>
      <c r="J48">
        <f t="shared" si="10"/>
        <v>135.87</v>
      </c>
      <c r="K48">
        <f t="shared" si="11"/>
        <v>24.456600000000002</v>
      </c>
      <c r="L48">
        <f t="shared" si="12"/>
        <v>218.57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326</v>
      </c>
      <c r="C49" s="18"/>
      <c r="D49" s="19" t="s">
        <v>77</v>
      </c>
      <c r="E49" s="1" t="s">
        <v>43</v>
      </c>
      <c r="F49" s="20" t="s">
        <v>227</v>
      </c>
      <c r="G49">
        <f t="shared" si="7"/>
        <v>50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55.53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232</v>
      </c>
      <c r="C50" s="23"/>
      <c r="D50" s="24" t="s">
        <v>77</v>
      </c>
      <c r="E50" s="1" t="s">
        <v>43</v>
      </c>
      <c r="F50" s="20" t="s">
        <v>233</v>
      </c>
      <c r="G50">
        <f t="shared" si="7"/>
        <v>125</v>
      </c>
      <c r="H50">
        <f t="shared" si="8"/>
        <v>156.25</v>
      </c>
      <c r="I50">
        <f t="shared" si="9"/>
        <v>31.25</v>
      </c>
      <c r="J50">
        <f t="shared" si="10"/>
        <v>339.67</v>
      </c>
      <c r="K50">
        <f t="shared" si="11"/>
        <v>61.140599999999999</v>
      </c>
      <c r="L50">
        <f t="shared" si="12"/>
        <v>138.82</v>
      </c>
      <c r="M50">
        <f t="shared" si="13"/>
        <v>52.08</v>
      </c>
    </row>
    <row r="51" spans="1:13" ht="15" customHeight="1" x14ac:dyDescent="0.3">
      <c r="A51" s="16" t="s">
        <v>221</v>
      </c>
      <c r="B51" s="17" t="s">
        <v>234</v>
      </c>
      <c r="C51" s="18"/>
      <c r="D51" s="19" t="s">
        <v>77</v>
      </c>
      <c r="E51" s="1" t="s">
        <v>43</v>
      </c>
      <c r="F51" s="20" t="s">
        <v>235</v>
      </c>
      <c r="G51">
        <f t="shared" si="7"/>
        <v>125</v>
      </c>
      <c r="H51">
        <f t="shared" si="8"/>
        <v>125</v>
      </c>
      <c r="I51">
        <f t="shared" si="9"/>
        <v>62.5</v>
      </c>
      <c r="J51">
        <f t="shared" si="10"/>
        <v>271.74</v>
      </c>
      <c r="K51">
        <f t="shared" si="11"/>
        <v>48.913200000000003</v>
      </c>
      <c r="L51">
        <f t="shared" si="12"/>
        <v>165.41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236</v>
      </c>
      <c r="C52" s="23"/>
      <c r="D52" s="24" t="s">
        <v>77</v>
      </c>
      <c r="E52" s="1" t="s">
        <v>43</v>
      </c>
      <c r="F52" s="20" t="s">
        <v>237</v>
      </c>
      <c r="G52">
        <f t="shared" si="7"/>
        <v>62.5</v>
      </c>
      <c r="H52">
        <f t="shared" si="8"/>
        <v>62.5</v>
      </c>
      <c r="I52">
        <f t="shared" si="9"/>
        <v>62.5</v>
      </c>
      <c r="J52">
        <f t="shared" si="10"/>
        <v>135.87</v>
      </c>
      <c r="K52">
        <f t="shared" si="11"/>
        <v>24.456600000000002</v>
      </c>
      <c r="L52">
        <f t="shared" si="12"/>
        <v>82.7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327</v>
      </c>
      <c r="C53" s="18"/>
      <c r="D53" s="19" t="s">
        <v>77</v>
      </c>
      <c r="E53" s="1" t="s">
        <v>43</v>
      </c>
      <c r="F53" s="20" t="s">
        <v>328</v>
      </c>
      <c r="G53">
        <f t="shared" si="7"/>
        <v>150</v>
      </c>
      <c r="H53">
        <f t="shared" si="8"/>
        <v>100</v>
      </c>
      <c r="I53">
        <f t="shared" si="9"/>
        <v>87.5</v>
      </c>
      <c r="J53">
        <f t="shared" si="10"/>
        <v>217.39</v>
      </c>
      <c r="K53">
        <f t="shared" si="11"/>
        <v>39.130199999999995</v>
      </c>
      <c r="L53">
        <f t="shared" si="12"/>
        <v>241.02</v>
      </c>
      <c r="M53">
        <f t="shared" si="13"/>
        <v>145.83000000000001</v>
      </c>
    </row>
    <row r="54" spans="1:13" ht="15" customHeight="1" x14ac:dyDescent="0.3">
      <c r="A54" s="21" t="s">
        <v>221</v>
      </c>
      <c r="B54" s="22" t="s">
        <v>329</v>
      </c>
      <c r="C54" s="23"/>
      <c r="D54" s="24" t="s">
        <v>77</v>
      </c>
      <c r="E54" s="1" t="s">
        <v>43</v>
      </c>
      <c r="F54" s="20" t="s">
        <v>330</v>
      </c>
      <c r="G54">
        <f t="shared" si="7"/>
        <v>62.5</v>
      </c>
      <c r="H54">
        <f t="shared" si="8"/>
        <v>125</v>
      </c>
      <c r="I54">
        <f t="shared" si="9"/>
        <v>62.5</v>
      </c>
      <c r="J54">
        <f t="shared" si="10"/>
        <v>271.74</v>
      </c>
      <c r="K54">
        <f t="shared" si="11"/>
        <v>48.913200000000003</v>
      </c>
      <c r="L54">
        <f t="shared" si="12"/>
        <v>29.54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331</v>
      </c>
      <c r="C55" s="18"/>
      <c r="D55" s="19" t="s">
        <v>77</v>
      </c>
      <c r="E55" s="1" t="s">
        <v>43</v>
      </c>
      <c r="F55" s="20" t="s">
        <v>332</v>
      </c>
      <c r="G55">
        <f t="shared" si="7"/>
        <v>168.75</v>
      </c>
      <c r="H55">
        <f t="shared" si="8"/>
        <v>168.75</v>
      </c>
      <c r="I55">
        <f t="shared" si="9"/>
        <v>168.75</v>
      </c>
      <c r="J55">
        <f t="shared" si="10"/>
        <v>366.85</v>
      </c>
      <c r="K55">
        <f t="shared" si="11"/>
        <v>66.033000000000001</v>
      </c>
      <c r="L55">
        <f t="shared" si="12"/>
        <v>223.3</v>
      </c>
      <c r="M55">
        <f t="shared" si="13"/>
        <v>281.25</v>
      </c>
    </row>
    <row r="56" spans="1:13" ht="15" customHeight="1" x14ac:dyDescent="0.3">
      <c r="A56" s="21" t="s">
        <v>221</v>
      </c>
      <c r="B56" s="22" t="s">
        <v>333</v>
      </c>
      <c r="C56" s="23"/>
      <c r="D56" s="24" t="s">
        <v>77</v>
      </c>
      <c r="E56" s="1" t="s">
        <v>43</v>
      </c>
      <c r="F56" s="20" t="s">
        <v>334</v>
      </c>
      <c r="G56">
        <f t="shared" si="7"/>
        <v>50</v>
      </c>
      <c r="H56">
        <f t="shared" si="8"/>
        <v>75</v>
      </c>
      <c r="I56">
        <f t="shared" si="9"/>
        <v>150</v>
      </c>
      <c r="J56">
        <f t="shared" si="10"/>
        <v>163.04</v>
      </c>
      <c r="K56">
        <f t="shared" si="11"/>
        <v>29.347199999999997</v>
      </c>
      <c r="L56">
        <f t="shared" si="12"/>
        <v>44.9</v>
      </c>
      <c r="M56">
        <f t="shared" si="13"/>
        <v>250</v>
      </c>
    </row>
    <row r="57" spans="1:13" ht="15" customHeight="1" x14ac:dyDescent="0.3">
      <c r="A57" s="16" t="s">
        <v>221</v>
      </c>
      <c r="B57" s="17" t="s">
        <v>335</v>
      </c>
      <c r="C57" s="18"/>
      <c r="D57" s="19" t="s">
        <v>77</v>
      </c>
      <c r="E57" s="1" t="s">
        <v>43</v>
      </c>
      <c r="F57" s="20" t="s">
        <v>336</v>
      </c>
      <c r="G57">
        <f t="shared" si="7"/>
        <v>112.5</v>
      </c>
      <c r="H57">
        <f t="shared" si="8"/>
        <v>75</v>
      </c>
      <c r="I57">
        <f t="shared" si="9"/>
        <v>300</v>
      </c>
      <c r="J57">
        <f t="shared" si="10"/>
        <v>163.04</v>
      </c>
      <c r="K57">
        <f t="shared" si="11"/>
        <v>29.347199999999997</v>
      </c>
      <c r="L57">
        <f t="shared" si="12"/>
        <v>180.77</v>
      </c>
      <c r="M57">
        <f t="shared" si="13"/>
        <v>500</v>
      </c>
    </row>
    <row r="58" spans="1:13" ht="15" customHeight="1" x14ac:dyDescent="0.3">
      <c r="A58" s="21" t="s">
        <v>221</v>
      </c>
      <c r="B58" s="22" t="s">
        <v>250</v>
      </c>
      <c r="C58" s="23"/>
      <c r="D58" s="24" t="s">
        <v>77</v>
      </c>
      <c r="E58" s="1" t="s">
        <v>43</v>
      </c>
      <c r="F58" s="20" t="s">
        <v>251</v>
      </c>
      <c r="G58">
        <f t="shared" si="7"/>
        <v>75</v>
      </c>
      <c r="H58">
        <f t="shared" si="8"/>
        <v>75</v>
      </c>
      <c r="I58">
        <f t="shared" si="9"/>
        <v>75</v>
      </c>
      <c r="J58">
        <f t="shared" si="10"/>
        <v>163.04</v>
      </c>
      <c r="K58">
        <f t="shared" si="11"/>
        <v>29.347199999999997</v>
      </c>
      <c r="L58">
        <f t="shared" si="12"/>
        <v>99.25</v>
      </c>
      <c r="M58">
        <f t="shared" si="13"/>
        <v>125</v>
      </c>
    </row>
    <row r="59" spans="1:13" ht="18" customHeight="1" x14ac:dyDescent="0.3">
      <c r="A59" s="25" t="s">
        <v>252</v>
      </c>
      <c r="B59" s="25"/>
      <c r="C59" s="25"/>
      <c r="G59" t="str">
        <f t="shared" si="7"/>
        <v/>
      </c>
      <c r="H59" t="str">
        <f t="shared" si="8"/>
        <v/>
      </c>
      <c r="I59" t="str">
        <f t="shared" si="9"/>
        <v/>
      </c>
      <c r="J59" t="str">
        <f t="shared" si="10"/>
        <v/>
      </c>
      <c r="K59" t="str">
        <f t="shared" si="11"/>
        <v/>
      </c>
      <c r="L59" t="str">
        <f t="shared" si="12"/>
        <v/>
      </c>
      <c r="M59" t="str">
        <f t="shared" si="13"/>
        <v/>
      </c>
    </row>
    <row r="60" spans="1:13" ht="15" customHeight="1" x14ac:dyDescent="0.3">
      <c r="A60" s="16" t="s">
        <v>253</v>
      </c>
      <c r="B60" s="17" t="s">
        <v>323</v>
      </c>
      <c r="C60" s="18"/>
      <c r="D60" s="19" t="s">
        <v>77</v>
      </c>
      <c r="E60" s="1" t="s">
        <v>43</v>
      </c>
      <c r="F60" s="20" t="s">
        <v>324</v>
      </c>
      <c r="G60">
        <f t="shared" si="7"/>
        <v>93.75</v>
      </c>
      <c r="H60">
        <f t="shared" si="8"/>
        <v>62.5</v>
      </c>
      <c r="I60">
        <f t="shared" si="9"/>
        <v>62.5</v>
      </c>
      <c r="J60">
        <f t="shared" si="10"/>
        <v>135.87</v>
      </c>
      <c r="K60">
        <f t="shared" si="11"/>
        <v>24.456600000000002</v>
      </c>
      <c r="L60">
        <f t="shared" si="12"/>
        <v>150.63999999999999</v>
      </c>
      <c r="M60">
        <f t="shared" si="13"/>
        <v>104.17</v>
      </c>
    </row>
    <row r="61" spans="1:13" ht="15" customHeight="1" x14ac:dyDescent="0.3">
      <c r="A61" s="21" t="s">
        <v>253</v>
      </c>
      <c r="B61" s="22" t="s">
        <v>255</v>
      </c>
      <c r="C61" s="23"/>
      <c r="D61" s="24" t="s">
        <v>77</v>
      </c>
      <c r="E61" s="1" t="s">
        <v>43</v>
      </c>
      <c r="F61" s="20" t="s">
        <v>256</v>
      </c>
      <c r="G61">
        <f t="shared" si="7"/>
        <v>31.25</v>
      </c>
      <c r="H61">
        <f t="shared" si="8"/>
        <v>75</v>
      </c>
      <c r="I61">
        <f t="shared" si="9"/>
        <v>22.5</v>
      </c>
      <c r="J61">
        <f t="shared" si="10"/>
        <v>163.04</v>
      </c>
      <c r="K61">
        <f t="shared" si="11"/>
        <v>29.347199999999997</v>
      </c>
      <c r="L61">
        <f t="shared" si="12"/>
        <v>4.1399999999999997</v>
      </c>
      <c r="M61">
        <f t="shared" si="13"/>
        <v>37.5</v>
      </c>
    </row>
    <row r="62" spans="1:13" ht="15" customHeight="1" x14ac:dyDescent="0.3">
      <c r="A62" s="16" t="s">
        <v>253</v>
      </c>
      <c r="B62" s="17" t="s">
        <v>337</v>
      </c>
      <c r="C62" s="18"/>
      <c r="D62" s="19" t="s">
        <v>77</v>
      </c>
      <c r="E62" s="1" t="s">
        <v>43</v>
      </c>
      <c r="F62" s="20" t="s">
        <v>338</v>
      </c>
      <c r="G62">
        <f t="shared" si="7"/>
        <v>93.75</v>
      </c>
      <c r="H62">
        <f t="shared" si="8"/>
        <v>93.75</v>
      </c>
      <c r="I62">
        <f t="shared" si="9"/>
        <v>187.5</v>
      </c>
      <c r="J62">
        <f t="shared" si="10"/>
        <v>203.8</v>
      </c>
      <c r="K62">
        <f t="shared" si="11"/>
        <v>36.683999999999997</v>
      </c>
      <c r="L62">
        <f t="shared" si="12"/>
        <v>124.06</v>
      </c>
      <c r="M62">
        <f t="shared" si="13"/>
        <v>312.5</v>
      </c>
    </row>
    <row r="63" spans="1:13" ht="15" customHeight="1" x14ac:dyDescent="0.3">
      <c r="A63" s="21" t="s">
        <v>253</v>
      </c>
      <c r="B63" s="22" t="s">
        <v>259</v>
      </c>
      <c r="C63" s="23"/>
      <c r="D63" s="24" t="s">
        <v>77</v>
      </c>
      <c r="E63" s="1" t="s">
        <v>43</v>
      </c>
      <c r="F63" s="20" t="s">
        <v>260</v>
      </c>
      <c r="G63">
        <f t="shared" si="7"/>
        <v>125</v>
      </c>
      <c r="H63">
        <f t="shared" si="8"/>
        <v>50</v>
      </c>
      <c r="I63">
        <f t="shared" si="9"/>
        <v>175</v>
      </c>
      <c r="J63">
        <f t="shared" si="10"/>
        <v>108.7</v>
      </c>
      <c r="K63">
        <f t="shared" si="11"/>
        <v>19.565999999999999</v>
      </c>
      <c r="L63">
        <f t="shared" si="12"/>
        <v>229.2</v>
      </c>
      <c r="M63">
        <f t="shared" si="13"/>
        <v>291.67</v>
      </c>
    </row>
    <row r="64" spans="1:13" ht="15" customHeight="1" x14ac:dyDescent="0.3">
      <c r="A64" s="16" t="s">
        <v>253</v>
      </c>
      <c r="B64" s="17" t="s">
        <v>339</v>
      </c>
      <c r="C64" s="18"/>
      <c r="D64" s="19" t="s">
        <v>77</v>
      </c>
      <c r="E64" s="1" t="s">
        <v>43</v>
      </c>
      <c r="F64" s="20" t="s">
        <v>338</v>
      </c>
      <c r="G64">
        <f t="shared" si="7"/>
        <v>93.75</v>
      </c>
      <c r="H64">
        <f t="shared" si="8"/>
        <v>93.75</v>
      </c>
      <c r="I64">
        <f t="shared" si="9"/>
        <v>187.5</v>
      </c>
      <c r="J64">
        <f t="shared" si="10"/>
        <v>203.8</v>
      </c>
      <c r="K64">
        <f t="shared" si="11"/>
        <v>36.683999999999997</v>
      </c>
      <c r="L64">
        <f t="shared" si="12"/>
        <v>124.06</v>
      </c>
      <c r="M64">
        <f t="shared" si="13"/>
        <v>312.5</v>
      </c>
    </row>
    <row r="65" spans="1:13" ht="15" customHeight="1" x14ac:dyDescent="0.3">
      <c r="A65" s="21" t="s">
        <v>253</v>
      </c>
      <c r="B65" s="22" t="s">
        <v>340</v>
      </c>
      <c r="C65" s="23"/>
      <c r="D65" s="24" t="s">
        <v>77</v>
      </c>
      <c r="E65" s="1" t="s">
        <v>43</v>
      </c>
      <c r="F65" s="20" t="s">
        <v>341</v>
      </c>
      <c r="G65">
        <f t="shared" si="7"/>
        <v>250</v>
      </c>
      <c r="H65">
        <f t="shared" si="8"/>
        <v>225</v>
      </c>
      <c r="I65">
        <f t="shared" si="9"/>
        <v>312.5</v>
      </c>
      <c r="J65">
        <f t="shared" si="10"/>
        <v>489.13</v>
      </c>
      <c r="K65">
        <f t="shared" si="11"/>
        <v>88.043399999999991</v>
      </c>
      <c r="L65">
        <f t="shared" si="12"/>
        <v>352.08</v>
      </c>
      <c r="M65">
        <f t="shared" si="13"/>
        <v>520.83000000000004</v>
      </c>
    </row>
    <row r="66" spans="1:13" ht="18" customHeight="1" x14ac:dyDescent="0.3">
      <c r="A66" s="25" t="s">
        <v>263</v>
      </c>
      <c r="B66" s="25"/>
      <c r="C66" s="25"/>
      <c r="G66" t="str">
        <f t="shared" si="7"/>
        <v/>
      </c>
      <c r="H66" t="str">
        <f t="shared" si="8"/>
        <v/>
      </c>
      <c r="I66" t="str">
        <f t="shared" si="9"/>
        <v/>
      </c>
      <c r="J66" t="str">
        <f t="shared" si="10"/>
        <v/>
      </c>
      <c r="K66" t="str">
        <f t="shared" si="11"/>
        <v/>
      </c>
      <c r="L66" t="str">
        <f t="shared" si="12"/>
        <v/>
      </c>
      <c r="M66" t="str">
        <f t="shared" si="13"/>
        <v/>
      </c>
    </row>
    <row r="67" spans="1:13" ht="15" customHeight="1" x14ac:dyDescent="0.3">
      <c r="A67" s="16" t="s">
        <v>264</v>
      </c>
      <c r="B67" s="17" t="s">
        <v>296</v>
      </c>
      <c r="C67" s="18"/>
      <c r="D67" s="19" t="s">
        <v>77</v>
      </c>
      <c r="E67" s="1" t="s">
        <v>43</v>
      </c>
      <c r="F67" s="20" t="s">
        <v>268</v>
      </c>
      <c r="G67">
        <f t="shared" si="7"/>
        <v>15</v>
      </c>
      <c r="H67">
        <f t="shared" si="8"/>
        <v>7.5</v>
      </c>
      <c r="I67">
        <f t="shared" si="9"/>
        <v>7.5</v>
      </c>
      <c r="J67">
        <f t="shared" si="10"/>
        <v>16.3</v>
      </c>
      <c r="K67">
        <f t="shared" si="11"/>
        <v>2.9340000000000002</v>
      </c>
      <c r="L67">
        <f t="shared" si="12"/>
        <v>26.23</v>
      </c>
      <c r="M67">
        <f t="shared" si="13"/>
        <v>12.5</v>
      </c>
    </row>
    <row r="68" spans="1:13" ht="15" customHeight="1" x14ac:dyDescent="0.3">
      <c r="A68" s="21" t="s">
        <v>264</v>
      </c>
      <c r="B68" s="22" t="s">
        <v>342</v>
      </c>
      <c r="C68" s="23"/>
      <c r="D68" s="24" t="s">
        <v>77</v>
      </c>
      <c r="E68" s="1" t="s">
        <v>43</v>
      </c>
      <c r="F68" s="20" t="s">
        <v>343</v>
      </c>
      <c r="G68">
        <f t="shared" si="7"/>
        <v>275</v>
      </c>
      <c r="H68">
        <f t="shared" si="8"/>
        <v>56.25</v>
      </c>
      <c r="I68">
        <f t="shared" si="9"/>
        <v>225</v>
      </c>
      <c r="J68">
        <f t="shared" si="10"/>
        <v>122.28</v>
      </c>
      <c r="K68">
        <f t="shared" si="11"/>
        <v>22.010400000000001</v>
      </c>
      <c r="L68">
        <f t="shared" si="12"/>
        <v>549.98</v>
      </c>
      <c r="M68">
        <f t="shared" si="13"/>
        <v>375</v>
      </c>
    </row>
    <row r="69" spans="1:13" ht="15" customHeight="1" x14ac:dyDescent="0.3">
      <c r="A69" s="16" t="s">
        <v>264</v>
      </c>
      <c r="B69" s="17" t="s">
        <v>344</v>
      </c>
      <c r="C69" s="18"/>
      <c r="D69" s="19" t="s">
        <v>77</v>
      </c>
      <c r="E69" s="1" t="s">
        <v>43</v>
      </c>
      <c r="F69" s="20" t="s">
        <v>345</v>
      </c>
      <c r="G69">
        <f t="shared" si="7"/>
        <v>168.75</v>
      </c>
      <c r="H69">
        <f t="shared" si="8"/>
        <v>42.5</v>
      </c>
      <c r="I69">
        <f t="shared" si="9"/>
        <v>181.25</v>
      </c>
      <c r="J69">
        <f t="shared" si="10"/>
        <v>92.39</v>
      </c>
      <c r="K69">
        <f t="shared" si="11"/>
        <v>16.630199999999999</v>
      </c>
      <c r="L69">
        <f t="shared" si="12"/>
        <v>330.7</v>
      </c>
      <c r="M69">
        <f t="shared" si="13"/>
        <v>302.08</v>
      </c>
    </row>
    <row r="70" spans="1:13" ht="15" customHeight="1" x14ac:dyDescent="0.3">
      <c r="A70" s="21" t="s">
        <v>264</v>
      </c>
      <c r="B70" s="22" t="s">
        <v>265</v>
      </c>
      <c r="C70" s="23"/>
      <c r="D70" s="24" t="s">
        <v>77</v>
      </c>
      <c r="E70" s="1" t="s">
        <v>43</v>
      </c>
      <c r="F70" s="20" t="s">
        <v>266</v>
      </c>
      <c r="G70">
        <f t="shared" si="7"/>
        <v>125</v>
      </c>
      <c r="H70">
        <f t="shared" si="8"/>
        <v>50</v>
      </c>
      <c r="I70">
        <f t="shared" si="9"/>
        <v>187.5</v>
      </c>
      <c r="J70">
        <f t="shared" si="10"/>
        <v>108.7</v>
      </c>
      <c r="K70">
        <f t="shared" si="11"/>
        <v>19.565999999999999</v>
      </c>
      <c r="L70">
        <f t="shared" si="12"/>
        <v>229.2</v>
      </c>
      <c r="M70">
        <f t="shared" si="13"/>
        <v>312.5</v>
      </c>
    </row>
    <row r="71" spans="1:13" ht="18" customHeight="1" x14ac:dyDescent="0.3">
      <c r="A71" s="25" t="s">
        <v>269</v>
      </c>
      <c r="B71" s="25"/>
      <c r="C71" s="25"/>
      <c r="G71" t="str">
        <f t="shared" si="7"/>
        <v/>
      </c>
      <c r="H71" t="str">
        <f t="shared" si="8"/>
        <v/>
      </c>
      <c r="I71" t="str">
        <f t="shared" si="9"/>
        <v/>
      </c>
      <c r="J71" t="str">
        <f t="shared" si="10"/>
        <v/>
      </c>
      <c r="K71" t="str">
        <f t="shared" si="11"/>
        <v/>
      </c>
      <c r="L71" t="str">
        <f t="shared" si="12"/>
        <v/>
      </c>
      <c r="M71" t="str">
        <f t="shared" si="13"/>
        <v/>
      </c>
    </row>
    <row r="72" spans="1:13" ht="15" customHeight="1" x14ac:dyDescent="0.3">
      <c r="A72" s="16" t="s">
        <v>270</v>
      </c>
      <c r="B72" s="17" t="s">
        <v>346</v>
      </c>
      <c r="C72" s="18"/>
      <c r="D72" s="19" t="s">
        <v>77</v>
      </c>
      <c r="E72" s="1" t="s">
        <v>43</v>
      </c>
      <c r="F72" s="20" t="s">
        <v>347</v>
      </c>
      <c r="G72">
        <f t="shared" si="7"/>
        <v>25</v>
      </c>
      <c r="H72">
        <f t="shared" si="8"/>
        <v>12.5</v>
      </c>
      <c r="I72">
        <f t="shared" si="9"/>
        <v>12.5</v>
      </c>
      <c r="J72">
        <f t="shared" si="10"/>
        <v>27.17</v>
      </c>
      <c r="K72">
        <f t="shared" si="11"/>
        <v>4.8906000000000001</v>
      </c>
      <c r="L72">
        <f t="shared" si="12"/>
        <v>43.72</v>
      </c>
      <c r="M72">
        <f t="shared" si="13"/>
        <v>20.83</v>
      </c>
    </row>
    <row r="73" spans="1:13" ht="15" customHeight="1" x14ac:dyDescent="0.3">
      <c r="A73" s="21" t="s">
        <v>270</v>
      </c>
      <c r="B73" s="22" t="s">
        <v>348</v>
      </c>
      <c r="C73" s="23"/>
      <c r="D73" s="24" t="s">
        <v>77</v>
      </c>
      <c r="E73" s="1" t="s">
        <v>43</v>
      </c>
      <c r="F73" s="20" t="s">
        <v>349</v>
      </c>
      <c r="G73">
        <f t="shared" si="7"/>
        <v>37.5</v>
      </c>
      <c r="H73">
        <f t="shared" si="8"/>
        <v>12.5</v>
      </c>
      <c r="I73">
        <f t="shared" si="9"/>
        <v>12.5</v>
      </c>
      <c r="J73">
        <f t="shared" si="10"/>
        <v>27.17</v>
      </c>
      <c r="K73">
        <f t="shared" si="11"/>
        <v>4.8906000000000001</v>
      </c>
      <c r="L73">
        <f t="shared" si="12"/>
        <v>70.89</v>
      </c>
      <c r="M73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9:C59"/>
    <mergeCell ref="A66:C66"/>
    <mergeCell ref="A71:C71"/>
    <mergeCell ref="A13:C13"/>
    <mergeCell ref="A19:C19"/>
    <mergeCell ref="A23:C23"/>
    <mergeCell ref="A26:C26"/>
    <mergeCell ref="A44:C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8E3C"/>
  </sheetPr>
  <dimension ref="A1:M7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350</v>
      </c>
      <c r="B1" s="26"/>
      <c r="C1" s="26"/>
    </row>
    <row r="2" spans="1:13" ht="19.5" customHeight="1" x14ac:dyDescent="0.3">
      <c r="A2" s="27" t="s">
        <v>351</v>
      </c>
      <c r="B2" s="27"/>
      <c r="C2" s="27"/>
    </row>
    <row r="3" spans="1:13" ht="19.5" customHeight="1" x14ac:dyDescent="0.3">
      <c r="A3" s="27" t="s">
        <v>352</v>
      </c>
      <c r="B3" s="27"/>
      <c r="C3" s="27"/>
    </row>
    <row r="4" spans="1:13" ht="19.5" customHeight="1" x14ac:dyDescent="0.3">
      <c r="A4" s="27" t="s">
        <v>353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354</v>
      </c>
      <c r="C8" s="18"/>
      <c r="D8" s="19" t="s">
        <v>79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79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290</v>
      </c>
      <c r="C10" s="18"/>
      <c r="D10" s="19" t="s">
        <v>79</v>
      </c>
      <c r="E10" s="1" t="s">
        <v>43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355</v>
      </c>
      <c r="C11" s="23"/>
      <c r="D11" s="24" t="s">
        <v>79</v>
      </c>
      <c r="E11" s="1" t="s">
        <v>43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8" customHeight="1" x14ac:dyDescent="0.3">
      <c r="A12" s="25" t="s">
        <v>155</v>
      </c>
      <c r="B12" s="25"/>
      <c r="C12" s="25"/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5"/>
        <v/>
      </c>
      <c r="M12" t="str">
        <f t="shared" si="6"/>
        <v/>
      </c>
    </row>
    <row r="13" spans="1:13" ht="15" customHeight="1" x14ac:dyDescent="0.3">
      <c r="A13" s="16" t="s">
        <v>156</v>
      </c>
      <c r="B13" s="17" t="s">
        <v>292</v>
      </c>
      <c r="C13" s="18"/>
      <c r="D13" s="19" t="s">
        <v>79</v>
      </c>
      <c r="E13" s="1" t="s">
        <v>43</v>
      </c>
      <c r="F13" s="20" t="s">
        <v>160</v>
      </c>
      <c r="G13">
        <f t="shared" si="0"/>
        <v>25</v>
      </c>
      <c r="H13">
        <f t="shared" si="1"/>
        <v>50</v>
      </c>
      <c r="I13">
        <f t="shared" si="2"/>
        <v>25</v>
      </c>
      <c r="J13">
        <f t="shared" si="3"/>
        <v>108.7</v>
      </c>
      <c r="K13">
        <f t="shared" si="4"/>
        <v>19.565999999999999</v>
      </c>
      <c r="L13">
        <f t="shared" si="5"/>
        <v>11.81</v>
      </c>
      <c r="M13">
        <f t="shared" si="6"/>
        <v>41.67</v>
      </c>
    </row>
    <row r="14" spans="1:13" ht="15" customHeight="1" x14ac:dyDescent="0.3">
      <c r="A14" s="21" t="s">
        <v>156</v>
      </c>
      <c r="B14" s="22" t="s">
        <v>293</v>
      </c>
      <c r="C14" s="23"/>
      <c r="D14" s="24" t="s">
        <v>79</v>
      </c>
      <c r="E14" s="1" t="s">
        <v>43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356</v>
      </c>
      <c r="C15" s="18"/>
      <c r="D15" s="19" t="s">
        <v>79</v>
      </c>
      <c r="E15" s="1" t="s">
        <v>43</v>
      </c>
      <c r="F15" s="20" t="s">
        <v>158</v>
      </c>
      <c r="G15">
        <f t="shared" si="0"/>
        <v>31.25</v>
      </c>
      <c r="H15">
        <f t="shared" si="1"/>
        <v>62.5</v>
      </c>
      <c r="I15">
        <f t="shared" si="2"/>
        <v>37.5</v>
      </c>
      <c r="J15">
        <f t="shared" si="3"/>
        <v>135.87</v>
      </c>
      <c r="K15">
        <f t="shared" si="4"/>
        <v>24.456600000000002</v>
      </c>
      <c r="L15">
        <f t="shared" si="5"/>
        <v>14.77</v>
      </c>
      <c r="M15">
        <f t="shared" si="6"/>
        <v>62.5</v>
      </c>
    </row>
    <row r="16" spans="1:13" ht="15" customHeight="1" x14ac:dyDescent="0.3">
      <c r="A16" s="21" t="s">
        <v>156</v>
      </c>
      <c r="B16" s="22" t="s">
        <v>357</v>
      </c>
      <c r="C16" s="23"/>
      <c r="D16" s="24" t="s">
        <v>79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165</v>
      </c>
      <c r="C17" s="18"/>
      <c r="D17" s="19" t="s">
        <v>79</v>
      </c>
      <c r="E17" s="1" t="s">
        <v>43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163</v>
      </c>
      <c r="C18" s="23"/>
      <c r="D18" s="24" t="s">
        <v>79</v>
      </c>
      <c r="E18" s="1" t="s">
        <v>43</v>
      </c>
      <c r="F18" s="20" t="s">
        <v>164</v>
      </c>
      <c r="G18">
        <f t="shared" si="0"/>
        <v>12.5</v>
      </c>
      <c r="H18">
        <f t="shared" si="1"/>
        <v>25</v>
      </c>
      <c r="I18">
        <f t="shared" si="2"/>
        <v>12.5</v>
      </c>
      <c r="J18">
        <f t="shared" si="3"/>
        <v>54.35</v>
      </c>
      <c r="K18">
        <f t="shared" si="4"/>
        <v>9.7829999999999995</v>
      </c>
      <c r="L18">
        <f t="shared" si="5"/>
        <v>5.91</v>
      </c>
      <c r="M18">
        <f t="shared" si="6"/>
        <v>20.83</v>
      </c>
    </row>
    <row r="19" spans="1:13" ht="18" customHeight="1" x14ac:dyDescent="0.3">
      <c r="A19" s="25" t="s">
        <v>167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16" t="s">
        <v>168</v>
      </c>
      <c r="B20" s="17" t="s">
        <v>358</v>
      </c>
      <c r="C20" s="18"/>
      <c r="D20" s="19" t="s">
        <v>79</v>
      </c>
      <c r="E20" s="1" t="s">
        <v>43</v>
      </c>
      <c r="F20" s="20" t="s">
        <v>147</v>
      </c>
      <c r="G20">
        <f t="shared" si="0"/>
        <v>100</v>
      </c>
      <c r="H20">
        <f t="shared" si="1"/>
        <v>50</v>
      </c>
      <c r="I20">
        <f t="shared" si="2"/>
        <v>50</v>
      </c>
      <c r="J20">
        <f t="shared" si="3"/>
        <v>108.7</v>
      </c>
      <c r="K20">
        <f t="shared" si="4"/>
        <v>19.565999999999999</v>
      </c>
      <c r="L20">
        <f t="shared" si="5"/>
        <v>174.86</v>
      </c>
      <c r="M20">
        <f t="shared" si="6"/>
        <v>83.33</v>
      </c>
    </row>
    <row r="21" spans="1:13" ht="15" customHeight="1" x14ac:dyDescent="0.3">
      <c r="A21" s="21" t="s">
        <v>168</v>
      </c>
      <c r="B21" s="22" t="s">
        <v>294</v>
      </c>
      <c r="C21" s="23"/>
      <c r="D21" s="24" t="s">
        <v>79</v>
      </c>
      <c r="E21" s="1" t="s">
        <v>43</v>
      </c>
      <c r="F21" s="20" t="s">
        <v>149</v>
      </c>
      <c r="G21">
        <f t="shared" si="0"/>
        <v>50</v>
      </c>
      <c r="H21">
        <f t="shared" si="1"/>
        <v>25</v>
      </c>
      <c r="I21">
        <f t="shared" si="2"/>
        <v>25</v>
      </c>
      <c r="J21">
        <f t="shared" si="3"/>
        <v>54.35</v>
      </c>
      <c r="K21">
        <f t="shared" si="4"/>
        <v>9.7829999999999995</v>
      </c>
      <c r="L21">
        <f t="shared" si="5"/>
        <v>87.43</v>
      </c>
      <c r="M21">
        <f t="shared" si="6"/>
        <v>41.67</v>
      </c>
    </row>
    <row r="22" spans="1:13" ht="15" customHeight="1" x14ac:dyDescent="0.3">
      <c r="A22" s="16" t="s">
        <v>168</v>
      </c>
      <c r="B22" s="17" t="s">
        <v>295</v>
      </c>
      <c r="C22" s="18"/>
      <c r="D22" s="19" t="s">
        <v>79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5" customHeight="1" x14ac:dyDescent="0.3">
      <c r="A23" s="21" t="s">
        <v>168</v>
      </c>
      <c r="B23" s="22" t="s">
        <v>169</v>
      </c>
      <c r="C23" s="23"/>
      <c r="D23" s="24" t="s">
        <v>79</v>
      </c>
      <c r="E23" s="1" t="s">
        <v>43</v>
      </c>
      <c r="F23" s="20" t="s">
        <v>170</v>
      </c>
      <c r="G23">
        <f t="shared" si="0"/>
        <v>25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83.33</v>
      </c>
    </row>
    <row r="24" spans="1:13" ht="18" customHeight="1" x14ac:dyDescent="0.3">
      <c r="A24" s="25" t="s">
        <v>180</v>
      </c>
      <c r="B24" s="25"/>
      <c r="C24" s="25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5"/>
        <v/>
      </c>
      <c r="M24" t="str">
        <f t="shared" si="6"/>
        <v/>
      </c>
    </row>
    <row r="25" spans="1:13" ht="15" customHeight="1" x14ac:dyDescent="0.3">
      <c r="A25" s="16" t="s">
        <v>181</v>
      </c>
      <c r="B25" s="17" t="s">
        <v>342</v>
      </c>
      <c r="C25" s="18"/>
      <c r="D25" s="19" t="s">
        <v>79</v>
      </c>
      <c r="E25" s="1" t="s">
        <v>43</v>
      </c>
      <c r="F25" s="20" t="s">
        <v>343</v>
      </c>
      <c r="G25">
        <f t="shared" si="0"/>
        <v>275</v>
      </c>
      <c r="H25">
        <f t="shared" si="1"/>
        <v>56.25</v>
      </c>
      <c r="I25">
        <f t="shared" si="2"/>
        <v>225</v>
      </c>
      <c r="J25">
        <f t="shared" si="3"/>
        <v>122.28</v>
      </c>
      <c r="K25">
        <f t="shared" si="4"/>
        <v>22.010400000000001</v>
      </c>
      <c r="L25">
        <f t="shared" si="5"/>
        <v>549.98</v>
      </c>
      <c r="M25">
        <f t="shared" si="6"/>
        <v>375</v>
      </c>
    </row>
    <row r="26" spans="1:13" ht="15" customHeight="1" x14ac:dyDescent="0.3">
      <c r="A26" s="21" t="s">
        <v>181</v>
      </c>
      <c r="B26" s="22" t="s">
        <v>359</v>
      </c>
      <c r="C26" s="23"/>
      <c r="D26" s="24" t="s">
        <v>79</v>
      </c>
      <c r="E26" s="1" t="s">
        <v>43</v>
      </c>
      <c r="F26" s="20" t="s">
        <v>298</v>
      </c>
      <c r="G26">
        <f t="shared" si="0"/>
        <v>75</v>
      </c>
      <c r="H26">
        <f t="shared" si="1"/>
        <v>37.5</v>
      </c>
      <c r="I26">
        <f t="shared" si="2"/>
        <v>37.5</v>
      </c>
      <c r="J26">
        <f t="shared" si="3"/>
        <v>81.52</v>
      </c>
      <c r="K26">
        <f t="shared" si="4"/>
        <v>14.673599999999999</v>
      </c>
      <c r="L26">
        <f t="shared" si="5"/>
        <v>131.13999999999999</v>
      </c>
      <c r="M26">
        <f t="shared" si="6"/>
        <v>62.5</v>
      </c>
    </row>
    <row r="27" spans="1:13" ht="15" customHeight="1" x14ac:dyDescent="0.3">
      <c r="A27" s="16" t="s">
        <v>181</v>
      </c>
      <c r="B27" s="17" t="s">
        <v>182</v>
      </c>
      <c r="C27" s="18"/>
      <c r="D27" s="19" t="s">
        <v>79</v>
      </c>
      <c r="E27" s="1" t="s">
        <v>43</v>
      </c>
      <c r="F27" s="20" t="s">
        <v>183</v>
      </c>
      <c r="G27">
        <f t="shared" si="0"/>
        <v>350</v>
      </c>
      <c r="H27">
        <f t="shared" si="1"/>
        <v>112.5</v>
      </c>
      <c r="I27">
        <f t="shared" si="2"/>
        <v>112.5</v>
      </c>
      <c r="J27">
        <f t="shared" si="3"/>
        <v>244.57</v>
      </c>
      <c r="K27">
        <f t="shared" si="4"/>
        <v>44.022599999999997</v>
      </c>
      <c r="L27">
        <f t="shared" si="5"/>
        <v>665.17</v>
      </c>
      <c r="M27">
        <f t="shared" si="6"/>
        <v>187.5</v>
      </c>
    </row>
    <row r="28" spans="1:13" ht="15" customHeight="1" x14ac:dyDescent="0.3">
      <c r="A28" s="21" t="s">
        <v>181</v>
      </c>
      <c r="B28" s="22" t="s">
        <v>360</v>
      </c>
      <c r="C28" s="23"/>
      <c r="D28" s="24" t="s">
        <v>79</v>
      </c>
      <c r="E28" s="1" t="s">
        <v>43</v>
      </c>
      <c r="F28" s="20" t="s">
        <v>361</v>
      </c>
      <c r="G28" t="str">
        <f t="shared" si="0"/>
        <v>N/A</v>
      </c>
      <c r="H28" t="str">
        <f t="shared" si="1"/>
        <v>N/A</v>
      </c>
      <c r="I28" t="str">
        <f t="shared" si="2"/>
        <v>N/A</v>
      </c>
      <c r="J28" t="str">
        <f t="shared" si="3"/>
        <v>N/A</v>
      </c>
      <c r="K28" t="str">
        <f t="shared" si="4"/>
        <v>N/A</v>
      </c>
      <c r="L28" t="str">
        <f t="shared" si="5"/>
        <v>N/A</v>
      </c>
      <c r="M28" t="str">
        <f t="shared" si="6"/>
        <v>N/A</v>
      </c>
    </row>
    <row r="29" spans="1:13" ht="18" customHeight="1" x14ac:dyDescent="0.3">
      <c r="A29" s="25" t="s">
        <v>187</v>
      </c>
      <c r="B29" s="25"/>
      <c r="C29" s="25"/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5"/>
        <v/>
      </c>
      <c r="M29" t="str">
        <f t="shared" si="6"/>
        <v/>
      </c>
    </row>
    <row r="30" spans="1:13" ht="15" customHeight="1" x14ac:dyDescent="0.3">
      <c r="A30" s="16" t="s">
        <v>188</v>
      </c>
      <c r="B30" s="17" t="s">
        <v>191</v>
      </c>
      <c r="C30" s="18"/>
      <c r="D30" s="19" t="s">
        <v>79</v>
      </c>
      <c r="E30" s="1" t="s">
        <v>43</v>
      </c>
      <c r="F30" s="20" t="s">
        <v>192</v>
      </c>
      <c r="G30">
        <f t="shared" si="0"/>
        <v>137.5</v>
      </c>
      <c r="H30">
        <f t="shared" si="1"/>
        <v>43.75</v>
      </c>
      <c r="I30">
        <f t="shared" si="2"/>
        <v>412.5</v>
      </c>
      <c r="J30">
        <f t="shared" si="3"/>
        <v>95.11</v>
      </c>
      <c r="K30">
        <f t="shared" si="4"/>
        <v>17.119799999999998</v>
      </c>
      <c r="L30">
        <f t="shared" si="5"/>
        <v>261.7</v>
      </c>
      <c r="M30">
        <f t="shared" si="6"/>
        <v>687.5</v>
      </c>
    </row>
    <row r="31" spans="1:13" ht="15" customHeight="1" x14ac:dyDescent="0.3">
      <c r="A31" s="21" t="s">
        <v>188</v>
      </c>
      <c r="B31" s="22" t="s">
        <v>305</v>
      </c>
      <c r="C31" s="23"/>
      <c r="D31" s="24" t="s">
        <v>79</v>
      </c>
      <c r="E31" s="1" t="s">
        <v>43</v>
      </c>
      <c r="F31" s="20" t="s">
        <v>306</v>
      </c>
      <c r="G31">
        <f t="shared" si="0"/>
        <v>20</v>
      </c>
      <c r="H31">
        <f t="shared" si="1"/>
        <v>5</v>
      </c>
      <c r="I31">
        <f t="shared" si="2"/>
        <v>15</v>
      </c>
      <c r="J31">
        <f t="shared" si="3"/>
        <v>10.87</v>
      </c>
      <c r="K31">
        <f t="shared" si="4"/>
        <v>1.9565999999999999</v>
      </c>
      <c r="L31">
        <f t="shared" si="5"/>
        <v>39.22</v>
      </c>
      <c r="M31">
        <f t="shared" si="6"/>
        <v>25</v>
      </c>
    </row>
    <row r="32" spans="1:13" ht="15" customHeight="1" x14ac:dyDescent="0.3">
      <c r="A32" s="16" t="s">
        <v>188</v>
      </c>
      <c r="B32" s="17" t="s">
        <v>299</v>
      </c>
      <c r="C32" s="18"/>
      <c r="D32" s="19" t="s">
        <v>79</v>
      </c>
      <c r="E32" s="1" t="s">
        <v>43</v>
      </c>
      <c r="F32" s="20" t="s">
        <v>300</v>
      </c>
      <c r="G32">
        <f t="shared" si="0"/>
        <v>750</v>
      </c>
      <c r="H32">
        <f t="shared" si="1"/>
        <v>250</v>
      </c>
      <c r="I32">
        <f t="shared" si="2"/>
        <v>500</v>
      </c>
      <c r="J32">
        <f t="shared" si="3"/>
        <v>543.48</v>
      </c>
      <c r="K32">
        <f t="shared" si="4"/>
        <v>97.826400000000007</v>
      </c>
      <c r="L32">
        <f t="shared" si="5"/>
        <v>1417.77</v>
      </c>
      <c r="M32">
        <f t="shared" si="6"/>
        <v>833.33</v>
      </c>
    </row>
    <row r="33" spans="1:13" ht="15" customHeight="1" x14ac:dyDescent="0.3">
      <c r="A33" s="21" t="s">
        <v>188</v>
      </c>
      <c r="B33" s="22" t="s">
        <v>214</v>
      </c>
      <c r="C33" s="23"/>
      <c r="D33" s="24" t="s">
        <v>79</v>
      </c>
      <c r="E33" s="1" t="s">
        <v>43</v>
      </c>
      <c r="F33" s="20" t="s">
        <v>215</v>
      </c>
      <c r="G33">
        <f t="shared" si="0"/>
        <v>93.75</v>
      </c>
      <c r="H33">
        <f t="shared" si="1"/>
        <v>50</v>
      </c>
      <c r="I33">
        <f t="shared" si="2"/>
        <v>62.5</v>
      </c>
      <c r="J33">
        <f t="shared" si="3"/>
        <v>108.7</v>
      </c>
      <c r="K33">
        <f t="shared" si="4"/>
        <v>19.565999999999999</v>
      </c>
      <c r="L33">
        <f t="shared" si="5"/>
        <v>161.27000000000001</v>
      </c>
      <c r="M33">
        <f t="shared" si="6"/>
        <v>104.17</v>
      </c>
    </row>
    <row r="34" spans="1:13" ht="15" customHeight="1" x14ac:dyDescent="0.3">
      <c r="A34" s="16" t="s">
        <v>188</v>
      </c>
      <c r="B34" s="17" t="s">
        <v>312</v>
      </c>
      <c r="C34" s="18"/>
      <c r="D34" s="19" t="s">
        <v>79</v>
      </c>
      <c r="E34" s="1" t="s">
        <v>43</v>
      </c>
      <c r="F34" s="20" t="s">
        <v>190</v>
      </c>
      <c r="G34">
        <f t="shared" si="0"/>
        <v>125</v>
      </c>
      <c r="H34">
        <f t="shared" si="1"/>
        <v>125</v>
      </c>
      <c r="I34">
        <f t="shared" si="2"/>
        <v>187.5</v>
      </c>
      <c r="J34">
        <f t="shared" si="3"/>
        <v>271.74</v>
      </c>
      <c r="K34">
        <f t="shared" si="4"/>
        <v>48.913200000000003</v>
      </c>
      <c r="L34">
        <f t="shared" si="5"/>
        <v>165.41</v>
      </c>
      <c r="M34">
        <f t="shared" si="6"/>
        <v>312.5</v>
      </c>
    </row>
    <row r="35" spans="1:13" ht="15" customHeight="1" x14ac:dyDescent="0.3">
      <c r="A35" s="21" t="s">
        <v>188</v>
      </c>
      <c r="B35" s="22" t="s">
        <v>195</v>
      </c>
      <c r="C35" s="23"/>
      <c r="D35" s="24" t="s">
        <v>79</v>
      </c>
      <c r="E35" s="1" t="s">
        <v>43</v>
      </c>
      <c r="F35" s="20" t="s">
        <v>194</v>
      </c>
      <c r="G35">
        <f t="shared" si="0"/>
        <v>125</v>
      </c>
      <c r="H35">
        <f t="shared" si="1"/>
        <v>125</v>
      </c>
      <c r="I35">
        <f t="shared" si="2"/>
        <v>125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208.33</v>
      </c>
    </row>
    <row r="36" spans="1:13" ht="15" customHeight="1" x14ac:dyDescent="0.3">
      <c r="A36" s="16" t="s">
        <v>188</v>
      </c>
      <c r="B36" s="17" t="s">
        <v>193</v>
      </c>
      <c r="C36" s="18"/>
      <c r="D36" s="19" t="s">
        <v>79</v>
      </c>
      <c r="E36" s="1" t="s">
        <v>43</v>
      </c>
      <c r="F36" s="20" t="s">
        <v>194</v>
      </c>
      <c r="G36">
        <f t="shared" si="0"/>
        <v>125</v>
      </c>
      <c r="H36">
        <f t="shared" si="1"/>
        <v>125</v>
      </c>
      <c r="I36">
        <f t="shared" si="2"/>
        <v>125</v>
      </c>
      <c r="J36">
        <f t="shared" si="3"/>
        <v>271.74</v>
      </c>
      <c r="K36">
        <f t="shared" si="4"/>
        <v>48.913200000000003</v>
      </c>
      <c r="L36">
        <f t="shared" si="5"/>
        <v>165.41</v>
      </c>
      <c r="M36">
        <f t="shared" si="6"/>
        <v>208.33</v>
      </c>
    </row>
    <row r="37" spans="1:13" ht="15" customHeight="1" x14ac:dyDescent="0.3">
      <c r="A37" s="21" t="s">
        <v>188</v>
      </c>
      <c r="B37" s="22" t="s">
        <v>310</v>
      </c>
      <c r="C37" s="23"/>
      <c r="D37" s="24" t="s">
        <v>79</v>
      </c>
      <c r="E37" s="1" t="s">
        <v>43</v>
      </c>
      <c r="F37" s="20" t="s">
        <v>311</v>
      </c>
      <c r="G37">
        <f t="shared" si="0"/>
        <v>125</v>
      </c>
      <c r="H37">
        <f t="shared" si="1"/>
        <v>50</v>
      </c>
      <c r="I37">
        <f t="shared" si="2"/>
        <v>500</v>
      </c>
      <c r="J37">
        <f t="shared" si="3"/>
        <v>108.7</v>
      </c>
      <c r="K37">
        <f t="shared" si="4"/>
        <v>19.565999999999999</v>
      </c>
      <c r="L37">
        <f t="shared" si="5"/>
        <v>229.2</v>
      </c>
      <c r="M37">
        <f t="shared" si="6"/>
        <v>833.33</v>
      </c>
    </row>
    <row r="38" spans="1:13" ht="15" customHeight="1" x14ac:dyDescent="0.3">
      <c r="A38" s="16" t="s">
        <v>188</v>
      </c>
      <c r="B38" s="17" t="s">
        <v>206</v>
      </c>
      <c r="C38" s="18"/>
      <c r="D38" s="19" t="s">
        <v>79</v>
      </c>
      <c r="E38" s="1" t="s">
        <v>43</v>
      </c>
      <c r="F38" s="20" t="s">
        <v>207</v>
      </c>
      <c r="G38">
        <f t="shared" si="0"/>
        <v>700</v>
      </c>
      <c r="H38">
        <f t="shared" si="1"/>
        <v>400</v>
      </c>
      <c r="I38">
        <f t="shared" si="2"/>
        <v>1500</v>
      </c>
      <c r="J38">
        <f t="shared" si="3"/>
        <v>869.57</v>
      </c>
      <c r="K38">
        <f t="shared" si="4"/>
        <v>156.52260000000001</v>
      </c>
      <c r="L38">
        <f t="shared" si="5"/>
        <v>1181.47</v>
      </c>
      <c r="M38">
        <f t="shared" si="6"/>
        <v>2500</v>
      </c>
    </row>
    <row r="39" spans="1:13" ht="15" customHeight="1" x14ac:dyDescent="0.3">
      <c r="A39" s="21" t="s">
        <v>188</v>
      </c>
      <c r="B39" s="22" t="s">
        <v>362</v>
      </c>
      <c r="C39" s="23"/>
      <c r="D39" s="24" t="s">
        <v>79</v>
      </c>
      <c r="E39" s="1" t="s">
        <v>43</v>
      </c>
      <c r="F39" s="20" t="s">
        <v>363</v>
      </c>
      <c r="G39">
        <f t="shared" ref="G39:G73" si="7">IF($F39="","",IFERROR(VALUE(TRIM(LEFT($F39,FIND(":",$F39)-1)))*1.25,"N/A"))</f>
        <v>500</v>
      </c>
      <c r="H39">
        <f t="shared" ref="H39:H73" si="8">IF($F39="","",IFERROR(VALUE(TRIM(MID($F39,FIND(":",$F39)+1,FIND(":",$F39,FIND(":",$F39)+1)-FIND(":",$F39)-1)))*1.25,"N/A"))</f>
        <v>250</v>
      </c>
      <c r="I39">
        <f t="shared" ref="I39:I73" si="9">IF($F39="","",IFERROR(VALUE(TRIM(LEFT(MID($F39,FIND(":",$F39,FIND(":",$F39)+1)+1,LEN($F39)),FIND(" ",MID($F39,FIND(":",$F39,FIND(":",$F39)+1)+1,LEN($F39))&amp;" ")-1)))*1.25,"N/A"))</f>
        <v>375</v>
      </c>
      <c r="J39">
        <f t="shared" ref="J39:J73" si="10">IF(OR($F39="",$H39="N/A"),IF($F39="","","N/A"),ROUND($H39/0.46,2))</f>
        <v>543.48</v>
      </c>
      <c r="K39">
        <f t="shared" ref="K39:K73" si="11">IF(OR($F39="",$J39="N/A"),IF($F39="","","N/A"),$J39*0.18)</f>
        <v>97.826400000000007</v>
      </c>
      <c r="L39">
        <f t="shared" ref="L39:L73" si="12">IF(OR($F39="",$G39="N/A",$K39="N/A"),IF($F39="","","N/A"),ROUND(($G39-$K39)/0.46,2))</f>
        <v>874.29</v>
      </c>
      <c r="M39">
        <f t="shared" ref="M39:M73" si="13">IF(OR($F39="",$I39="N/A"),IF($F39="","","N/A"),ROUND($I39/0.6,2))</f>
        <v>625</v>
      </c>
    </row>
    <row r="40" spans="1:13" ht="15" customHeight="1" x14ac:dyDescent="0.3">
      <c r="A40" s="16" t="s">
        <v>188</v>
      </c>
      <c r="B40" s="17" t="s">
        <v>364</v>
      </c>
      <c r="C40" s="18"/>
      <c r="D40" s="19" t="s">
        <v>79</v>
      </c>
      <c r="E40" s="1" t="s">
        <v>43</v>
      </c>
      <c r="F40" s="20" t="s">
        <v>266</v>
      </c>
      <c r="G40">
        <f t="shared" si="7"/>
        <v>125</v>
      </c>
      <c r="H40">
        <f t="shared" si="8"/>
        <v>50</v>
      </c>
      <c r="I40">
        <f t="shared" si="9"/>
        <v>187.5</v>
      </c>
      <c r="J40">
        <f t="shared" si="10"/>
        <v>108.7</v>
      </c>
      <c r="K40">
        <f t="shared" si="11"/>
        <v>19.565999999999999</v>
      </c>
      <c r="L40">
        <f t="shared" si="12"/>
        <v>229.2</v>
      </c>
      <c r="M40">
        <f t="shared" si="13"/>
        <v>312.5</v>
      </c>
    </row>
    <row r="41" spans="1:13" ht="18" customHeight="1" x14ac:dyDescent="0.3">
      <c r="A41" s="25" t="s">
        <v>220</v>
      </c>
      <c r="B41" s="25"/>
      <c r="C41" s="25"/>
      <c r="G41" t="str">
        <f t="shared" si="7"/>
        <v/>
      </c>
      <c r="H41" t="str">
        <f t="shared" si="8"/>
        <v/>
      </c>
      <c r="I41" t="str">
        <f t="shared" si="9"/>
        <v/>
      </c>
      <c r="J41" t="str">
        <f t="shared" si="10"/>
        <v/>
      </c>
      <c r="K41" t="str">
        <f t="shared" si="11"/>
        <v/>
      </c>
      <c r="L41" t="str">
        <f t="shared" si="12"/>
        <v/>
      </c>
      <c r="M41" t="str">
        <f t="shared" si="13"/>
        <v/>
      </c>
    </row>
    <row r="42" spans="1:13" ht="15" customHeight="1" x14ac:dyDescent="0.3">
      <c r="A42" s="21" t="s">
        <v>221</v>
      </c>
      <c r="B42" s="22" t="s">
        <v>321</v>
      </c>
      <c r="C42" s="23"/>
      <c r="D42" s="24" t="s">
        <v>79</v>
      </c>
      <c r="E42" s="1" t="s">
        <v>43</v>
      </c>
      <c r="F42" s="20" t="s">
        <v>322</v>
      </c>
      <c r="G42">
        <f t="shared" si="7"/>
        <v>150</v>
      </c>
      <c r="H42">
        <f t="shared" si="8"/>
        <v>300</v>
      </c>
      <c r="I42">
        <f t="shared" si="9"/>
        <v>150</v>
      </c>
      <c r="J42">
        <f t="shared" si="10"/>
        <v>652.16999999999996</v>
      </c>
      <c r="K42">
        <f t="shared" si="11"/>
        <v>117.39059999999999</v>
      </c>
      <c r="L42">
        <f t="shared" si="12"/>
        <v>70.89</v>
      </c>
      <c r="M42">
        <f t="shared" si="13"/>
        <v>250</v>
      </c>
    </row>
    <row r="43" spans="1:13" ht="15" customHeight="1" x14ac:dyDescent="0.3">
      <c r="A43" s="16" t="s">
        <v>221</v>
      </c>
      <c r="B43" s="17" t="s">
        <v>222</v>
      </c>
      <c r="C43" s="18"/>
      <c r="D43" s="19" t="s">
        <v>79</v>
      </c>
      <c r="E43" s="1" t="s">
        <v>43</v>
      </c>
      <c r="F43" s="20" t="s">
        <v>223</v>
      </c>
      <c r="G43">
        <f t="shared" si="7"/>
        <v>187.5</v>
      </c>
      <c r="H43">
        <f t="shared" si="8"/>
        <v>125</v>
      </c>
      <c r="I43">
        <f t="shared" si="9"/>
        <v>62.5</v>
      </c>
      <c r="J43">
        <f t="shared" si="10"/>
        <v>271.74</v>
      </c>
      <c r="K43">
        <f t="shared" si="11"/>
        <v>48.913200000000003</v>
      </c>
      <c r="L43">
        <f t="shared" si="12"/>
        <v>301.27999999999997</v>
      </c>
      <c r="M43">
        <f t="shared" si="13"/>
        <v>104.17</v>
      </c>
    </row>
    <row r="44" spans="1:13" ht="15" customHeight="1" x14ac:dyDescent="0.3">
      <c r="A44" s="21" t="s">
        <v>221</v>
      </c>
      <c r="B44" s="22" t="s">
        <v>325</v>
      </c>
      <c r="C44" s="23"/>
      <c r="D44" s="24" t="s">
        <v>79</v>
      </c>
      <c r="E44" s="1" t="s">
        <v>43</v>
      </c>
      <c r="F44" s="20" t="s">
        <v>225</v>
      </c>
      <c r="G44">
        <f t="shared" si="7"/>
        <v>125</v>
      </c>
      <c r="H44">
        <f t="shared" si="8"/>
        <v>62.5</v>
      </c>
      <c r="I44">
        <f t="shared" si="9"/>
        <v>37.5</v>
      </c>
      <c r="J44">
        <f t="shared" si="10"/>
        <v>135.87</v>
      </c>
      <c r="K44">
        <f t="shared" si="11"/>
        <v>24.456600000000002</v>
      </c>
      <c r="L44">
        <f t="shared" si="12"/>
        <v>218.57</v>
      </c>
      <c r="M44">
        <f t="shared" si="13"/>
        <v>62.5</v>
      </c>
    </row>
    <row r="45" spans="1:13" ht="15" customHeight="1" x14ac:dyDescent="0.3">
      <c r="A45" s="16" t="s">
        <v>221</v>
      </c>
      <c r="B45" s="17" t="s">
        <v>326</v>
      </c>
      <c r="C45" s="18"/>
      <c r="D45" s="19" t="s">
        <v>79</v>
      </c>
      <c r="E45" s="1" t="s">
        <v>43</v>
      </c>
      <c r="F45" s="20" t="s">
        <v>227</v>
      </c>
      <c r="G45">
        <f t="shared" si="7"/>
        <v>50</v>
      </c>
      <c r="H45">
        <f t="shared" si="8"/>
        <v>62.5</v>
      </c>
      <c r="I45">
        <f t="shared" si="9"/>
        <v>37.5</v>
      </c>
      <c r="J45">
        <f t="shared" si="10"/>
        <v>135.87</v>
      </c>
      <c r="K45">
        <f t="shared" si="11"/>
        <v>24.456600000000002</v>
      </c>
      <c r="L45">
        <f t="shared" si="12"/>
        <v>55.53</v>
      </c>
      <c r="M45">
        <f t="shared" si="13"/>
        <v>62.5</v>
      </c>
    </row>
    <row r="46" spans="1:13" ht="15" customHeight="1" x14ac:dyDescent="0.3">
      <c r="A46" s="21" t="s">
        <v>221</v>
      </c>
      <c r="B46" s="22" t="s">
        <v>232</v>
      </c>
      <c r="C46" s="23"/>
      <c r="D46" s="24" t="s">
        <v>79</v>
      </c>
      <c r="E46" s="1" t="s">
        <v>43</v>
      </c>
      <c r="F46" s="20" t="s">
        <v>233</v>
      </c>
      <c r="G46">
        <f t="shared" si="7"/>
        <v>125</v>
      </c>
      <c r="H46">
        <f t="shared" si="8"/>
        <v>156.25</v>
      </c>
      <c r="I46">
        <f t="shared" si="9"/>
        <v>31.25</v>
      </c>
      <c r="J46">
        <f t="shared" si="10"/>
        <v>339.67</v>
      </c>
      <c r="K46">
        <f t="shared" si="11"/>
        <v>61.140599999999999</v>
      </c>
      <c r="L46">
        <f t="shared" si="12"/>
        <v>138.82</v>
      </c>
      <c r="M46">
        <f t="shared" si="13"/>
        <v>52.08</v>
      </c>
    </row>
    <row r="47" spans="1:13" ht="15" customHeight="1" x14ac:dyDescent="0.3">
      <c r="A47" s="16" t="s">
        <v>221</v>
      </c>
      <c r="B47" s="17" t="s">
        <v>234</v>
      </c>
      <c r="C47" s="18"/>
      <c r="D47" s="19" t="s">
        <v>79</v>
      </c>
      <c r="E47" s="1" t="s">
        <v>43</v>
      </c>
      <c r="F47" s="20" t="s">
        <v>235</v>
      </c>
      <c r="G47">
        <f t="shared" si="7"/>
        <v>125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165.41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244</v>
      </c>
      <c r="C48" s="23"/>
      <c r="D48" s="24" t="s">
        <v>79</v>
      </c>
      <c r="E48" s="1" t="s">
        <v>43</v>
      </c>
      <c r="F48" s="20" t="s">
        <v>241</v>
      </c>
      <c r="G48">
        <f t="shared" si="7"/>
        <v>7.5</v>
      </c>
      <c r="H48">
        <f t="shared" si="8"/>
        <v>15</v>
      </c>
      <c r="I48">
        <f t="shared" si="9"/>
        <v>15</v>
      </c>
      <c r="J48">
        <f t="shared" si="10"/>
        <v>32.61</v>
      </c>
      <c r="K48">
        <f t="shared" si="11"/>
        <v>5.8697999999999997</v>
      </c>
      <c r="L48">
        <f t="shared" si="12"/>
        <v>3.54</v>
      </c>
      <c r="M48">
        <f t="shared" si="13"/>
        <v>25</v>
      </c>
    </row>
    <row r="49" spans="1:13" ht="15" customHeight="1" x14ac:dyDescent="0.3">
      <c r="A49" s="16" t="s">
        <v>221</v>
      </c>
      <c r="B49" s="17" t="s">
        <v>243</v>
      </c>
      <c r="C49" s="18"/>
      <c r="D49" s="19" t="s">
        <v>79</v>
      </c>
      <c r="E49" s="1" t="s">
        <v>43</v>
      </c>
      <c r="F49" s="20" t="s">
        <v>241</v>
      </c>
      <c r="G49">
        <f t="shared" si="7"/>
        <v>7.5</v>
      </c>
      <c r="H49">
        <f t="shared" si="8"/>
        <v>15</v>
      </c>
      <c r="I49">
        <f t="shared" si="9"/>
        <v>15</v>
      </c>
      <c r="J49">
        <f t="shared" si="10"/>
        <v>32.61</v>
      </c>
      <c r="K49">
        <f t="shared" si="11"/>
        <v>5.8697999999999997</v>
      </c>
      <c r="L49">
        <f t="shared" si="12"/>
        <v>3.54</v>
      </c>
      <c r="M49">
        <f t="shared" si="13"/>
        <v>25</v>
      </c>
    </row>
    <row r="50" spans="1:13" ht="15" customHeight="1" x14ac:dyDescent="0.3">
      <c r="A50" s="21" t="s">
        <v>221</v>
      </c>
      <c r="B50" s="22" t="s">
        <v>240</v>
      </c>
      <c r="C50" s="23"/>
      <c r="D50" s="24" t="s">
        <v>79</v>
      </c>
      <c r="E50" s="1" t="s">
        <v>43</v>
      </c>
      <c r="F50" s="20" t="s">
        <v>241</v>
      </c>
      <c r="G50">
        <f t="shared" si="7"/>
        <v>7.5</v>
      </c>
      <c r="H50">
        <f t="shared" si="8"/>
        <v>15</v>
      </c>
      <c r="I50">
        <f t="shared" si="9"/>
        <v>15</v>
      </c>
      <c r="J50">
        <f t="shared" si="10"/>
        <v>32.61</v>
      </c>
      <c r="K50">
        <f t="shared" si="11"/>
        <v>5.8697999999999997</v>
      </c>
      <c r="L50">
        <f t="shared" si="12"/>
        <v>3.54</v>
      </c>
      <c r="M50">
        <f t="shared" si="13"/>
        <v>25</v>
      </c>
    </row>
    <row r="51" spans="1:13" ht="15" customHeight="1" x14ac:dyDescent="0.3">
      <c r="A51" s="16" t="s">
        <v>221</v>
      </c>
      <c r="B51" s="17" t="s">
        <v>236</v>
      </c>
      <c r="C51" s="18"/>
      <c r="D51" s="19" t="s">
        <v>79</v>
      </c>
      <c r="E51" s="1" t="s">
        <v>43</v>
      </c>
      <c r="F51" s="20" t="s">
        <v>237</v>
      </c>
      <c r="G51">
        <f t="shared" si="7"/>
        <v>62.5</v>
      </c>
      <c r="H51">
        <f t="shared" si="8"/>
        <v>62.5</v>
      </c>
      <c r="I51">
        <f t="shared" si="9"/>
        <v>62.5</v>
      </c>
      <c r="J51">
        <f t="shared" si="10"/>
        <v>135.87</v>
      </c>
      <c r="K51">
        <f t="shared" si="11"/>
        <v>24.456600000000002</v>
      </c>
      <c r="L51">
        <f t="shared" si="12"/>
        <v>82.7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333</v>
      </c>
      <c r="C52" s="23"/>
      <c r="D52" s="24" t="s">
        <v>79</v>
      </c>
      <c r="E52" s="1" t="s">
        <v>43</v>
      </c>
      <c r="F52" s="20" t="s">
        <v>334</v>
      </c>
      <c r="G52">
        <f t="shared" si="7"/>
        <v>50</v>
      </c>
      <c r="H52">
        <f t="shared" si="8"/>
        <v>75</v>
      </c>
      <c r="I52">
        <f t="shared" si="9"/>
        <v>150</v>
      </c>
      <c r="J52">
        <f t="shared" si="10"/>
        <v>163.04</v>
      </c>
      <c r="K52">
        <f t="shared" si="11"/>
        <v>29.347199999999997</v>
      </c>
      <c r="L52">
        <f t="shared" si="12"/>
        <v>44.9</v>
      </c>
      <c r="M52">
        <f t="shared" si="13"/>
        <v>250</v>
      </c>
    </row>
    <row r="53" spans="1:13" ht="15" customHeight="1" x14ac:dyDescent="0.3">
      <c r="A53" s="16" t="s">
        <v>221</v>
      </c>
      <c r="B53" s="17" t="s">
        <v>365</v>
      </c>
      <c r="C53" s="18"/>
      <c r="D53" s="19" t="s">
        <v>79</v>
      </c>
      <c r="E53" s="1" t="s">
        <v>43</v>
      </c>
      <c r="F53" s="20" t="s">
        <v>366</v>
      </c>
      <c r="G53">
        <f t="shared" si="7"/>
        <v>93.75</v>
      </c>
      <c r="H53">
        <f t="shared" si="8"/>
        <v>93.75</v>
      </c>
      <c r="I53">
        <f t="shared" si="9"/>
        <v>93.75</v>
      </c>
      <c r="J53">
        <f t="shared" si="10"/>
        <v>203.8</v>
      </c>
      <c r="K53">
        <f t="shared" si="11"/>
        <v>36.683999999999997</v>
      </c>
      <c r="L53">
        <f t="shared" si="12"/>
        <v>124.06</v>
      </c>
      <c r="M53">
        <f t="shared" si="13"/>
        <v>156.25</v>
      </c>
    </row>
    <row r="54" spans="1:13" ht="15" customHeight="1" x14ac:dyDescent="0.3">
      <c r="A54" s="21" t="s">
        <v>221</v>
      </c>
      <c r="B54" s="22" t="s">
        <v>230</v>
      </c>
      <c r="C54" s="23"/>
      <c r="D54" s="24" t="s">
        <v>79</v>
      </c>
      <c r="E54" s="1" t="s">
        <v>43</v>
      </c>
      <c r="F54" s="20" t="s">
        <v>231</v>
      </c>
      <c r="G54">
        <f t="shared" si="7"/>
        <v>125</v>
      </c>
      <c r="H54">
        <f t="shared" si="8"/>
        <v>187.5</v>
      </c>
      <c r="I54">
        <f t="shared" si="9"/>
        <v>93.75</v>
      </c>
      <c r="J54">
        <f t="shared" si="10"/>
        <v>407.61</v>
      </c>
      <c r="K54">
        <f t="shared" si="11"/>
        <v>73.369799999999998</v>
      </c>
      <c r="L54">
        <f t="shared" si="12"/>
        <v>112.24</v>
      </c>
      <c r="M54">
        <f t="shared" si="13"/>
        <v>156.25</v>
      </c>
    </row>
    <row r="55" spans="1:13" ht="15" customHeight="1" x14ac:dyDescent="0.3">
      <c r="A55" s="16" t="s">
        <v>221</v>
      </c>
      <c r="B55" s="17" t="s">
        <v>250</v>
      </c>
      <c r="C55" s="18"/>
      <c r="D55" s="19" t="s">
        <v>79</v>
      </c>
      <c r="E55" s="1" t="s">
        <v>43</v>
      </c>
      <c r="F55" s="20" t="s">
        <v>251</v>
      </c>
      <c r="G55">
        <f t="shared" si="7"/>
        <v>75</v>
      </c>
      <c r="H55">
        <f t="shared" si="8"/>
        <v>75</v>
      </c>
      <c r="I55">
        <f t="shared" si="9"/>
        <v>75</v>
      </c>
      <c r="J55">
        <f t="shared" si="10"/>
        <v>163.04</v>
      </c>
      <c r="K55">
        <f t="shared" si="11"/>
        <v>29.347199999999997</v>
      </c>
      <c r="L55">
        <f t="shared" si="12"/>
        <v>99.25</v>
      </c>
      <c r="M55">
        <f t="shared" si="13"/>
        <v>125</v>
      </c>
    </row>
    <row r="56" spans="1:13" ht="15" customHeight="1" x14ac:dyDescent="0.3">
      <c r="A56" s="21" t="s">
        <v>221</v>
      </c>
      <c r="B56" s="22" t="s">
        <v>335</v>
      </c>
      <c r="C56" s="23"/>
      <c r="D56" s="24" t="s">
        <v>79</v>
      </c>
      <c r="E56" s="1" t="s">
        <v>43</v>
      </c>
      <c r="F56" s="20" t="s">
        <v>336</v>
      </c>
      <c r="G56">
        <f t="shared" si="7"/>
        <v>112.5</v>
      </c>
      <c r="H56">
        <f t="shared" si="8"/>
        <v>75</v>
      </c>
      <c r="I56">
        <f t="shared" si="9"/>
        <v>300</v>
      </c>
      <c r="J56">
        <f t="shared" si="10"/>
        <v>163.04</v>
      </c>
      <c r="K56">
        <f t="shared" si="11"/>
        <v>29.347199999999997</v>
      </c>
      <c r="L56">
        <f t="shared" si="12"/>
        <v>180.77</v>
      </c>
      <c r="M56">
        <f t="shared" si="13"/>
        <v>500</v>
      </c>
    </row>
    <row r="57" spans="1:13" ht="18" customHeight="1" x14ac:dyDescent="0.3">
      <c r="A57" s="25" t="s">
        <v>252</v>
      </c>
      <c r="B57" s="25"/>
      <c r="C57" s="25"/>
      <c r="G57" t="str">
        <f t="shared" si="7"/>
        <v/>
      </c>
      <c r="H57" t="str">
        <f t="shared" si="8"/>
        <v/>
      </c>
      <c r="I57" t="str">
        <f t="shared" si="9"/>
        <v/>
      </c>
      <c r="J57" t="str">
        <f t="shared" si="10"/>
        <v/>
      </c>
      <c r="K57" t="str">
        <f t="shared" si="11"/>
        <v/>
      </c>
      <c r="L57" t="str">
        <f t="shared" si="12"/>
        <v/>
      </c>
      <c r="M57" t="str">
        <f t="shared" si="13"/>
        <v/>
      </c>
    </row>
    <row r="58" spans="1:13" ht="15" customHeight="1" x14ac:dyDescent="0.3">
      <c r="A58" s="16" t="s">
        <v>253</v>
      </c>
      <c r="B58" s="17" t="s">
        <v>323</v>
      </c>
      <c r="C58" s="18"/>
      <c r="D58" s="19" t="s">
        <v>79</v>
      </c>
      <c r="E58" s="1" t="s">
        <v>43</v>
      </c>
      <c r="F58" s="20" t="s">
        <v>324</v>
      </c>
      <c r="G58">
        <f t="shared" si="7"/>
        <v>93.75</v>
      </c>
      <c r="H58">
        <f t="shared" si="8"/>
        <v>62.5</v>
      </c>
      <c r="I58">
        <f t="shared" si="9"/>
        <v>62.5</v>
      </c>
      <c r="J58">
        <f t="shared" si="10"/>
        <v>135.87</v>
      </c>
      <c r="K58">
        <f t="shared" si="11"/>
        <v>24.456600000000002</v>
      </c>
      <c r="L58">
        <f t="shared" si="12"/>
        <v>150.63999999999999</v>
      </c>
      <c r="M58">
        <f t="shared" si="13"/>
        <v>104.17</v>
      </c>
    </row>
    <row r="59" spans="1:13" ht="15" customHeight="1" x14ac:dyDescent="0.3">
      <c r="A59" s="21" t="s">
        <v>253</v>
      </c>
      <c r="B59" s="22" t="s">
        <v>255</v>
      </c>
      <c r="C59" s="23"/>
      <c r="D59" s="24" t="s">
        <v>79</v>
      </c>
      <c r="E59" s="1" t="s">
        <v>43</v>
      </c>
      <c r="F59" s="20" t="s">
        <v>256</v>
      </c>
      <c r="G59">
        <f t="shared" si="7"/>
        <v>31.25</v>
      </c>
      <c r="H59">
        <f t="shared" si="8"/>
        <v>75</v>
      </c>
      <c r="I59">
        <f t="shared" si="9"/>
        <v>22.5</v>
      </c>
      <c r="J59">
        <f t="shared" si="10"/>
        <v>163.04</v>
      </c>
      <c r="K59">
        <f t="shared" si="11"/>
        <v>29.347199999999997</v>
      </c>
      <c r="L59">
        <f t="shared" si="12"/>
        <v>4.1399999999999997</v>
      </c>
      <c r="M59">
        <f t="shared" si="13"/>
        <v>37.5</v>
      </c>
    </row>
    <row r="60" spans="1:13" ht="15" customHeight="1" x14ac:dyDescent="0.3">
      <c r="A60" s="16" t="s">
        <v>253</v>
      </c>
      <c r="B60" s="17" t="s">
        <v>259</v>
      </c>
      <c r="C60" s="18"/>
      <c r="D60" s="19" t="s">
        <v>79</v>
      </c>
      <c r="E60" s="1" t="s">
        <v>43</v>
      </c>
      <c r="F60" s="20" t="s">
        <v>260</v>
      </c>
      <c r="G60">
        <f t="shared" si="7"/>
        <v>125</v>
      </c>
      <c r="H60">
        <f t="shared" si="8"/>
        <v>50</v>
      </c>
      <c r="I60">
        <f t="shared" si="9"/>
        <v>175</v>
      </c>
      <c r="J60">
        <f t="shared" si="10"/>
        <v>108.7</v>
      </c>
      <c r="K60">
        <f t="shared" si="11"/>
        <v>19.565999999999999</v>
      </c>
      <c r="L60">
        <f t="shared" si="12"/>
        <v>229.2</v>
      </c>
      <c r="M60">
        <f t="shared" si="13"/>
        <v>291.67</v>
      </c>
    </row>
    <row r="61" spans="1:13" ht="15" customHeight="1" x14ac:dyDescent="0.3">
      <c r="A61" s="21" t="s">
        <v>253</v>
      </c>
      <c r="B61" s="22" t="s">
        <v>228</v>
      </c>
      <c r="C61" s="23"/>
      <c r="D61" s="24" t="s">
        <v>79</v>
      </c>
      <c r="E61" s="1" t="s">
        <v>43</v>
      </c>
      <c r="F61" s="20" t="s">
        <v>229</v>
      </c>
      <c r="G61">
        <f t="shared" si="7"/>
        <v>150</v>
      </c>
      <c r="H61">
        <f t="shared" si="8"/>
        <v>75</v>
      </c>
      <c r="I61">
        <f t="shared" si="9"/>
        <v>37.5</v>
      </c>
      <c r="J61">
        <f t="shared" si="10"/>
        <v>163.04</v>
      </c>
      <c r="K61">
        <f t="shared" si="11"/>
        <v>29.347199999999997</v>
      </c>
      <c r="L61">
        <f t="shared" si="12"/>
        <v>262.29000000000002</v>
      </c>
      <c r="M61">
        <f t="shared" si="13"/>
        <v>62.5</v>
      </c>
    </row>
    <row r="62" spans="1:13" ht="15" customHeight="1" x14ac:dyDescent="0.3">
      <c r="A62" s="16" t="s">
        <v>253</v>
      </c>
      <c r="B62" s="17" t="s">
        <v>257</v>
      </c>
      <c r="C62" s="18"/>
      <c r="D62" s="19" t="s">
        <v>79</v>
      </c>
      <c r="E62" s="1" t="s">
        <v>43</v>
      </c>
      <c r="F62" s="20" t="s">
        <v>160</v>
      </c>
      <c r="G62">
        <f t="shared" si="7"/>
        <v>25</v>
      </c>
      <c r="H62">
        <f t="shared" si="8"/>
        <v>50</v>
      </c>
      <c r="I62">
        <f t="shared" si="9"/>
        <v>25</v>
      </c>
      <c r="J62">
        <f t="shared" si="10"/>
        <v>108.7</v>
      </c>
      <c r="K62">
        <f t="shared" si="11"/>
        <v>19.565999999999999</v>
      </c>
      <c r="L62">
        <f t="shared" si="12"/>
        <v>11.81</v>
      </c>
      <c r="M62">
        <f t="shared" si="13"/>
        <v>41.67</v>
      </c>
    </row>
    <row r="63" spans="1:13" ht="15" customHeight="1" x14ac:dyDescent="0.3">
      <c r="A63" s="21" t="s">
        <v>253</v>
      </c>
      <c r="B63" s="22" t="s">
        <v>261</v>
      </c>
      <c r="C63" s="23"/>
      <c r="D63" s="24" t="s">
        <v>79</v>
      </c>
      <c r="E63" s="1" t="s">
        <v>43</v>
      </c>
      <c r="F63" s="20" t="s">
        <v>262</v>
      </c>
      <c r="G63">
        <f t="shared" si="7"/>
        <v>187.5</v>
      </c>
      <c r="H63">
        <f t="shared" si="8"/>
        <v>125</v>
      </c>
      <c r="I63">
        <f t="shared" si="9"/>
        <v>37.5</v>
      </c>
      <c r="J63">
        <f t="shared" si="10"/>
        <v>271.74</v>
      </c>
      <c r="K63">
        <f t="shared" si="11"/>
        <v>48.913200000000003</v>
      </c>
      <c r="L63">
        <f t="shared" si="12"/>
        <v>301.27999999999997</v>
      </c>
      <c r="M63">
        <f t="shared" si="13"/>
        <v>62.5</v>
      </c>
    </row>
    <row r="64" spans="1:13" ht="15" customHeight="1" x14ac:dyDescent="0.3">
      <c r="A64" s="16" t="s">
        <v>253</v>
      </c>
      <c r="B64" s="17" t="s">
        <v>367</v>
      </c>
      <c r="C64" s="18"/>
      <c r="D64" s="19" t="s">
        <v>79</v>
      </c>
      <c r="E64" s="1" t="s">
        <v>43</v>
      </c>
      <c r="F64" s="20" t="s">
        <v>266</v>
      </c>
      <c r="G64">
        <f t="shared" si="7"/>
        <v>125</v>
      </c>
      <c r="H64">
        <f t="shared" si="8"/>
        <v>50</v>
      </c>
      <c r="I64">
        <f t="shared" si="9"/>
        <v>187.5</v>
      </c>
      <c r="J64">
        <f t="shared" si="10"/>
        <v>108.7</v>
      </c>
      <c r="K64">
        <f t="shared" si="11"/>
        <v>19.565999999999999</v>
      </c>
      <c r="L64">
        <f t="shared" si="12"/>
        <v>229.2</v>
      </c>
      <c r="M64">
        <f t="shared" si="13"/>
        <v>312.5</v>
      </c>
    </row>
    <row r="65" spans="1:13" ht="18" customHeight="1" x14ac:dyDescent="0.3">
      <c r="A65" s="25" t="s">
        <v>263</v>
      </c>
      <c r="B65" s="25"/>
      <c r="C65" s="25"/>
      <c r="G65" t="str">
        <f t="shared" si="7"/>
        <v/>
      </c>
      <c r="H65" t="str">
        <f t="shared" si="8"/>
        <v/>
      </c>
      <c r="I65" t="str">
        <f t="shared" si="9"/>
        <v/>
      </c>
      <c r="J65" t="str">
        <f t="shared" si="10"/>
        <v/>
      </c>
      <c r="K65" t="str">
        <f t="shared" si="11"/>
        <v/>
      </c>
      <c r="L65" t="str">
        <f t="shared" si="12"/>
        <v/>
      </c>
      <c r="M65" t="str">
        <f t="shared" si="13"/>
        <v/>
      </c>
    </row>
    <row r="66" spans="1:13" ht="15" customHeight="1" x14ac:dyDescent="0.3">
      <c r="A66" s="21" t="s">
        <v>264</v>
      </c>
      <c r="B66" s="22" t="s">
        <v>342</v>
      </c>
      <c r="C66" s="23"/>
      <c r="D66" s="24" t="s">
        <v>79</v>
      </c>
      <c r="E66" s="1" t="s">
        <v>43</v>
      </c>
      <c r="F66" s="20" t="s">
        <v>343</v>
      </c>
      <c r="G66">
        <f t="shared" si="7"/>
        <v>275</v>
      </c>
      <c r="H66">
        <f t="shared" si="8"/>
        <v>56.25</v>
      </c>
      <c r="I66">
        <f t="shared" si="9"/>
        <v>225</v>
      </c>
      <c r="J66">
        <f t="shared" si="10"/>
        <v>122.28</v>
      </c>
      <c r="K66">
        <f t="shared" si="11"/>
        <v>22.010400000000001</v>
      </c>
      <c r="L66">
        <f t="shared" si="12"/>
        <v>549.98</v>
      </c>
      <c r="M66">
        <f t="shared" si="13"/>
        <v>375</v>
      </c>
    </row>
    <row r="67" spans="1:13" ht="15" customHeight="1" x14ac:dyDescent="0.3">
      <c r="A67" s="16" t="s">
        <v>264</v>
      </c>
      <c r="B67" s="17" t="s">
        <v>296</v>
      </c>
      <c r="C67" s="18"/>
      <c r="D67" s="19" t="s">
        <v>79</v>
      </c>
      <c r="E67" s="1" t="s">
        <v>43</v>
      </c>
      <c r="F67" s="20" t="s">
        <v>268</v>
      </c>
      <c r="G67">
        <f t="shared" si="7"/>
        <v>15</v>
      </c>
      <c r="H67">
        <f t="shared" si="8"/>
        <v>7.5</v>
      </c>
      <c r="I67">
        <f t="shared" si="9"/>
        <v>7.5</v>
      </c>
      <c r="J67">
        <f t="shared" si="10"/>
        <v>16.3</v>
      </c>
      <c r="K67">
        <f t="shared" si="11"/>
        <v>2.9340000000000002</v>
      </c>
      <c r="L67">
        <f t="shared" si="12"/>
        <v>26.23</v>
      </c>
      <c r="M67">
        <f t="shared" si="13"/>
        <v>12.5</v>
      </c>
    </row>
    <row r="68" spans="1:13" ht="15" customHeight="1" x14ac:dyDescent="0.3">
      <c r="A68" s="21" t="s">
        <v>264</v>
      </c>
      <c r="B68" s="22" t="s">
        <v>206</v>
      </c>
      <c r="C68" s="23"/>
      <c r="D68" s="24" t="s">
        <v>79</v>
      </c>
      <c r="E68" s="1" t="s">
        <v>43</v>
      </c>
      <c r="F68" s="20" t="s">
        <v>207</v>
      </c>
      <c r="G68">
        <f t="shared" si="7"/>
        <v>700</v>
      </c>
      <c r="H68">
        <f t="shared" si="8"/>
        <v>400</v>
      </c>
      <c r="I68">
        <f t="shared" si="9"/>
        <v>1500</v>
      </c>
      <c r="J68">
        <f t="shared" si="10"/>
        <v>869.57</v>
      </c>
      <c r="K68">
        <f t="shared" si="11"/>
        <v>156.52260000000001</v>
      </c>
      <c r="L68">
        <f t="shared" si="12"/>
        <v>1181.47</v>
      </c>
      <c r="M68">
        <f t="shared" si="13"/>
        <v>2500</v>
      </c>
    </row>
    <row r="69" spans="1:13" ht="15" customHeight="1" x14ac:dyDescent="0.3">
      <c r="A69" s="16" t="s">
        <v>264</v>
      </c>
      <c r="B69" s="17" t="s">
        <v>265</v>
      </c>
      <c r="C69" s="18"/>
      <c r="D69" s="19" t="s">
        <v>79</v>
      </c>
      <c r="E69" s="1" t="s">
        <v>43</v>
      </c>
      <c r="F69" s="20" t="s">
        <v>266</v>
      </c>
      <c r="G69">
        <f t="shared" si="7"/>
        <v>125</v>
      </c>
      <c r="H69">
        <f t="shared" si="8"/>
        <v>50</v>
      </c>
      <c r="I69">
        <f t="shared" si="9"/>
        <v>187.5</v>
      </c>
      <c r="J69">
        <f t="shared" si="10"/>
        <v>108.7</v>
      </c>
      <c r="K69">
        <f t="shared" si="11"/>
        <v>19.565999999999999</v>
      </c>
      <c r="L69">
        <f t="shared" si="12"/>
        <v>229.2</v>
      </c>
      <c r="M69">
        <f t="shared" si="13"/>
        <v>312.5</v>
      </c>
    </row>
    <row r="70" spans="1:13" ht="18" customHeight="1" x14ac:dyDescent="0.3">
      <c r="A70" s="25" t="s">
        <v>269</v>
      </c>
      <c r="B70" s="25"/>
      <c r="C70" s="25"/>
      <c r="G70" t="str">
        <f t="shared" si="7"/>
        <v/>
      </c>
      <c r="H70" t="str">
        <f t="shared" si="8"/>
        <v/>
      </c>
      <c r="I70" t="str">
        <f t="shared" si="9"/>
        <v/>
      </c>
      <c r="J70" t="str">
        <f t="shared" si="10"/>
        <v/>
      </c>
      <c r="K70" t="str">
        <f t="shared" si="11"/>
        <v/>
      </c>
      <c r="L70" t="str">
        <f t="shared" si="12"/>
        <v/>
      </c>
      <c r="M70" t="str">
        <f t="shared" si="13"/>
        <v/>
      </c>
    </row>
    <row r="71" spans="1:13" ht="15" customHeight="1" x14ac:dyDescent="0.3">
      <c r="A71" s="21" t="s">
        <v>270</v>
      </c>
      <c r="B71" s="22" t="s">
        <v>271</v>
      </c>
      <c r="C71" s="23"/>
      <c r="D71" s="24" t="s">
        <v>79</v>
      </c>
      <c r="E71" s="1" t="s">
        <v>43</v>
      </c>
      <c r="F71" s="20" t="s">
        <v>241</v>
      </c>
      <c r="G71">
        <f t="shared" si="7"/>
        <v>7.5</v>
      </c>
      <c r="H71">
        <f t="shared" si="8"/>
        <v>15</v>
      </c>
      <c r="I71">
        <f t="shared" si="9"/>
        <v>15</v>
      </c>
      <c r="J71">
        <f t="shared" si="10"/>
        <v>32.61</v>
      </c>
      <c r="K71">
        <f t="shared" si="11"/>
        <v>5.8697999999999997</v>
      </c>
      <c r="L71">
        <f t="shared" si="12"/>
        <v>3.54</v>
      </c>
      <c r="M71">
        <f t="shared" si="13"/>
        <v>25</v>
      </c>
    </row>
    <row r="72" spans="1:13" ht="15" customHeight="1" x14ac:dyDescent="0.3">
      <c r="A72" s="16" t="s">
        <v>270</v>
      </c>
      <c r="B72" s="17" t="s">
        <v>272</v>
      </c>
      <c r="C72" s="18"/>
      <c r="D72" s="19" t="s">
        <v>79</v>
      </c>
      <c r="E72" s="1" t="s">
        <v>43</v>
      </c>
      <c r="F72" s="20" t="s">
        <v>273</v>
      </c>
      <c r="G72">
        <f t="shared" si="7"/>
        <v>112.5</v>
      </c>
      <c r="H72">
        <f t="shared" si="8"/>
        <v>112.5</v>
      </c>
      <c r="I72">
        <f t="shared" si="9"/>
        <v>93.75</v>
      </c>
      <c r="J72">
        <f t="shared" si="10"/>
        <v>244.57</v>
      </c>
      <c r="K72">
        <f t="shared" si="11"/>
        <v>44.022599999999997</v>
      </c>
      <c r="L72">
        <f t="shared" si="12"/>
        <v>148.86000000000001</v>
      </c>
      <c r="M72">
        <f t="shared" si="13"/>
        <v>156.25</v>
      </c>
    </row>
    <row r="73" spans="1:13" ht="15" customHeight="1" x14ac:dyDescent="0.3">
      <c r="A73" s="21" t="s">
        <v>270</v>
      </c>
      <c r="B73" s="22" t="s">
        <v>346</v>
      </c>
      <c r="C73" s="23"/>
      <c r="D73" s="24" t="s">
        <v>79</v>
      </c>
      <c r="E73" s="1" t="s">
        <v>43</v>
      </c>
      <c r="F73" s="20" t="s">
        <v>347</v>
      </c>
      <c r="G73">
        <f t="shared" si="7"/>
        <v>25</v>
      </c>
      <c r="H73">
        <f t="shared" si="8"/>
        <v>12.5</v>
      </c>
      <c r="I73">
        <f t="shared" si="9"/>
        <v>12.5</v>
      </c>
      <c r="J73">
        <f t="shared" si="10"/>
        <v>27.17</v>
      </c>
      <c r="K73">
        <f t="shared" si="11"/>
        <v>4.8906000000000001</v>
      </c>
      <c r="L73">
        <f t="shared" si="12"/>
        <v>43.72</v>
      </c>
      <c r="M73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7:C57"/>
    <mergeCell ref="A65:C65"/>
    <mergeCell ref="A70:C70"/>
    <mergeCell ref="A12:C12"/>
    <mergeCell ref="A19:C19"/>
    <mergeCell ref="A24:C24"/>
    <mergeCell ref="A29:C29"/>
    <mergeCell ref="A41:C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3A047"/>
  </sheetPr>
  <dimension ref="A1:M72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368</v>
      </c>
      <c r="B1" s="26"/>
      <c r="C1" s="26"/>
    </row>
    <row r="2" spans="1:13" ht="19.5" customHeight="1" x14ac:dyDescent="0.3">
      <c r="A2" s="27" t="s">
        <v>369</v>
      </c>
      <c r="B2" s="27"/>
      <c r="C2" s="27"/>
    </row>
    <row r="3" spans="1:13" ht="19.5" customHeight="1" x14ac:dyDescent="0.3">
      <c r="A3" s="27" t="s">
        <v>370</v>
      </c>
      <c r="B3" s="27"/>
      <c r="C3" s="27"/>
    </row>
    <row r="4" spans="1:13" ht="19.5" customHeight="1" x14ac:dyDescent="0.3">
      <c r="A4" s="27" t="s">
        <v>371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48</v>
      </c>
      <c r="E8" s="1" t="s">
        <v>47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48</v>
      </c>
      <c r="E9" s="1" t="s">
        <v>47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48</v>
      </c>
      <c r="E10" s="1" t="s">
        <v>47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48</v>
      </c>
      <c r="E11" s="1" t="s">
        <v>47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375</v>
      </c>
      <c r="C12" s="18"/>
      <c r="D12" s="19" t="s">
        <v>48</v>
      </c>
      <c r="E12" s="1" t="s">
        <v>47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376</v>
      </c>
      <c r="C13" s="23"/>
      <c r="D13" s="24" t="s">
        <v>48</v>
      </c>
      <c r="E13" s="1" t="s">
        <v>47</v>
      </c>
      <c r="F13" s="20" t="s">
        <v>147</v>
      </c>
      <c r="G13">
        <f t="shared" si="0"/>
        <v>100</v>
      </c>
      <c r="H13">
        <f t="shared" si="1"/>
        <v>50</v>
      </c>
      <c r="I13">
        <f t="shared" si="2"/>
        <v>50</v>
      </c>
      <c r="J13">
        <f t="shared" si="3"/>
        <v>108.7</v>
      </c>
      <c r="K13">
        <f t="shared" si="4"/>
        <v>19.565999999999999</v>
      </c>
      <c r="L13">
        <f t="shared" si="5"/>
        <v>174.86</v>
      </c>
      <c r="M13">
        <f t="shared" si="6"/>
        <v>83.33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377</v>
      </c>
      <c r="C15" s="18"/>
      <c r="D15" s="19" t="s">
        <v>48</v>
      </c>
      <c r="E15" s="1" t="s">
        <v>47</v>
      </c>
      <c r="F15" s="20" t="s">
        <v>158</v>
      </c>
      <c r="G15">
        <f t="shared" si="0"/>
        <v>31.25</v>
      </c>
      <c r="H15">
        <f t="shared" si="1"/>
        <v>62.5</v>
      </c>
      <c r="I15">
        <f t="shared" si="2"/>
        <v>37.5</v>
      </c>
      <c r="J15">
        <f t="shared" si="3"/>
        <v>135.87</v>
      </c>
      <c r="K15">
        <f t="shared" si="4"/>
        <v>24.456600000000002</v>
      </c>
      <c r="L15">
        <f t="shared" si="5"/>
        <v>14.77</v>
      </c>
      <c r="M15">
        <f t="shared" si="6"/>
        <v>62.5</v>
      </c>
    </row>
    <row r="16" spans="1:13" ht="15" customHeight="1" x14ac:dyDescent="0.3">
      <c r="A16" s="21" t="s">
        <v>156</v>
      </c>
      <c r="B16" s="22" t="s">
        <v>378</v>
      </c>
      <c r="C16" s="23"/>
      <c r="D16" s="24" t="s">
        <v>48</v>
      </c>
      <c r="E16" s="1" t="s">
        <v>47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166</v>
      </c>
      <c r="C17" s="18"/>
      <c r="D17" s="19" t="s">
        <v>48</v>
      </c>
      <c r="E17" s="1" t="s">
        <v>47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379</v>
      </c>
      <c r="C18" s="23"/>
      <c r="D18" s="24" t="s">
        <v>48</v>
      </c>
      <c r="E18" s="1" t="s">
        <v>47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380</v>
      </c>
      <c r="C19" s="18"/>
      <c r="D19" s="19" t="s">
        <v>48</v>
      </c>
      <c r="E19" s="1" t="s">
        <v>47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381</v>
      </c>
      <c r="C20" s="23"/>
      <c r="D20" s="24" t="s">
        <v>48</v>
      </c>
      <c r="E20" s="1" t="s">
        <v>47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165</v>
      </c>
      <c r="C21" s="18"/>
      <c r="D21" s="19" t="s">
        <v>48</v>
      </c>
      <c r="E21" s="1" t="s">
        <v>47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8" customHeight="1" x14ac:dyDescent="0.3">
      <c r="A22" s="25" t="s">
        <v>167</v>
      </c>
      <c r="B22" s="25"/>
      <c r="C22" s="25"/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  <c r="L22" t="str">
        <f t="shared" si="5"/>
        <v/>
      </c>
      <c r="M22" t="str">
        <f t="shared" si="6"/>
        <v/>
      </c>
    </row>
    <row r="23" spans="1:13" ht="15" customHeight="1" x14ac:dyDescent="0.3">
      <c r="A23" s="21" t="s">
        <v>168</v>
      </c>
      <c r="B23" s="22" t="s">
        <v>358</v>
      </c>
      <c r="C23" s="23"/>
      <c r="D23" s="24" t="s">
        <v>48</v>
      </c>
      <c r="E23" s="1" t="s">
        <v>47</v>
      </c>
      <c r="F23" s="20" t="s">
        <v>147</v>
      </c>
      <c r="G23">
        <f t="shared" si="0"/>
        <v>100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174.86</v>
      </c>
      <c r="M23">
        <f t="shared" si="6"/>
        <v>83.33</v>
      </c>
    </row>
    <row r="24" spans="1:13" ht="15" customHeight="1" x14ac:dyDescent="0.3">
      <c r="A24" s="16" t="s">
        <v>168</v>
      </c>
      <c r="B24" s="17" t="s">
        <v>295</v>
      </c>
      <c r="C24" s="18"/>
      <c r="D24" s="19" t="s">
        <v>48</v>
      </c>
      <c r="E24" s="1" t="s">
        <v>47</v>
      </c>
      <c r="F24" s="20" t="s">
        <v>149</v>
      </c>
      <c r="G24">
        <f t="shared" si="0"/>
        <v>50</v>
      </c>
      <c r="H24">
        <f t="shared" si="1"/>
        <v>25</v>
      </c>
      <c r="I24">
        <f t="shared" si="2"/>
        <v>25</v>
      </c>
      <c r="J24">
        <f t="shared" si="3"/>
        <v>54.35</v>
      </c>
      <c r="K24">
        <f t="shared" si="4"/>
        <v>9.7829999999999995</v>
      </c>
      <c r="L24">
        <f t="shared" si="5"/>
        <v>87.43</v>
      </c>
      <c r="M24">
        <f t="shared" si="6"/>
        <v>41.67</v>
      </c>
    </row>
    <row r="25" spans="1:13" ht="15" customHeight="1" x14ac:dyDescent="0.3">
      <c r="A25" s="21" t="s">
        <v>168</v>
      </c>
      <c r="B25" s="22" t="s">
        <v>169</v>
      </c>
      <c r="C25" s="23"/>
      <c r="D25" s="24" t="s">
        <v>48</v>
      </c>
      <c r="E25" s="1" t="s">
        <v>47</v>
      </c>
      <c r="F25" s="20" t="s">
        <v>170</v>
      </c>
      <c r="G25">
        <f t="shared" si="0"/>
        <v>25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294</v>
      </c>
      <c r="C26" s="18"/>
      <c r="D26" s="19" t="s">
        <v>48</v>
      </c>
      <c r="E26" s="1" t="s">
        <v>47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172</v>
      </c>
      <c r="C27" s="23"/>
      <c r="D27" s="24" t="s">
        <v>48</v>
      </c>
      <c r="E27" s="1" t="s">
        <v>47</v>
      </c>
      <c r="F27" s="20" t="s">
        <v>173</v>
      </c>
      <c r="G27">
        <f t="shared" si="0"/>
        <v>75</v>
      </c>
      <c r="H27">
        <f t="shared" si="1"/>
        <v>112.5</v>
      </c>
      <c r="I27">
        <f t="shared" si="2"/>
        <v>75</v>
      </c>
      <c r="J27">
        <f t="shared" si="3"/>
        <v>244.57</v>
      </c>
      <c r="K27">
        <f t="shared" si="4"/>
        <v>44.022599999999997</v>
      </c>
      <c r="L27">
        <f t="shared" si="5"/>
        <v>67.34</v>
      </c>
      <c r="M27">
        <f t="shared" si="6"/>
        <v>125</v>
      </c>
    </row>
    <row r="28" spans="1:13" ht="18" customHeight="1" x14ac:dyDescent="0.3">
      <c r="A28" s="25" t="s">
        <v>180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16" t="s">
        <v>181</v>
      </c>
      <c r="B29" s="17" t="s">
        <v>182</v>
      </c>
      <c r="C29" s="18"/>
      <c r="D29" s="19" t="s">
        <v>48</v>
      </c>
      <c r="E29" s="1" t="s">
        <v>47</v>
      </c>
      <c r="F29" s="20" t="s">
        <v>183</v>
      </c>
      <c r="G29">
        <f t="shared" si="0"/>
        <v>350</v>
      </c>
      <c r="H29">
        <f t="shared" si="1"/>
        <v>112.5</v>
      </c>
      <c r="I29">
        <f t="shared" si="2"/>
        <v>112.5</v>
      </c>
      <c r="J29">
        <f t="shared" si="3"/>
        <v>244.57</v>
      </c>
      <c r="K29">
        <f t="shared" si="4"/>
        <v>44.022599999999997</v>
      </c>
      <c r="L29">
        <f t="shared" si="5"/>
        <v>665.17</v>
      </c>
      <c r="M29">
        <f t="shared" si="6"/>
        <v>187.5</v>
      </c>
    </row>
    <row r="30" spans="1:13" ht="15" customHeight="1" x14ac:dyDescent="0.3">
      <c r="A30" s="21" t="s">
        <v>181</v>
      </c>
      <c r="B30" s="22" t="s">
        <v>359</v>
      </c>
      <c r="C30" s="23"/>
      <c r="D30" s="24" t="s">
        <v>48</v>
      </c>
      <c r="E30" s="1" t="s">
        <v>47</v>
      </c>
      <c r="F30" s="20" t="s">
        <v>298</v>
      </c>
      <c r="G30">
        <f t="shared" si="0"/>
        <v>75</v>
      </c>
      <c r="H30">
        <f t="shared" si="1"/>
        <v>37.5</v>
      </c>
      <c r="I30">
        <f t="shared" si="2"/>
        <v>37.5</v>
      </c>
      <c r="J30">
        <f t="shared" si="3"/>
        <v>81.52</v>
      </c>
      <c r="K30">
        <f t="shared" si="4"/>
        <v>14.673599999999999</v>
      </c>
      <c r="L30">
        <f t="shared" si="5"/>
        <v>131.13999999999999</v>
      </c>
      <c r="M30">
        <f t="shared" si="6"/>
        <v>62.5</v>
      </c>
    </row>
    <row r="31" spans="1:13" ht="15" customHeight="1" x14ac:dyDescent="0.3">
      <c r="A31" s="16" t="s">
        <v>181</v>
      </c>
      <c r="B31" s="17" t="s">
        <v>186</v>
      </c>
      <c r="C31" s="18"/>
      <c r="D31" s="19" t="s">
        <v>48</v>
      </c>
      <c r="E31" s="1" t="s">
        <v>47</v>
      </c>
      <c r="F31" s="20" t="s">
        <v>185</v>
      </c>
      <c r="G31">
        <f t="shared" si="0"/>
        <v>125</v>
      </c>
      <c r="H31">
        <f t="shared" si="1"/>
        <v>62.5</v>
      </c>
      <c r="I31">
        <f t="shared" si="2"/>
        <v>62.5</v>
      </c>
      <c r="J31">
        <f t="shared" si="3"/>
        <v>135.87</v>
      </c>
      <c r="K31">
        <f t="shared" si="4"/>
        <v>24.456600000000002</v>
      </c>
      <c r="L31">
        <f t="shared" si="5"/>
        <v>218.57</v>
      </c>
      <c r="M31">
        <f t="shared" si="6"/>
        <v>104.17</v>
      </c>
    </row>
    <row r="32" spans="1:13" ht="15" customHeight="1" x14ac:dyDescent="0.3">
      <c r="A32" s="21" t="s">
        <v>181</v>
      </c>
      <c r="B32" s="22" t="s">
        <v>382</v>
      </c>
      <c r="C32" s="23"/>
      <c r="D32" s="24" t="s">
        <v>48</v>
      </c>
      <c r="E32" s="1" t="s">
        <v>47</v>
      </c>
      <c r="F32" s="20" t="s">
        <v>383</v>
      </c>
      <c r="G32">
        <f t="shared" si="0"/>
        <v>125</v>
      </c>
      <c r="H32">
        <f t="shared" si="1"/>
        <v>75</v>
      </c>
      <c r="I32">
        <f t="shared" si="2"/>
        <v>50</v>
      </c>
      <c r="J32">
        <f t="shared" si="3"/>
        <v>163.04</v>
      </c>
      <c r="K32">
        <f t="shared" si="4"/>
        <v>29.347199999999997</v>
      </c>
      <c r="L32">
        <f t="shared" si="5"/>
        <v>207.94</v>
      </c>
      <c r="M32">
        <f t="shared" si="6"/>
        <v>83.33</v>
      </c>
    </row>
    <row r="33" spans="1:13" ht="18" customHeight="1" x14ac:dyDescent="0.3">
      <c r="A33" s="25" t="s">
        <v>187</v>
      </c>
      <c r="B33" s="25"/>
      <c r="C33" s="25"/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  <c r="L33" t="str">
        <f t="shared" si="5"/>
        <v/>
      </c>
      <c r="M33" t="str">
        <f t="shared" si="6"/>
        <v/>
      </c>
    </row>
    <row r="34" spans="1:13" ht="15" customHeight="1" x14ac:dyDescent="0.3">
      <c r="A34" s="16" t="s">
        <v>188</v>
      </c>
      <c r="B34" s="17" t="s">
        <v>384</v>
      </c>
      <c r="C34" s="18"/>
      <c r="D34" s="19" t="s">
        <v>48</v>
      </c>
      <c r="E34" s="1" t="s">
        <v>47</v>
      </c>
      <c r="F34" s="20" t="s">
        <v>311</v>
      </c>
      <c r="G34">
        <f t="shared" si="0"/>
        <v>125</v>
      </c>
      <c r="H34">
        <f t="shared" si="1"/>
        <v>50</v>
      </c>
      <c r="I34">
        <f t="shared" si="2"/>
        <v>500</v>
      </c>
      <c r="J34">
        <f t="shared" si="3"/>
        <v>108.7</v>
      </c>
      <c r="K34">
        <f t="shared" si="4"/>
        <v>19.565999999999999</v>
      </c>
      <c r="L34">
        <f t="shared" si="5"/>
        <v>229.2</v>
      </c>
      <c r="M34">
        <f t="shared" si="6"/>
        <v>833.33</v>
      </c>
    </row>
    <row r="35" spans="1:13" ht="15" customHeight="1" x14ac:dyDescent="0.3">
      <c r="A35" s="21" t="s">
        <v>188</v>
      </c>
      <c r="B35" s="22" t="s">
        <v>385</v>
      </c>
      <c r="C35" s="23"/>
      <c r="D35" s="24" t="s">
        <v>48</v>
      </c>
      <c r="E35" s="1" t="s">
        <v>47</v>
      </c>
      <c r="F35" s="20" t="s">
        <v>190</v>
      </c>
      <c r="G35">
        <f t="shared" si="0"/>
        <v>125</v>
      </c>
      <c r="H35">
        <f t="shared" si="1"/>
        <v>125</v>
      </c>
      <c r="I35">
        <f t="shared" si="2"/>
        <v>187.5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312.5</v>
      </c>
    </row>
    <row r="36" spans="1:13" ht="15" customHeight="1" x14ac:dyDescent="0.3">
      <c r="A36" s="16" t="s">
        <v>188</v>
      </c>
      <c r="B36" s="17" t="s">
        <v>191</v>
      </c>
      <c r="C36" s="18"/>
      <c r="D36" s="19" t="s">
        <v>48</v>
      </c>
      <c r="E36" s="1" t="s">
        <v>47</v>
      </c>
      <c r="F36" s="20" t="s">
        <v>192</v>
      </c>
      <c r="G36">
        <f t="shared" si="0"/>
        <v>137.5</v>
      </c>
      <c r="H36">
        <f t="shared" si="1"/>
        <v>43.75</v>
      </c>
      <c r="I36">
        <f t="shared" si="2"/>
        <v>412.5</v>
      </c>
      <c r="J36">
        <f t="shared" si="3"/>
        <v>95.11</v>
      </c>
      <c r="K36">
        <f t="shared" si="4"/>
        <v>17.119799999999998</v>
      </c>
      <c r="L36">
        <f t="shared" si="5"/>
        <v>261.7</v>
      </c>
      <c r="M36">
        <f t="shared" si="6"/>
        <v>687.5</v>
      </c>
    </row>
    <row r="37" spans="1:13" ht="15" customHeight="1" x14ac:dyDescent="0.3">
      <c r="A37" s="21" t="s">
        <v>188</v>
      </c>
      <c r="B37" s="22" t="s">
        <v>195</v>
      </c>
      <c r="C37" s="23"/>
      <c r="D37" s="24" t="s">
        <v>48</v>
      </c>
      <c r="E37" s="1" t="s">
        <v>47</v>
      </c>
      <c r="F37" s="20" t="s">
        <v>194</v>
      </c>
      <c r="G37">
        <f t="shared" si="0"/>
        <v>125</v>
      </c>
      <c r="H37">
        <f t="shared" si="1"/>
        <v>125</v>
      </c>
      <c r="I37">
        <f t="shared" si="2"/>
        <v>125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208.33</v>
      </c>
    </row>
    <row r="38" spans="1:13" ht="15" customHeight="1" x14ac:dyDescent="0.3">
      <c r="A38" s="16" t="s">
        <v>188</v>
      </c>
      <c r="B38" s="17" t="s">
        <v>193</v>
      </c>
      <c r="C38" s="18"/>
      <c r="D38" s="19" t="s">
        <v>48</v>
      </c>
      <c r="E38" s="1" t="s">
        <v>47</v>
      </c>
      <c r="F38" s="20" t="s">
        <v>194</v>
      </c>
      <c r="G38">
        <f t="shared" si="0"/>
        <v>125</v>
      </c>
      <c r="H38">
        <f t="shared" si="1"/>
        <v>125</v>
      </c>
      <c r="I38">
        <f t="shared" si="2"/>
        <v>125</v>
      </c>
      <c r="J38">
        <f t="shared" si="3"/>
        <v>271.74</v>
      </c>
      <c r="K38">
        <f t="shared" si="4"/>
        <v>48.913200000000003</v>
      </c>
      <c r="L38">
        <f t="shared" si="5"/>
        <v>165.41</v>
      </c>
      <c r="M38">
        <f t="shared" si="6"/>
        <v>208.33</v>
      </c>
    </row>
    <row r="39" spans="1:13" ht="15" customHeight="1" x14ac:dyDescent="0.3">
      <c r="A39" s="21" t="s">
        <v>188</v>
      </c>
      <c r="B39" s="22" t="s">
        <v>214</v>
      </c>
      <c r="C39" s="23"/>
      <c r="D39" s="24" t="s">
        <v>48</v>
      </c>
      <c r="E39" s="1" t="s">
        <v>47</v>
      </c>
      <c r="F39" s="20" t="s">
        <v>215</v>
      </c>
      <c r="G39">
        <f t="shared" ref="G39:G72" si="7">IF($F39="","",IFERROR(VALUE(TRIM(LEFT($F39,FIND(":",$F39)-1)))*1.25,"N/A"))</f>
        <v>93.75</v>
      </c>
      <c r="H39">
        <f t="shared" ref="H39:H72" si="8">IF($F39="","",IFERROR(VALUE(TRIM(MID($F39,FIND(":",$F39)+1,FIND(":",$F39,FIND(":",$F39)+1)-FIND(":",$F39)-1)))*1.25,"N/A"))</f>
        <v>50</v>
      </c>
      <c r="I39">
        <f t="shared" ref="I39:I72" si="9">IF($F39="","",IFERROR(VALUE(TRIM(LEFT(MID($F39,FIND(":",$F39,FIND(":",$F39)+1)+1,LEN($F39)),FIND(" ",MID($F39,FIND(":",$F39,FIND(":",$F39)+1)+1,LEN($F39))&amp;" ")-1)))*1.25,"N/A"))</f>
        <v>62.5</v>
      </c>
      <c r="J39">
        <f t="shared" ref="J39:J72" si="10">IF(OR($F39="",$H39="N/A"),IF($F39="","","N/A"),ROUND($H39/0.46,2))</f>
        <v>108.7</v>
      </c>
      <c r="K39">
        <f t="shared" ref="K39:K72" si="11">IF(OR($F39="",$J39="N/A"),IF($F39="","","N/A"),$J39*0.18)</f>
        <v>19.565999999999999</v>
      </c>
      <c r="L39">
        <f t="shared" ref="L39:L72" si="12">IF(OR($F39="",$G39="N/A",$K39="N/A"),IF($F39="","","N/A"),ROUND(($G39-$K39)/0.46,2))</f>
        <v>161.27000000000001</v>
      </c>
      <c r="M39">
        <f t="shared" ref="M39:M72" si="13">IF(OR($F39="",$I39="N/A"),IF($F39="","","N/A"),ROUND($I39/0.6,2))</f>
        <v>104.17</v>
      </c>
    </row>
    <row r="40" spans="1:13" ht="15" customHeight="1" x14ac:dyDescent="0.3">
      <c r="A40" s="16" t="s">
        <v>188</v>
      </c>
      <c r="B40" s="17" t="s">
        <v>386</v>
      </c>
      <c r="C40" s="18"/>
      <c r="D40" s="19" t="s">
        <v>48</v>
      </c>
      <c r="E40" s="1" t="s">
        <v>47</v>
      </c>
      <c r="F40" s="20" t="s">
        <v>211</v>
      </c>
      <c r="G40">
        <f t="shared" si="7"/>
        <v>93.75</v>
      </c>
      <c r="H40">
        <f t="shared" si="8"/>
        <v>75</v>
      </c>
      <c r="I40">
        <f t="shared" si="9"/>
        <v>62.5</v>
      </c>
      <c r="J40">
        <f t="shared" si="10"/>
        <v>163.04</v>
      </c>
      <c r="K40">
        <f t="shared" si="11"/>
        <v>29.347199999999997</v>
      </c>
      <c r="L40">
        <f t="shared" si="12"/>
        <v>140.01</v>
      </c>
      <c r="M40">
        <f t="shared" si="13"/>
        <v>104.17</v>
      </c>
    </row>
    <row r="41" spans="1:13" ht="15" customHeight="1" x14ac:dyDescent="0.3">
      <c r="A41" s="21" t="s">
        <v>188</v>
      </c>
      <c r="B41" s="22" t="s">
        <v>387</v>
      </c>
      <c r="C41" s="23"/>
      <c r="D41" s="24" t="s">
        <v>48</v>
      </c>
      <c r="E41" s="1" t="s">
        <v>47</v>
      </c>
      <c r="F41" s="20" t="s">
        <v>388</v>
      </c>
      <c r="G41">
        <f t="shared" si="7"/>
        <v>625</v>
      </c>
      <c r="H41">
        <f t="shared" si="8"/>
        <v>250</v>
      </c>
      <c r="I41">
        <f t="shared" si="9"/>
        <v>625</v>
      </c>
      <c r="J41">
        <f t="shared" si="10"/>
        <v>543.48</v>
      </c>
      <c r="K41">
        <f t="shared" si="11"/>
        <v>97.826400000000007</v>
      </c>
      <c r="L41">
        <f t="shared" si="12"/>
        <v>1146.03</v>
      </c>
      <c r="M41">
        <f t="shared" si="13"/>
        <v>1041.67</v>
      </c>
    </row>
    <row r="42" spans="1:13" ht="18" customHeight="1" x14ac:dyDescent="0.3">
      <c r="A42" s="25" t="s">
        <v>220</v>
      </c>
      <c r="B42" s="25"/>
      <c r="C42" s="25"/>
      <c r="G42" t="str">
        <f t="shared" si="7"/>
        <v/>
      </c>
      <c r="H42" t="str">
        <f t="shared" si="8"/>
        <v/>
      </c>
      <c r="I42" t="str">
        <f t="shared" si="9"/>
        <v/>
      </c>
      <c r="J42" t="str">
        <f t="shared" si="10"/>
        <v/>
      </c>
      <c r="K42" t="str">
        <f t="shared" si="11"/>
        <v/>
      </c>
      <c r="L42" t="str">
        <f t="shared" si="12"/>
        <v/>
      </c>
      <c r="M42" t="str">
        <f t="shared" si="13"/>
        <v/>
      </c>
    </row>
    <row r="43" spans="1:13" ht="15" customHeight="1" x14ac:dyDescent="0.3">
      <c r="A43" s="16" t="s">
        <v>221</v>
      </c>
      <c r="B43" s="17" t="s">
        <v>321</v>
      </c>
      <c r="C43" s="18"/>
      <c r="D43" s="19" t="s">
        <v>48</v>
      </c>
      <c r="E43" s="1" t="s">
        <v>47</v>
      </c>
      <c r="F43" s="20" t="s">
        <v>322</v>
      </c>
      <c r="G43">
        <f t="shared" si="7"/>
        <v>150</v>
      </c>
      <c r="H43">
        <f t="shared" si="8"/>
        <v>300</v>
      </c>
      <c r="I43">
        <f t="shared" si="9"/>
        <v>150</v>
      </c>
      <c r="J43">
        <f t="shared" si="10"/>
        <v>652.16999999999996</v>
      </c>
      <c r="K43">
        <f t="shared" si="11"/>
        <v>117.39059999999999</v>
      </c>
      <c r="L43">
        <f t="shared" si="12"/>
        <v>70.89</v>
      </c>
      <c r="M43">
        <f t="shared" si="13"/>
        <v>250</v>
      </c>
    </row>
    <row r="44" spans="1:13" ht="15" customHeight="1" x14ac:dyDescent="0.3">
      <c r="A44" s="21" t="s">
        <v>221</v>
      </c>
      <c r="B44" s="22" t="s">
        <v>222</v>
      </c>
      <c r="C44" s="23"/>
      <c r="D44" s="24" t="s">
        <v>48</v>
      </c>
      <c r="E44" s="1" t="s">
        <v>47</v>
      </c>
      <c r="F44" s="20" t="s">
        <v>223</v>
      </c>
      <c r="G44">
        <f t="shared" si="7"/>
        <v>187.5</v>
      </c>
      <c r="H44">
        <f t="shared" si="8"/>
        <v>125</v>
      </c>
      <c r="I44">
        <f t="shared" si="9"/>
        <v>62.5</v>
      </c>
      <c r="J44">
        <f t="shared" si="10"/>
        <v>271.74</v>
      </c>
      <c r="K44">
        <f t="shared" si="11"/>
        <v>48.913200000000003</v>
      </c>
      <c r="L44">
        <f t="shared" si="12"/>
        <v>301.27999999999997</v>
      </c>
      <c r="M44">
        <f t="shared" si="13"/>
        <v>104.17</v>
      </c>
    </row>
    <row r="45" spans="1:13" ht="15" customHeight="1" x14ac:dyDescent="0.3">
      <c r="A45" s="16" t="s">
        <v>221</v>
      </c>
      <c r="B45" s="17" t="s">
        <v>230</v>
      </c>
      <c r="C45" s="18"/>
      <c r="D45" s="19" t="s">
        <v>48</v>
      </c>
      <c r="E45" s="1" t="s">
        <v>47</v>
      </c>
      <c r="F45" s="20" t="s">
        <v>231</v>
      </c>
      <c r="G45">
        <f t="shared" si="7"/>
        <v>125</v>
      </c>
      <c r="H45">
        <f t="shared" si="8"/>
        <v>187.5</v>
      </c>
      <c r="I45">
        <f t="shared" si="9"/>
        <v>93.75</v>
      </c>
      <c r="J45">
        <f t="shared" si="10"/>
        <v>407.61</v>
      </c>
      <c r="K45">
        <f t="shared" si="11"/>
        <v>73.369799999999998</v>
      </c>
      <c r="L45">
        <f t="shared" si="12"/>
        <v>112.24</v>
      </c>
      <c r="M45">
        <f t="shared" si="13"/>
        <v>156.25</v>
      </c>
    </row>
    <row r="46" spans="1:13" ht="15" customHeight="1" x14ac:dyDescent="0.3">
      <c r="A46" s="21" t="s">
        <v>221</v>
      </c>
      <c r="B46" s="22" t="s">
        <v>234</v>
      </c>
      <c r="C46" s="23"/>
      <c r="D46" s="24" t="s">
        <v>48</v>
      </c>
      <c r="E46" s="1" t="s">
        <v>47</v>
      </c>
      <c r="F46" s="20" t="s">
        <v>235</v>
      </c>
      <c r="G46">
        <f t="shared" si="7"/>
        <v>125</v>
      </c>
      <c r="H46">
        <f t="shared" si="8"/>
        <v>125</v>
      </c>
      <c r="I46">
        <f t="shared" si="9"/>
        <v>62.5</v>
      </c>
      <c r="J46">
        <f t="shared" si="10"/>
        <v>271.74</v>
      </c>
      <c r="K46">
        <f t="shared" si="11"/>
        <v>48.913200000000003</v>
      </c>
      <c r="L46">
        <f t="shared" si="12"/>
        <v>165.41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232</v>
      </c>
      <c r="C47" s="18"/>
      <c r="D47" s="19" t="s">
        <v>48</v>
      </c>
      <c r="E47" s="1" t="s">
        <v>47</v>
      </c>
      <c r="F47" s="20" t="s">
        <v>233</v>
      </c>
      <c r="G47">
        <f t="shared" si="7"/>
        <v>125</v>
      </c>
      <c r="H47">
        <f t="shared" si="8"/>
        <v>156.25</v>
      </c>
      <c r="I47">
        <f t="shared" si="9"/>
        <v>31.25</v>
      </c>
      <c r="J47">
        <f t="shared" si="10"/>
        <v>339.67</v>
      </c>
      <c r="K47">
        <f t="shared" si="11"/>
        <v>61.140599999999999</v>
      </c>
      <c r="L47">
        <f t="shared" si="12"/>
        <v>138.82</v>
      </c>
      <c r="M47">
        <f t="shared" si="13"/>
        <v>52.08</v>
      </c>
    </row>
    <row r="48" spans="1:13" ht="15" customHeight="1" x14ac:dyDescent="0.3">
      <c r="A48" s="21" t="s">
        <v>221</v>
      </c>
      <c r="B48" s="22" t="s">
        <v>325</v>
      </c>
      <c r="C48" s="23"/>
      <c r="D48" s="24" t="s">
        <v>48</v>
      </c>
      <c r="E48" s="1" t="s">
        <v>47</v>
      </c>
      <c r="F48" s="20" t="s">
        <v>225</v>
      </c>
      <c r="G48">
        <f t="shared" si="7"/>
        <v>125</v>
      </c>
      <c r="H48">
        <f t="shared" si="8"/>
        <v>62.5</v>
      </c>
      <c r="I48">
        <f t="shared" si="9"/>
        <v>37.5</v>
      </c>
      <c r="J48">
        <f t="shared" si="10"/>
        <v>135.87</v>
      </c>
      <c r="K48">
        <f t="shared" si="11"/>
        <v>24.456600000000002</v>
      </c>
      <c r="L48">
        <f t="shared" si="12"/>
        <v>218.57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326</v>
      </c>
      <c r="C49" s="18"/>
      <c r="D49" s="19" t="s">
        <v>48</v>
      </c>
      <c r="E49" s="1" t="s">
        <v>47</v>
      </c>
      <c r="F49" s="20" t="s">
        <v>227</v>
      </c>
      <c r="G49">
        <f t="shared" si="7"/>
        <v>50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55.53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327</v>
      </c>
      <c r="C50" s="23"/>
      <c r="D50" s="24" t="s">
        <v>48</v>
      </c>
      <c r="E50" s="1" t="s">
        <v>47</v>
      </c>
      <c r="F50" s="20" t="s">
        <v>328</v>
      </c>
      <c r="G50">
        <f t="shared" si="7"/>
        <v>150</v>
      </c>
      <c r="H50">
        <f t="shared" si="8"/>
        <v>100</v>
      </c>
      <c r="I50">
        <f t="shared" si="9"/>
        <v>87.5</v>
      </c>
      <c r="J50">
        <f t="shared" si="10"/>
        <v>217.39</v>
      </c>
      <c r="K50">
        <f t="shared" si="11"/>
        <v>39.130199999999995</v>
      </c>
      <c r="L50">
        <f t="shared" si="12"/>
        <v>241.02</v>
      </c>
      <c r="M50">
        <f t="shared" si="13"/>
        <v>145.83000000000001</v>
      </c>
    </row>
    <row r="51" spans="1:13" ht="15" customHeight="1" x14ac:dyDescent="0.3">
      <c r="A51" s="16" t="s">
        <v>221</v>
      </c>
      <c r="B51" s="17" t="s">
        <v>240</v>
      </c>
      <c r="C51" s="18"/>
      <c r="D51" s="19" t="s">
        <v>48</v>
      </c>
      <c r="E51" s="1" t="s">
        <v>47</v>
      </c>
      <c r="F51" s="20" t="s">
        <v>241</v>
      </c>
      <c r="G51">
        <f t="shared" si="7"/>
        <v>7.5</v>
      </c>
      <c r="H51">
        <f t="shared" si="8"/>
        <v>15</v>
      </c>
      <c r="I51">
        <f t="shared" si="9"/>
        <v>15</v>
      </c>
      <c r="J51">
        <f t="shared" si="10"/>
        <v>32.61</v>
      </c>
      <c r="K51">
        <f t="shared" si="11"/>
        <v>5.8697999999999997</v>
      </c>
      <c r="L51">
        <f t="shared" si="12"/>
        <v>3.54</v>
      </c>
      <c r="M51">
        <f t="shared" si="13"/>
        <v>25</v>
      </c>
    </row>
    <row r="52" spans="1:13" ht="15" customHeight="1" x14ac:dyDescent="0.3">
      <c r="A52" s="21" t="s">
        <v>221</v>
      </c>
      <c r="B52" s="22" t="s">
        <v>243</v>
      </c>
      <c r="C52" s="23"/>
      <c r="D52" s="24" t="s">
        <v>48</v>
      </c>
      <c r="E52" s="1" t="s">
        <v>47</v>
      </c>
      <c r="F52" s="20" t="s">
        <v>241</v>
      </c>
      <c r="G52">
        <f t="shared" si="7"/>
        <v>7.5</v>
      </c>
      <c r="H52">
        <f t="shared" si="8"/>
        <v>15</v>
      </c>
      <c r="I52">
        <f t="shared" si="9"/>
        <v>15</v>
      </c>
      <c r="J52">
        <f t="shared" si="10"/>
        <v>32.61</v>
      </c>
      <c r="K52">
        <f t="shared" si="11"/>
        <v>5.8697999999999997</v>
      </c>
      <c r="L52">
        <f t="shared" si="12"/>
        <v>3.54</v>
      </c>
      <c r="M52">
        <f t="shared" si="13"/>
        <v>25</v>
      </c>
    </row>
    <row r="53" spans="1:13" ht="15" customHeight="1" x14ac:dyDescent="0.3">
      <c r="A53" s="16" t="s">
        <v>221</v>
      </c>
      <c r="B53" s="17" t="s">
        <v>242</v>
      </c>
      <c r="C53" s="18"/>
      <c r="D53" s="19" t="s">
        <v>48</v>
      </c>
      <c r="E53" s="1" t="s">
        <v>47</v>
      </c>
      <c r="F53" s="20" t="s">
        <v>241</v>
      </c>
      <c r="G53">
        <f t="shared" si="7"/>
        <v>7.5</v>
      </c>
      <c r="H53">
        <f t="shared" si="8"/>
        <v>15</v>
      </c>
      <c r="I53">
        <f t="shared" si="9"/>
        <v>15</v>
      </c>
      <c r="J53">
        <f t="shared" si="10"/>
        <v>32.61</v>
      </c>
      <c r="K53">
        <f t="shared" si="11"/>
        <v>5.8697999999999997</v>
      </c>
      <c r="L53">
        <f t="shared" si="12"/>
        <v>3.54</v>
      </c>
      <c r="M53">
        <f t="shared" si="13"/>
        <v>25</v>
      </c>
    </row>
    <row r="54" spans="1:13" ht="15" customHeight="1" x14ac:dyDescent="0.3">
      <c r="A54" s="21" t="s">
        <v>221</v>
      </c>
      <c r="B54" s="22" t="s">
        <v>244</v>
      </c>
      <c r="C54" s="23"/>
      <c r="D54" s="24" t="s">
        <v>48</v>
      </c>
      <c r="E54" s="1" t="s">
        <v>47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5" customHeight="1" x14ac:dyDescent="0.3">
      <c r="A55" s="16" t="s">
        <v>221</v>
      </c>
      <c r="B55" s="17" t="s">
        <v>389</v>
      </c>
      <c r="C55" s="18"/>
      <c r="D55" s="19" t="s">
        <v>48</v>
      </c>
      <c r="E55" s="1" t="s">
        <v>47</v>
      </c>
      <c r="F55" s="20" t="s">
        <v>390</v>
      </c>
      <c r="G55">
        <f t="shared" si="7"/>
        <v>156.25</v>
      </c>
      <c r="H55">
        <f t="shared" si="8"/>
        <v>112.5</v>
      </c>
      <c r="I55">
        <f t="shared" si="9"/>
        <v>62.5</v>
      </c>
      <c r="J55">
        <f t="shared" si="10"/>
        <v>244.57</v>
      </c>
      <c r="K55">
        <f t="shared" si="11"/>
        <v>44.022599999999997</v>
      </c>
      <c r="L55">
        <f t="shared" si="12"/>
        <v>243.97</v>
      </c>
      <c r="M55">
        <f t="shared" si="13"/>
        <v>104.17</v>
      </c>
    </row>
    <row r="56" spans="1:13" ht="15" customHeight="1" x14ac:dyDescent="0.3">
      <c r="A56" s="21" t="s">
        <v>221</v>
      </c>
      <c r="B56" s="22" t="s">
        <v>329</v>
      </c>
      <c r="C56" s="23"/>
      <c r="D56" s="24" t="s">
        <v>48</v>
      </c>
      <c r="E56" s="1" t="s">
        <v>47</v>
      </c>
      <c r="F56" s="20" t="s">
        <v>330</v>
      </c>
      <c r="G56">
        <f t="shared" si="7"/>
        <v>62.5</v>
      </c>
      <c r="H56">
        <f t="shared" si="8"/>
        <v>125</v>
      </c>
      <c r="I56">
        <f t="shared" si="9"/>
        <v>62.5</v>
      </c>
      <c r="J56">
        <f t="shared" si="10"/>
        <v>271.74</v>
      </c>
      <c r="K56">
        <f t="shared" si="11"/>
        <v>48.913200000000003</v>
      </c>
      <c r="L56">
        <f t="shared" si="12"/>
        <v>29.54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331</v>
      </c>
      <c r="C57" s="18"/>
      <c r="D57" s="19" t="s">
        <v>48</v>
      </c>
      <c r="E57" s="1" t="s">
        <v>47</v>
      </c>
      <c r="F57" s="20" t="s">
        <v>332</v>
      </c>
      <c r="G57">
        <f t="shared" si="7"/>
        <v>168.75</v>
      </c>
      <c r="H57">
        <f t="shared" si="8"/>
        <v>168.75</v>
      </c>
      <c r="I57">
        <f t="shared" si="9"/>
        <v>168.75</v>
      </c>
      <c r="J57">
        <f t="shared" si="10"/>
        <v>366.85</v>
      </c>
      <c r="K57">
        <f t="shared" si="11"/>
        <v>66.033000000000001</v>
      </c>
      <c r="L57">
        <f t="shared" si="12"/>
        <v>223.3</v>
      </c>
      <c r="M57">
        <f t="shared" si="13"/>
        <v>281.25</v>
      </c>
    </row>
    <row r="58" spans="1:13" ht="15" customHeight="1" x14ac:dyDescent="0.3">
      <c r="A58" s="21" t="s">
        <v>221</v>
      </c>
      <c r="B58" s="22" t="s">
        <v>365</v>
      </c>
      <c r="C58" s="23"/>
      <c r="D58" s="24" t="s">
        <v>48</v>
      </c>
      <c r="E58" s="1" t="s">
        <v>47</v>
      </c>
      <c r="F58" s="20" t="s">
        <v>366</v>
      </c>
      <c r="G58">
        <f t="shared" si="7"/>
        <v>93.75</v>
      </c>
      <c r="H58">
        <f t="shared" si="8"/>
        <v>93.75</v>
      </c>
      <c r="I58">
        <f t="shared" si="9"/>
        <v>93.75</v>
      </c>
      <c r="J58">
        <f t="shared" si="10"/>
        <v>203.8</v>
      </c>
      <c r="K58">
        <f t="shared" si="11"/>
        <v>36.683999999999997</v>
      </c>
      <c r="L58">
        <f t="shared" si="12"/>
        <v>124.06</v>
      </c>
      <c r="M58">
        <f t="shared" si="13"/>
        <v>156.25</v>
      </c>
    </row>
    <row r="59" spans="1:13" ht="15" customHeight="1" x14ac:dyDescent="0.3">
      <c r="A59" s="16" t="s">
        <v>221</v>
      </c>
      <c r="B59" s="17" t="s">
        <v>323</v>
      </c>
      <c r="C59" s="18"/>
      <c r="D59" s="19" t="s">
        <v>48</v>
      </c>
      <c r="E59" s="1" t="s">
        <v>47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21" t="s">
        <v>221</v>
      </c>
      <c r="B60" s="22" t="s">
        <v>391</v>
      </c>
      <c r="C60" s="23"/>
      <c r="D60" s="24" t="s">
        <v>48</v>
      </c>
      <c r="E60" s="1" t="s">
        <v>47</v>
      </c>
      <c r="F60" s="20" t="s">
        <v>249</v>
      </c>
      <c r="G60">
        <f t="shared" si="7"/>
        <v>125</v>
      </c>
      <c r="H60">
        <f t="shared" si="8"/>
        <v>62.5</v>
      </c>
      <c r="I60">
        <f t="shared" si="9"/>
        <v>62.5</v>
      </c>
      <c r="J60">
        <f t="shared" si="10"/>
        <v>135.87</v>
      </c>
      <c r="K60">
        <f t="shared" si="11"/>
        <v>24.456600000000002</v>
      </c>
      <c r="L60">
        <f t="shared" si="12"/>
        <v>218.57</v>
      </c>
      <c r="M60">
        <f t="shared" si="13"/>
        <v>104.17</v>
      </c>
    </row>
    <row r="61" spans="1:13" ht="18" customHeight="1" x14ac:dyDescent="0.3">
      <c r="A61" s="25" t="s">
        <v>252</v>
      </c>
      <c r="B61" s="25"/>
      <c r="C61" s="25"/>
      <c r="G61" t="str">
        <f t="shared" si="7"/>
        <v/>
      </c>
      <c r="H61" t="str">
        <f t="shared" si="8"/>
        <v/>
      </c>
      <c r="I61" t="str">
        <f t="shared" si="9"/>
        <v/>
      </c>
      <c r="J61" t="str">
        <f t="shared" si="10"/>
        <v/>
      </c>
      <c r="K61" t="str">
        <f t="shared" si="11"/>
        <v/>
      </c>
      <c r="L61" t="str">
        <f t="shared" si="12"/>
        <v/>
      </c>
      <c r="M61" t="str">
        <f t="shared" si="13"/>
        <v/>
      </c>
    </row>
    <row r="62" spans="1:13" ht="15" customHeight="1" x14ac:dyDescent="0.3">
      <c r="A62" s="16" t="s">
        <v>253</v>
      </c>
      <c r="B62" s="17" t="s">
        <v>323</v>
      </c>
      <c r="C62" s="18"/>
      <c r="D62" s="19" t="s">
        <v>48</v>
      </c>
      <c r="E62" s="1" t="s">
        <v>47</v>
      </c>
      <c r="F62" s="20" t="s">
        <v>324</v>
      </c>
      <c r="G62">
        <f t="shared" si="7"/>
        <v>93.75</v>
      </c>
      <c r="H62">
        <f t="shared" si="8"/>
        <v>62.5</v>
      </c>
      <c r="I62">
        <f t="shared" si="9"/>
        <v>62.5</v>
      </c>
      <c r="J62">
        <f t="shared" si="10"/>
        <v>135.87</v>
      </c>
      <c r="K62">
        <f t="shared" si="11"/>
        <v>24.456600000000002</v>
      </c>
      <c r="L62">
        <f t="shared" si="12"/>
        <v>150.63999999999999</v>
      </c>
      <c r="M62">
        <f t="shared" si="13"/>
        <v>104.17</v>
      </c>
    </row>
    <row r="63" spans="1:13" ht="15" customHeight="1" x14ac:dyDescent="0.3">
      <c r="A63" s="21" t="s">
        <v>253</v>
      </c>
      <c r="B63" s="22" t="s">
        <v>365</v>
      </c>
      <c r="C63" s="23"/>
      <c r="D63" s="24" t="s">
        <v>48</v>
      </c>
      <c r="E63" s="1" t="s">
        <v>47</v>
      </c>
      <c r="F63" s="20" t="s">
        <v>366</v>
      </c>
      <c r="G63">
        <f t="shared" si="7"/>
        <v>93.75</v>
      </c>
      <c r="H63">
        <f t="shared" si="8"/>
        <v>93.75</v>
      </c>
      <c r="I63">
        <f t="shared" si="9"/>
        <v>93.75</v>
      </c>
      <c r="J63">
        <f t="shared" si="10"/>
        <v>203.8</v>
      </c>
      <c r="K63">
        <f t="shared" si="11"/>
        <v>36.683999999999997</v>
      </c>
      <c r="L63">
        <f t="shared" si="12"/>
        <v>124.06</v>
      </c>
      <c r="M63">
        <f t="shared" si="13"/>
        <v>156.25</v>
      </c>
    </row>
    <row r="64" spans="1:13" ht="15" customHeight="1" x14ac:dyDescent="0.3">
      <c r="A64" s="16" t="s">
        <v>253</v>
      </c>
      <c r="B64" s="17" t="s">
        <v>230</v>
      </c>
      <c r="C64" s="18"/>
      <c r="D64" s="19" t="s">
        <v>48</v>
      </c>
      <c r="E64" s="1" t="s">
        <v>47</v>
      </c>
      <c r="F64" s="20" t="s">
        <v>231</v>
      </c>
      <c r="G64">
        <f t="shared" si="7"/>
        <v>125</v>
      </c>
      <c r="H64">
        <f t="shared" si="8"/>
        <v>187.5</v>
      </c>
      <c r="I64">
        <f t="shared" si="9"/>
        <v>93.75</v>
      </c>
      <c r="J64">
        <f t="shared" si="10"/>
        <v>407.61</v>
      </c>
      <c r="K64">
        <f t="shared" si="11"/>
        <v>73.369799999999998</v>
      </c>
      <c r="L64">
        <f t="shared" si="12"/>
        <v>112.24</v>
      </c>
      <c r="M64">
        <f t="shared" si="13"/>
        <v>156.25</v>
      </c>
    </row>
    <row r="65" spans="1:13" ht="15" customHeight="1" x14ac:dyDescent="0.3">
      <c r="A65" s="21" t="s">
        <v>253</v>
      </c>
      <c r="B65" s="22" t="s">
        <v>257</v>
      </c>
      <c r="C65" s="23"/>
      <c r="D65" s="24" t="s">
        <v>48</v>
      </c>
      <c r="E65" s="1" t="s">
        <v>47</v>
      </c>
      <c r="F65" s="20" t="s">
        <v>160</v>
      </c>
      <c r="G65">
        <f t="shared" si="7"/>
        <v>25</v>
      </c>
      <c r="H65">
        <f t="shared" si="8"/>
        <v>50</v>
      </c>
      <c r="I65">
        <f t="shared" si="9"/>
        <v>25</v>
      </c>
      <c r="J65">
        <f t="shared" si="10"/>
        <v>108.7</v>
      </c>
      <c r="K65">
        <f t="shared" si="11"/>
        <v>19.565999999999999</v>
      </c>
      <c r="L65">
        <f t="shared" si="12"/>
        <v>11.81</v>
      </c>
      <c r="M65">
        <f t="shared" si="13"/>
        <v>41.67</v>
      </c>
    </row>
    <row r="66" spans="1:13" ht="15" customHeight="1" x14ac:dyDescent="0.3">
      <c r="A66" s="16" t="s">
        <v>253</v>
      </c>
      <c r="B66" s="17" t="s">
        <v>255</v>
      </c>
      <c r="C66" s="18"/>
      <c r="D66" s="19" t="s">
        <v>48</v>
      </c>
      <c r="E66" s="1" t="s">
        <v>47</v>
      </c>
      <c r="F66" s="20" t="s">
        <v>256</v>
      </c>
      <c r="G66">
        <f t="shared" si="7"/>
        <v>31.25</v>
      </c>
      <c r="H66">
        <f t="shared" si="8"/>
        <v>75</v>
      </c>
      <c r="I66">
        <f t="shared" si="9"/>
        <v>22.5</v>
      </c>
      <c r="J66">
        <f t="shared" si="10"/>
        <v>163.04</v>
      </c>
      <c r="K66">
        <f t="shared" si="11"/>
        <v>29.347199999999997</v>
      </c>
      <c r="L66">
        <f t="shared" si="12"/>
        <v>4.1399999999999997</v>
      </c>
      <c r="M66">
        <f t="shared" si="13"/>
        <v>37.5</v>
      </c>
    </row>
    <row r="67" spans="1:13" ht="18" customHeight="1" x14ac:dyDescent="0.3">
      <c r="A67" s="25" t="s">
        <v>263</v>
      </c>
      <c r="B67" s="25"/>
      <c r="C67" s="25"/>
      <c r="G67" t="str">
        <f t="shared" si="7"/>
        <v/>
      </c>
      <c r="H67" t="str">
        <f t="shared" si="8"/>
        <v/>
      </c>
      <c r="I67" t="str">
        <f t="shared" si="9"/>
        <v/>
      </c>
      <c r="J67" t="str">
        <f t="shared" si="10"/>
        <v/>
      </c>
      <c r="K67" t="str">
        <f t="shared" si="11"/>
        <v/>
      </c>
      <c r="L67" t="str">
        <f t="shared" si="12"/>
        <v/>
      </c>
      <c r="M67" t="str">
        <f t="shared" si="13"/>
        <v/>
      </c>
    </row>
    <row r="68" spans="1:13" ht="15" customHeight="1" x14ac:dyDescent="0.3">
      <c r="A68" s="21" t="s">
        <v>264</v>
      </c>
      <c r="B68" s="22" t="s">
        <v>392</v>
      </c>
      <c r="C68" s="23"/>
      <c r="D68" s="24" t="s">
        <v>48</v>
      </c>
      <c r="E68" s="1" t="s">
        <v>47</v>
      </c>
      <c r="F68" s="20" t="s">
        <v>207</v>
      </c>
      <c r="G68">
        <f t="shared" si="7"/>
        <v>700</v>
      </c>
      <c r="H68">
        <f t="shared" si="8"/>
        <v>400</v>
      </c>
      <c r="I68">
        <f t="shared" si="9"/>
        <v>1500</v>
      </c>
      <c r="J68">
        <f t="shared" si="10"/>
        <v>869.57</v>
      </c>
      <c r="K68">
        <f t="shared" si="11"/>
        <v>156.52260000000001</v>
      </c>
      <c r="L68">
        <f t="shared" si="12"/>
        <v>1181.47</v>
      </c>
      <c r="M68">
        <f t="shared" si="13"/>
        <v>2500</v>
      </c>
    </row>
    <row r="69" spans="1:13" ht="18" customHeight="1" x14ac:dyDescent="0.3">
      <c r="A69" s="25" t="s">
        <v>269</v>
      </c>
      <c r="B69" s="25"/>
      <c r="C69" s="25"/>
      <c r="G69" t="str">
        <f t="shared" si="7"/>
        <v/>
      </c>
      <c r="H69" t="str">
        <f t="shared" si="8"/>
        <v/>
      </c>
      <c r="I69" t="str">
        <f t="shared" si="9"/>
        <v/>
      </c>
      <c r="J69" t="str">
        <f t="shared" si="10"/>
        <v/>
      </c>
      <c r="K69" t="str">
        <f t="shared" si="11"/>
        <v/>
      </c>
      <c r="L69" t="str">
        <f t="shared" si="12"/>
        <v/>
      </c>
      <c r="M69" t="str">
        <f t="shared" si="13"/>
        <v/>
      </c>
    </row>
    <row r="70" spans="1:13" ht="15" customHeight="1" x14ac:dyDescent="0.3">
      <c r="A70" s="16" t="s">
        <v>270</v>
      </c>
      <c r="B70" s="17" t="s">
        <v>271</v>
      </c>
      <c r="C70" s="18"/>
      <c r="D70" s="19" t="s">
        <v>48</v>
      </c>
      <c r="E70" s="1" t="s">
        <v>47</v>
      </c>
      <c r="F70" s="20" t="s">
        <v>241</v>
      </c>
      <c r="G70">
        <f t="shared" si="7"/>
        <v>7.5</v>
      </c>
      <c r="H70">
        <f t="shared" si="8"/>
        <v>15</v>
      </c>
      <c r="I70">
        <f t="shared" si="9"/>
        <v>15</v>
      </c>
      <c r="J70">
        <f t="shared" si="10"/>
        <v>32.61</v>
      </c>
      <c r="K70">
        <f t="shared" si="11"/>
        <v>5.8697999999999997</v>
      </c>
      <c r="L70">
        <f t="shared" si="12"/>
        <v>3.54</v>
      </c>
      <c r="M70">
        <f t="shared" si="13"/>
        <v>25</v>
      </c>
    </row>
    <row r="71" spans="1:13" ht="15" customHeight="1" x14ac:dyDescent="0.3">
      <c r="A71" s="21" t="s">
        <v>270</v>
      </c>
      <c r="B71" s="22" t="s">
        <v>272</v>
      </c>
      <c r="C71" s="23"/>
      <c r="D71" s="24" t="s">
        <v>48</v>
      </c>
      <c r="E71" s="1" t="s">
        <v>47</v>
      </c>
      <c r="F71" s="20" t="s">
        <v>273</v>
      </c>
      <c r="G71">
        <f t="shared" si="7"/>
        <v>112.5</v>
      </c>
      <c r="H71">
        <f t="shared" si="8"/>
        <v>112.5</v>
      </c>
      <c r="I71">
        <f t="shared" si="9"/>
        <v>93.75</v>
      </c>
      <c r="J71">
        <f t="shared" si="10"/>
        <v>244.57</v>
      </c>
      <c r="K71">
        <f t="shared" si="11"/>
        <v>44.022599999999997</v>
      </c>
      <c r="L71">
        <f t="shared" si="12"/>
        <v>148.86000000000001</v>
      </c>
      <c r="M71">
        <f t="shared" si="13"/>
        <v>156.25</v>
      </c>
    </row>
    <row r="72" spans="1:13" ht="15" customHeight="1" x14ac:dyDescent="0.3">
      <c r="A72" s="16" t="s">
        <v>270</v>
      </c>
      <c r="B72" s="17" t="s">
        <v>278</v>
      </c>
      <c r="C72" s="18"/>
      <c r="D72" s="19" t="s">
        <v>48</v>
      </c>
      <c r="E72" s="1" t="s">
        <v>47</v>
      </c>
      <c r="F72" s="20" t="s">
        <v>279</v>
      </c>
      <c r="G72">
        <f t="shared" si="7"/>
        <v>250</v>
      </c>
      <c r="H72">
        <f t="shared" si="8"/>
        <v>250</v>
      </c>
      <c r="I72">
        <f t="shared" si="9"/>
        <v>250</v>
      </c>
      <c r="J72">
        <f t="shared" si="10"/>
        <v>543.48</v>
      </c>
      <c r="K72">
        <f t="shared" si="11"/>
        <v>97.826400000000007</v>
      </c>
      <c r="L72">
        <f t="shared" si="12"/>
        <v>330.81</v>
      </c>
      <c r="M72">
        <f t="shared" si="13"/>
        <v>416.67</v>
      </c>
    </row>
  </sheetData>
  <mergeCells count="13">
    <mergeCell ref="A1:C1"/>
    <mergeCell ref="A2:C2"/>
    <mergeCell ref="A3:C3"/>
    <mergeCell ref="A4:C4"/>
    <mergeCell ref="A7:C7"/>
    <mergeCell ref="A61:C61"/>
    <mergeCell ref="A67:C67"/>
    <mergeCell ref="A69:C69"/>
    <mergeCell ref="A14:C14"/>
    <mergeCell ref="A22:C22"/>
    <mergeCell ref="A28:C28"/>
    <mergeCell ref="A33:C33"/>
    <mergeCell ref="A42:C4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CAF50"/>
  </sheetPr>
  <dimension ref="A1:M7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393</v>
      </c>
      <c r="B1" s="26"/>
      <c r="C1" s="26"/>
    </row>
    <row r="2" spans="1:13" ht="19.5" customHeight="1" x14ac:dyDescent="0.3">
      <c r="A2" s="27" t="s">
        <v>394</v>
      </c>
      <c r="B2" s="27"/>
      <c r="C2" s="27"/>
    </row>
    <row r="3" spans="1:13" ht="19.5" customHeight="1" x14ac:dyDescent="0.3">
      <c r="A3" s="27" t="s">
        <v>395</v>
      </c>
      <c r="B3" s="27"/>
      <c r="C3" s="27"/>
    </row>
    <row r="4" spans="1:13" ht="19.5" customHeight="1" x14ac:dyDescent="0.3">
      <c r="A4" s="27" t="s">
        <v>396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397</v>
      </c>
      <c r="C8" s="18"/>
      <c r="D8" s="19" t="s">
        <v>82</v>
      </c>
      <c r="E8" s="1" t="s">
        <v>53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82</v>
      </c>
      <c r="E9" s="1" t="s">
        <v>53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372</v>
      </c>
      <c r="C10" s="18"/>
      <c r="D10" s="19" t="s">
        <v>82</v>
      </c>
      <c r="E10" s="1" t="s">
        <v>53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398</v>
      </c>
      <c r="C11" s="23"/>
      <c r="D11" s="24" t="s">
        <v>82</v>
      </c>
      <c r="E11" s="1" t="s">
        <v>53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5" customHeight="1" x14ac:dyDescent="0.3">
      <c r="A12" s="16" t="s">
        <v>141</v>
      </c>
      <c r="B12" s="17" t="s">
        <v>399</v>
      </c>
      <c r="C12" s="18"/>
      <c r="D12" s="19" t="s">
        <v>82</v>
      </c>
      <c r="E12" s="1" t="s">
        <v>53</v>
      </c>
      <c r="F12" s="20" t="s">
        <v>153</v>
      </c>
      <c r="G12">
        <f t="shared" si="0"/>
        <v>25</v>
      </c>
      <c r="H12">
        <f t="shared" si="1"/>
        <v>25</v>
      </c>
      <c r="I12">
        <f t="shared" si="2"/>
        <v>12.5</v>
      </c>
      <c r="J12">
        <f t="shared" si="3"/>
        <v>54.35</v>
      </c>
      <c r="K12">
        <f t="shared" si="4"/>
        <v>9.7829999999999995</v>
      </c>
      <c r="L12">
        <f t="shared" si="5"/>
        <v>33.08</v>
      </c>
      <c r="M12">
        <f t="shared" si="6"/>
        <v>20.83</v>
      </c>
    </row>
    <row r="13" spans="1:13" ht="15" customHeight="1" x14ac:dyDescent="0.3">
      <c r="A13" s="21" t="s">
        <v>141</v>
      </c>
      <c r="B13" s="22" t="s">
        <v>376</v>
      </c>
      <c r="C13" s="23"/>
      <c r="D13" s="24" t="s">
        <v>82</v>
      </c>
      <c r="E13" s="1" t="s">
        <v>53</v>
      </c>
      <c r="F13" s="20" t="s">
        <v>147</v>
      </c>
      <c r="G13">
        <f t="shared" si="0"/>
        <v>100</v>
      </c>
      <c r="H13">
        <f t="shared" si="1"/>
        <v>50</v>
      </c>
      <c r="I13">
        <f t="shared" si="2"/>
        <v>50</v>
      </c>
      <c r="J13">
        <f t="shared" si="3"/>
        <v>108.7</v>
      </c>
      <c r="K13">
        <f t="shared" si="4"/>
        <v>19.565999999999999</v>
      </c>
      <c r="L13">
        <f t="shared" si="5"/>
        <v>174.86</v>
      </c>
      <c r="M13">
        <f t="shared" si="6"/>
        <v>83.33</v>
      </c>
    </row>
    <row r="14" spans="1:13" ht="15" customHeight="1" x14ac:dyDescent="0.3">
      <c r="A14" s="16" t="s">
        <v>141</v>
      </c>
      <c r="B14" s="17" t="s">
        <v>375</v>
      </c>
      <c r="C14" s="18"/>
      <c r="D14" s="19" t="s">
        <v>82</v>
      </c>
      <c r="E14" s="1" t="s">
        <v>53</v>
      </c>
      <c r="F14" s="20" t="s">
        <v>149</v>
      </c>
      <c r="G14">
        <f t="shared" si="0"/>
        <v>50</v>
      </c>
      <c r="H14">
        <f t="shared" si="1"/>
        <v>25</v>
      </c>
      <c r="I14">
        <f t="shared" si="2"/>
        <v>25</v>
      </c>
      <c r="J14">
        <f t="shared" si="3"/>
        <v>54.35</v>
      </c>
      <c r="K14">
        <f t="shared" si="4"/>
        <v>9.7829999999999995</v>
      </c>
      <c r="L14">
        <f t="shared" si="5"/>
        <v>87.43</v>
      </c>
      <c r="M14">
        <f t="shared" si="6"/>
        <v>41.67</v>
      </c>
    </row>
    <row r="15" spans="1:13" ht="15" customHeight="1" x14ac:dyDescent="0.3">
      <c r="A15" s="21" t="s">
        <v>141</v>
      </c>
      <c r="B15" s="22" t="s">
        <v>400</v>
      </c>
      <c r="C15" s="23"/>
      <c r="D15" s="24" t="s">
        <v>82</v>
      </c>
      <c r="E15" s="1" t="s">
        <v>53</v>
      </c>
      <c r="F15" s="20" t="s">
        <v>149</v>
      </c>
      <c r="G15">
        <f t="shared" si="0"/>
        <v>50</v>
      </c>
      <c r="H15">
        <f t="shared" si="1"/>
        <v>25</v>
      </c>
      <c r="I15">
        <f t="shared" si="2"/>
        <v>25</v>
      </c>
      <c r="J15">
        <f t="shared" si="3"/>
        <v>54.35</v>
      </c>
      <c r="K15">
        <f t="shared" si="4"/>
        <v>9.7829999999999995</v>
      </c>
      <c r="L15">
        <f t="shared" si="5"/>
        <v>87.43</v>
      </c>
      <c r="M15">
        <f t="shared" si="6"/>
        <v>41.67</v>
      </c>
    </row>
    <row r="16" spans="1:13" ht="15" customHeight="1" x14ac:dyDescent="0.3">
      <c r="A16" s="16" t="s">
        <v>141</v>
      </c>
      <c r="B16" s="17" t="s">
        <v>401</v>
      </c>
      <c r="C16" s="18"/>
      <c r="D16" s="19" t="s">
        <v>82</v>
      </c>
      <c r="E16" s="1" t="s">
        <v>53</v>
      </c>
      <c r="F16" s="20" t="s">
        <v>149</v>
      </c>
      <c r="G16">
        <f t="shared" si="0"/>
        <v>50</v>
      </c>
      <c r="H16">
        <f t="shared" si="1"/>
        <v>25</v>
      </c>
      <c r="I16">
        <f t="shared" si="2"/>
        <v>25</v>
      </c>
      <c r="J16">
        <f t="shared" si="3"/>
        <v>54.35</v>
      </c>
      <c r="K16">
        <f t="shared" si="4"/>
        <v>9.7829999999999995</v>
      </c>
      <c r="L16">
        <f t="shared" si="5"/>
        <v>87.43</v>
      </c>
      <c r="M16">
        <f t="shared" si="6"/>
        <v>41.67</v>
      </c>
    </row>
    <row r="17" spans="1:13" ht="18" customHeight="1" x14ac:dyDescent="0.3">
      <c r="A17" s="25" t="s">
        <v>155</v>
      </c>
      <c r="B17" s="25"/>
      <c r="C17" s="25"/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 t="shared" si="4"/>
        <v/>
      </c>
      <c r="L17" t="str">
        <f t="shared" si="5"/>
        <v/>
      </c>
      <c r="M17" t="str">
        <f t="shared" si="6"/>
        <v/>
      </c>
    </row>
    <row r="18" spans="1:13" ht="15" customHeight="1" x14ac:dyDescent="0.3">
      <c r="A18" s="21" t="s">
        <v>156</v>
      </c>
      <c r="B18" s="22" t="s">
        <v>377</v>
      </c>
      <c r="C18" s="23"/>
      <c r="D18" s="24" t="s">
        <v>82</v>
      </c>
      <c r="E18" s="1" t="s">
        <v>53</v>
      </c>
      <c r="F18" s="20" t="s">
        <v>158</v>
      </c>
      <c r="G18">
        <f t="shared" si="0"/>
        <v>31.25</v>
      </c>
      <c r="H18">
        <f t="shared" si="1"/>
        <v>62.5</v>
      </c>
      <c r="I18">
        <f t="shared" si="2"/>
        <v>37.5</v>
      </c>
      <c r="J18">
        <f t="shared" si="3"/>
        <v>135.87</v>
      </c>
      <c r="K18">
        <f t="shared" si="4"/>
        <v>24.456600000000002</v>
      </c>
      <c r="L18">
        <f t="shared" si="5"/>
        <v>14.77</v>
      </c>
      <c r="M18">
        <f t="shared" si="6"/>
        <v>62.5</v>
      </c>
    </row>
    <row r="19" spans="1:13" ht="15" customHeight="1" x14ac:dyDescent="0.3">
      <c r="A19" s="16" t="s">
        <v>156</v>
      </c>
      <c r="B19" s="17" t="s">
        <v>378</v>
      </c>
      <c r="C19" s="18"/>
      <c r="D19" s="19" t="s">
        <v>82</v>
      </c>
      <c r="E19" s="1" t="s">
        <v>53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379</v>
      </c>
      <c r="C20" s="23"/>
      <c r="D20" s="24" t="s">
        <v>82</v>
      </c>
      <c r="E20" s="1" t="s">
        <v>53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380</v>
      </c>
      <c r="C21" s="18"/>
      <c r="D21" s="19" t="s">
        <v>82</v>
      </c>
      <c r="E21" s="1" t="s">
        <v>53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165</v>
      </c>
      <c r="C22" s="23"/>
      <c r="D22" s="24" t="s">
        <v>82</v>
      </c>
      <c r="E22" s="1" t="s">
        <v>53</v>
      </c>
      <c r="F22" s="20" t="s">
        <v>160</v>
      </c>
      <c r="G22">
        <f t="shared" si="0"/>
        <v>25</v>
      </c>
      <c r="H22">
        <f t="shared" si="1"/>
        <v>50</v>
      </c>
      <c r="I22">
        <f t="shared" si="2"/>
        <v>25</v>
      </c>
      <c r="J22">
        <f t="shared" si="3"/>
        <v>108.7</v>
      </c>
      <c r="K22">
        <f t="shared" si="4"/>
        <v>19.565999999999999</v>
      </c>
      <c r="L22">
        <f t="shared" si="5"/>
        <v>11.81</v>
      </c>
      <c r="M22">
        <f t="shared" si="6"/>
        <v>41.67</v>
      </c>
    </row>
    <row r="23" spans="1:13" ht="15" customHeight="1" x14ac:dyDescent="0.3">
      <c r="A23" s="16" t="s">
        <v>156</v>
      </c>
      <c r="B23" s="17" t="s">
        <v>163</v>
      </c>
      <c r="C23" s="18"/>
      <c r="D23" s="19" t="s">
        <v>82</v>
      </c>
      <c r="E23" s="1" t="s">
        <v>53</v>
      </c>
      <c r="F23" s="20" t="s">
        <v>164</v>
      </c>
      <c r="G23">
        <f t="shared" si="0"/>
        <v>12.5</v>
      </c>
      <c r="H23">
        <f t="shared" si="1"/>
        <v>25</v>
      </c>
      <c r="I23">
        <f t="shared" si="2"/>
        <v>12.5</v>
      </c>
      <c r="J23">
        <f t="shared" si="3"/>
        <v>54.35</v>
      </c>
      <c r="K23">
        <f t="shared" si="4"/>
        <v>9.7829999999999995</v>
      </c>
      <c r="L23">
        <f t="shared" si="5"/>
        <v>5.91</v>
      </c>
      <c r="M23">
        <f t="shared" si="6"/>
        <v>20.83</v>
      </c>
    </row>
    <row r="24" spans="1:13" ht="15" customHeight="1" x14ac:dyDescent="0.3">
      <c r="A24" s="21" t="s">
        <v>156</v>
      </c>
      <c r="B24" s="22" t="s">
        <v>402</v>
      </c>
      <c r="C24" s="23"/>
      <c r="D24" s="24" t="s">
        <v>82</v>
      </c>
      <c r="E24" s="1" t="s">
        <v>53</v>
      </c>
      <c r="F24" s="20" t="s">
        <v>164</v>
      </c>
      <c r="G24">
        <f t="shared" si="0"/>
        <v>12.5</v>
      </c>
      <c r="H24">
        <f t="shared" si="1"/>
        <v>25</v>
      </c>
      <c r="I24">
        <f t="shared" si="2"/>
        <v>12.5</v>
      </c>
      <c r="J24">
        <f t="shared" si="3"/>
        <v>54.35</v>
      </c>
      <c r="K24">
        <f t="shared" si="4"/>
        <v>9.7829999999999995</v>
      </c>
      <c r="L24">
        <f t="shared" si="5"/>
        <v>5.91</v>
      </c>
      <c r="M24">
        <f t="shared" si="6"/>
        <v>20.83</v>
      </c>
    </row>
    <row r="25" spans="1:13" ht="18" customHeight="1" x14ac:dyDescent="0.3">
      <c r="A25" s="25" t="s">
        <v>167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16" t="s">
        <v>168</v>
      </c>
      <c r="B26" s="17" t="s">
        <v>176</v>
      </c>
      <c r="C26" s="18"/>
      <c r="D26" s="19" t="s">
        <v>82</v>
      </c>
      <c r="E26" s="1" t="s">
        <v>53</v>
      </c>
      <c r="F26" s="20" t="s">
        <v>177</v>
      </c>
      <c r="G26">
        <f t="shared" si="0"/>
        <v>25</v>
      </c>
      <c r="H26">
        <f t="shared" si="1"/>
        <v>75</v>
      </c>
      <c r="I26">
        <f t="shared" si="2"/>
        <v>50</v>
      </c>
      <c r="J26">
        <f t="shared" si="3"/>
        <v>163.04</v>
      </c>
      <c r="K26">
        <f t="shared" si="4"/>
        <v>29.347199999999997</v>
      </c>
      <c r="L26">
        <f t="shared" si="5"/>
        <v>-9.4499999999999993</v>
      </c>
      <c r="M26">
        <f t="shared" si="6"/>
        <v>83.33</v>
      </c>
    </row>
    <row r="27" spans="1:13" ht="15" customHeight="1" x14ac:dyDescent="0.3">
      <c r="A27" s="21" t="s">
        <v>168</v>
      </c>
      <c r="B27" s="22" t="s">
        <v>169</v>
      </c>
      <c r="C27" s="23"/>
      <c r="D27" s="24" t="s">
        <v>82</v>
      </c>
      <c r="E27" s="1" t="s">
        <v>53</v>
      </c>
      <c r="F27" s="20" t="s">
        <v>170</v>
      </c>
      <c r="G27">
        <f t="shared" si="0"/>
        <v>25</v>
      </c>
      <c r="H27">
        <f t="shared" si="1"/>
        <v>50</v>
      </c>
      <c r="I27">
        <f t="shared" si="2"/>
        <v>50</v>
      </c>
      <c r="J27">
        <f t="shared" si="3"/>
        <v>108.7</v>
      </c>
      <c r="K27">
        <f t="shared" si="4"/>
        <v>19.565999999999999</v>
      </c>
      <c r="L27">
        <f t="shared" si="5"/>
        <v>11.81</v>
      </c>
      <c r="M27">
        <f t="shared" si="6"/>
        <v>83.33</v>
      </c>
    </row>
    <row r="28" spans="1:13" ht="15" customHeight="1" x14ac:dyDescent="0.3">
      <c r="A28" s="16" t="s">
        <v>168</v>
      </c>
      <c r="B28" s="17" t="s">
        <v>175</v>
      </c>
      <c r="C28" s="18"/>
      <c r="D28" s="19" t="s">
        <v>82</v>
      </c>
      <c r="E28" s="1" t="s">
        <v>53</v>
      </c>
      <c r="F28" s="20" t="s">
        <v>147</v>
      </c>
      <c r="G28">
        <f t="shared" si="0"/>
        <v>100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174.86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294</v>
      </c>
      <c r="C29" s="23"/>
      <c r="D29" s="24" t="s">
        <v>82</v>
      </c>
      <c r="E29" s="1" t="s">
        <v>53</v>
      </c>
      <c r="F29" s="20" t="s">
        <v>149</v>
      </c>
      <c r="G29">
        <f t="shared" si="0"/>
        <v>50</v>
      </c>
      <c r="H29">
        <f t="shared" si="1"/>
        <v>25</v>
      </c>
      <c r="I29">
        <f t="shared" si="2"/>
        <v>25</v>
      </c>
      <c r="J29">
        <f t="shared" si="3"/>
        <v>54.35</v>
      </c>
      <c r="K29">
        <f t="shared" si="4"/>
        <v>9.7829999999999995</v>
      </c>
      <c r="L29">
        <f t="shared" si="5"/>
        <v>87.43</v>
      </c>
      <c r="M29">
        <f t="shared" si="6"/>
        <v>41.67</v>
      </c>
    </row>
    <row r="30" spans="1:13" ht="15" customHeight="1" x14ac:dyDescent="0.3">
      <c r="A30" s="16" t="s">
        <v>168</v>
      </c>
      <c r="B30" s="17" t="s">
        <v>295</v>
      </c>
      <c r="C30" s="18"/>
      <c r="D30" s="19" t="s">
        <v>82</v>
      </c>
      <c r="E30" s="1" t="s">
        <v>53</v>
      </c>
      <c r="F30" s="20" t="s">
        <v>149</v>
      </c>
      <c r="G30">
        <f t="shared" si="0"/>
        <v>50</v>
      </c>
      <c r="H30">
        <f t="shared" si="1"/>
        <v>25</v>
      </c>
      <c r="I30">
        <f t="shared" si="2"/>
        <v>25</v>
      </c>
      <c r="J30">
        <f t="shared" si="3"/>
        <v>54.35</v>
      </c>
      <c r="K30">
        <f t="shared" si="4"/>
        <v>9.7829999999999995</v>
      </c>
      <c r="L30">
        <f t="shared" si="5"/>
        <v>87.43</v>
      </c>
      <c r="M30">
        <f t="shared" si="6"/>
        <v>41.67</v>
      </c>
    </row>
    <row r="31" spans="1:13" ht="15" customHeight="1" x14ac:dyDescent="0.3">
      <c r="A31" s="21" t="s">
        <v>168</v>
      </c>
      <c r="B31" s="22" t="s">
        <v>171</v>
      </c>
      <c r="C31" s="23"/>
      <c r="D31" s="24" t="s">
        <v>82</v>
      </c>
      <c r="E31" s="1" t="s">
        <v>53</v>
      </c>
      <c r="F31" s="20" t="s">
        <v>147</v>
      </c>
      <c r="G31">
        <f t="shared" si="0"/>
        <v>100</v>
      </c>
      <c r="H31">
        <f t="shared" si="1"/>
        <v>50</v>
      </c>
      <c r="I31">
        <f t="shared" si="2"/>
        <v>50</v>
      </c>
      <c r="J31">
        <f t="shared" si="3"/>
        <v>108.7</v>
      </c>
      <c r="K31">
        <f t="shared" si="4"/>
        <v>19.565999999999999</v>
      </c>
      <c r="L31">
        <f t="shared" si="5"/>
        <v>174.86</v>
      </c>
      <c r="M31">
        <f t="shared" si="6"/>
        <v>83.33</v>
      </c>
    </row>
    <row r="32" spans="1:13" ht="15" customHeight="1" x14ac:dyDescent="0.3">
      <c r="A32" s="16" t="s">
        <v>168</v>
      </c>
      <c r="B32" s="17" t="s">
        <v>172</v>
      </c>
      <c r="C32" s="18"/>
      <c r="D32" s="19" t="s">
        <v>82</v>
      </c>
      <c r="E32" s="1" t="s">
        <v>53</v>
      </c>
      <c r="F32" s="20" t="s">
        <v>173</v>
      </c>
      <c r="G32">
        <f t="shared" si="0"/>
        <v>75</v>
      </c>
      <c r="H32">
        <f t="shared" si="1"/>
        <v>112.5</v>
      </c>
      <c r="I32">
        <f t="shared" si="2"/>
        <v>75</v>
      </c>
      <c r="J32">
        <f t="shared" si="3"/>
        <v>244.57</v>
      </c>
      <c r="K32">
        <f t="shared" si="4"/>
        <v>44.022599999999997</v>
      </c>
      <c r="L32">
        <f t="shared" si="5"/>
        <v>67.34</v>
      </c>
      <c r="M32">
        <f t="shared" si="6"/>
        <v>125</v>
      </c>
    </row>
    <row r="33" spans="1:13" ht="18" customHeight="1" x14ac:dyDescent="0.3">
      <c r="A33" s="25" t="s">
        <v>180</v>
      </c>
      <c r="B33" s="25"/>
      <c r="C33" s="25"/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  <c r="L33" t="str">
        <f t="shared" si="5"/>
        <v/>
      </c>
      <c r="M33" t="str">
        <f t="shared" si="6"/>
        <v/>
      </c>
    </row>
    <row r="34" spans="1:13" ht="15" customHeight="1" x14ac:dyDescent="0.3">
      <c r="A34" s="21" t="s">
        <v>181</v>
      </c>
      <c r="B34" s="22" t="s">
        <v>182</v>
      </c>
      <c r="C34" s="23"/>
      <c r="D34" s="24" t="s">
        <v>82</v>
      </c>
      <c r="E34" s="1" t="s">
        <v>53</v>
      </c>
      <c r="F34" s="20" t="s">
        <v>183</v>
      </c>
      <c r="G34">
        <f t="shared" si="0"/>
        <v>350</v>
      </c>
      <c r="H34">
        <f t="shared" si="1"/>
        <v>112.5</v>
      </c>
      <c r="I34">
        <f t="shared" si="2"/>
        <v>112.5</v>
      </c>
      <c r="J34">
        <f t="shared" si="3"/>
        <v>244.57</v>
      </c>
      <c r="K34">
        <f t="shared" si="4"/>
        <v>44.022599999999997</v>
      </c>
      <c r="L34">
        <f t="shared" si="5"/>
        <v>665.17</v>
      </c>
      <c r="M34">
        <f t="shared" si="6"/>
        <v>187.5</v>
      </c>
    </row>
    <row r="35" spans="1:13" ht="15" customHeight="1" x14ac:dyDescent="0.3">
      <c r="A35" s="16" t="s">
        <v>181</v>
      </c>
      <c r="B35" s="17" t="s">
        <v>403</v>
      </c>
      <c r="C35" s="18"/>
      <c r="D35" s="19" t="s">
        <v>82</v>
      </c>
      <c r="E35" s="1" t="s">
        <v>53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8" customHeight="1" x14ac:dyDescent="0.3">
      <c r="A36" s="25" t="s">
        <v>187</v>
      </c>
      <c r="B36" s="25"/>
      <c r="C36" s="25"/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5"/>
        <v/>
      </c>
      <c r="M36" t="str">
        <f t="shared" si="6"/>
        <v/>
      </c>
    </row>
    <row r="37" spans="1:13" ht="15" customHeight="1" x14ac:dyDescent="0.3">
      <c r="A37" s="21" t="s">
        <v>188</v>
      </c>
      <c r="B37" s="22" t="s">
        <v>312</v>
      </c>
      <c r="C37" s="23"/>
      <c r="D37" s="24" t="s">
        <v>82</v>
      </c>
      <c r="E37" s="1" t="s">
        <v>53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191</v>
      </c>
      <c r="C38" s="18"/>
      <c r="D38" s="19" t="s">
        <v>82</v>
      </c>
      <c r="E38" s="1" t="s">
        <v>53</v>
      </c>
      <c r="F38" s="20" t="s">
        <v>192</v>
      </c>
      <c r="G38">
        <f t="shared" si="0"/>
        <v>137.5</v>
      </c>
      <c r="H38">
        <f t="shared" si="1"/>
        <v>43.75</v>
      </c>
      <c r="I38">
        <f t="shared" si="2"/>
        <v>412.5</v>
      </c>
      <c r="J38">
        <f t="shared" si="3"/>
        <v>95.11</v>
      </c>
      <c r="K38">
        <f t="shared" si="4"/>
        <v>17.119799999999998</v>
      </c>
      <c r="L38">
        <f t="shared" si="5"/>
        <v>261.7</v>
      </c>
      <c r="M38">
        <f t="shared" si="6"/>
        <v>687.5</v>
      </c>
    </row>
    <row r="39" spans="1:13" ht="15" customHeight="1" x14ac:dyDescent="0.3">
      <c r="A39" s="21" t="s">
        <v>188</v>
      </c>
      <c r="B39" s="22" t="s">
        <v>195</v>
      </c>
      <c r="C39" s="23"/>
      <c r="D39" s="24" t="s">
        <v>82</v>
      </c>
      <c r="E39" s="1" t="s">
        <v>53</v>
      </c>
      <c r="F39" s="20" t="s">
        <v>194</v>
      </c>
      <c r="G39">
        <f t="shared" ref="G39:G73" si="7">IF($F39="","",IFERROR(VALUE(TRIM(LEFT($F39,FIND(":",$F39)-1)))*1.25,"N/A"))</f>
        <v>125</v>
      </c>
      <c r="H39">
        <f t="shared" ref="H39:H73" si="8">IF($F39="","",IFERROR(VALUE(TRIM(MID($F39,FIND(":",$F39)+1,FIND(":",$F39,FIND(":",$F39)+1)-FIND(":",$F39)-1)))*1.25,"N/A"))</f>
        <v>125</v>
      </c>
      <c r="I39">
        <f t="shared" ref="I39:I73" si="9">IF($F39="","",IFERROR(VALUE(TRIM(LEFT(MID($F39,FIND(":",$F39,FIND(":",$F39)+1)+1,LEN($F39)),FIND(" ",MID($F39,FIND(":",$F39,FIND(":",$F39)+1)+1,LEN($F39))&amp;" ")-1)))*1.25,"N/A"))</f>
        <v>125</v>
      </c>
      <c r="J39">
        <f t="shared" ref="J39:J73" si="10">IF(OR($F39="",$H39="N/A"),IF($F39="","","N/A"),ROUND($H39/0.46,2))</f>
        <v>271.74</v>
      </c>
      <c r="K39">
        <f t="shared" ref="K39:K73" si="11">IF(OR($F39="",$J39="N/A"),IF($F39="","","N/A"),$J39*0.18)</f>
        <v>48.913200000000003</v>
      </c>
      <c r="L39">
        <f t="shared" ref="L39:L73" si="12">IF(OR($F39="",$G39="N/A",$K39="N/A"),IF($F39="","","N/A"),ROUND(($G39-$K39)/0.46,2))</f>
        <v>165.41</v>
      </c>
      <c r="M39">
        <f t="shared" ref="M39:M73" si="13">IF(OR($F39="",$I39="N/A"),IF($F39="","","N/A"),ROUND($I39/0.6,2))</f>
        <v>208.33</v>
      </c>
    </row>
    <row r="40" spans="1:13" ht="15" customHeight="1" x14ac:dyDescent="0.3">
      <c r="A40" s="16" t="s">
        <v>188</v>
      </c>
      <c r="B40" s="17" t="s">
        <v>193</v>
      </c>
      <c r="C40" s="18"/>
      <c r="D40" s="19" t="s">
        <v>82</v>
      </c>
      <c r="E40" s="1" t="s">
        <v>53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214</v>
      </c>
      <c r="C41" s="23"/>
      <c r="D41" s="24" t="s">
        <v>82</v>
      </c>
      <c r="E41" s="1" t="s">
        <v>53</v>
      </c>
      <c r="F41" s="20" t="s">
        <v>215</v>
      </c>
      <c r="G41">
        <f t="shared" si="7"/>
        <v>93.75</v>
      </c>
      <c r="H41">
        <f t="shared" si="8"/>
        <v>50</v>
      </c>
      <c r="I41">
        <f t="shared" si="9"/>
        <v>62.5</v>
      </c>
      <c r="J41">
        <f t="shared" si="10"/>
        <v>108.7</v>
      </c>
      <c r="K41">
        <f t="shared" si="11"/>
        <v>19.565999999999999</v>
      </c>
      <c r="L41">
        <f t="shared" si="12"/>
        <v>161.27000000000001</v>
      </c>
      <c r="M41">
        <f t="shared" si="13"/>
        <v>104.17</v>
      </c>
    </row>
    <row r="42" spans="1:13" ht="15" customHeight="1" x14ac:dyDescent="0.3">
      <c r="A42" s="16" t="s">
        <v>188</v>
      </c>
      <c r="B42" s="17" t="s">
        <v>386</v>
      </c>
      <c r="C42" s="18"/>
      <c r="D42" s="19" t="s">
        <v>82</v>
      </c>
      <c r="E42" s="1" t="s">
        <v>53</v>
      </c>
      <c r="F42" s="20" t="s">
        <v>211</v>
      </c>
      <c r="G42">
        <f t="shared" si="7"/>
        <v>93.75</v>
      </c>
      <c r="H42">
        <f t="shared" si="8"/>
        <v>75</v>
      </c>
      <c r="I42">
        <f t="shared" si="9"/>
        <v>62.5</v>
      </c>
      <c r="J42">
        <f t="shared" si="10"/>
        <v>163.04</v>
      </c>
      <c r="K42">
        <f t="shared" si="11"/>
        <v>29.347199999999997</v>
      </c>
      <c r="L42">
        <f t="shared" si="12"/>
        <v>140.01</v>
      </c>
      <c r="M42">
        <f t="shared" si="13"/>
        <v>104.17</v>
      </c>
    </row>
    <row r="43" spans="1:13" ht="15" customHeight="1" x14ac:dyDescent="0.3">
      <c r="A43" s="21" t="s">
        <v>188</v>
      </c>
      <c r="B43" s="22" t="s">
        <v>404</v>
      </c>
      <c r="C43" s="23"/>
      <c r="D43" s="24" t="s">
        <v>82</v>
      </c>
      <c r="E43" s="1" t="s">
        <v>53</v>
      </c>
      <c r="F43" s="20" t="s">
        <v>388</v>
      </c>
      <c r="G43">
        <f t="shared" si="7"/>
        <v>625</v>
      </c>
      <c r="H43">
        <f t="shared" si="8"/>
        <v>250</v>
      </c>
      <c r="I43">
        <f t="shared" si="9"/>
        <v>625</v>
      </c>
      <c r="J43">
        <f t="shared" si="10"/>
        <v>543.48</v>
      </c>
      <c r="K43">
        <f t="shared" si="11"/>
        <v>97.826400000000007</v>
      </c>
      <c r="L43">
        <f t="shared" si="12"/>
        <v>1146.03</v>
      </c>
      <c r="M43">
        <f t="shared" si="13"/>
        <v>1041.67</v>
      </c>
    </row>
    <row r="44" spans="1:13" ht="15" customHeight="1" x14ac:dyDescent="0.3">
      <c r="A44" s="16" t="s">
        <v>188</v>
      </c>
      <c r="B44" s="17" t="s">
        <v>210</v>
      </c>
      <c r="C44" s="18"/>
      <c r="D44" s="19" t="s">
        <v>82</v>
      </c>
      <c r="E44" s="1" t="s">
        <v>53</v>
      </c>
      <c r="F44" s="20" t="s">
        <v>211</v>
      </c>
      <c r="G44">
        <f t="shared" si="7"/>
        <v>93.75</v>
      </c>
      <c r="H44">
        <f t="shared" si="8"/>
        <v>75</v>
      </c>
      <c r="I44">
        <f t="shared" si="9"/>
        <v>62.5</v>
      </c>
      <c r="J44">
        <f t="shared" si="10"/>
        <v>163.04</v>
      </c>
      <c r="K44">
        <f t="shared" si="11"/>
        <v>29.347199999999997</v>
      </c>
      <c r="L44">
        <f t="shared" si="12"/>
        <v>140.01</v>
      </c>
      <c r="M44">
        <f t="shared" si="13"/>
        <v>104.17</v>
      </c>
    </row>
    <row r="45" spans="1:13" ht="15" customHeight="1" x14ac:dyDescent="0.3">
      <c r="A45" s="21" t="s">
        <v>188</v>
      </c>
      <c r="B45" s="22" t="s">
        <v>405</v>
      </c>
      <c r="C45" s="23"/>
      <c r="D45" s="24" t="s">
        <v>82</v>
      </c>
      <c r="E45" s="1" t="s">
        <v>53</v>
      </c>
      <c r="F45" s="20" t="s">
        <v>199</v>
      </c>
      <c r="G45">
        <f t="shared" si="7"/>
        <v>750</v>
      </c>
      <c r="H45">
        <f t="shared" si="8"/>
        <v>250</v>
      </c>
      <c r="I45">
        <f t="shared" si="9"/>
        <v>375</v>
      </c>
      <c r="J45">
        <f t="shared" si="10"/>
        <v>543.48</v>
      </c>
      <c r="K45">
        <f t="shared" si="11"/>
        <v>97.826400000000007</v>
      </c>
      <c r="L45">
        <f t="shared" si="12"/>
        <v>1417.77</v>
      </c>
      <c r="M45">
        <f t="shared" si="13"/>
        <v>625</v>
      </c>
    </row>
    <row r="46" spans="1:13" ht="18" customHeight="1" x14ac:dyDescent="0.3">
      <c r="A46" s="25" t="s">
        <v>220</v>
      </c>
      <c r="B46" s="25"/>
      <c r="C46" s="25"/>
      <c r="G46" t="str">
        <f t="shared" si="7"/>
        <v/>
      </c>
      <c r="H46" t="str">
        <f t="shared" si="8"/>
        <v/>
      </c>
      <c r="I46" t="str">
        <f t="shared" si="9"/>
        <v/>
      </c>
      <c r="J46" t="str">
        <f t="shared" si="10"/>
        <v/>
      </c>
      <c r="K46" t="str">
        <f t="shared" si="11"/>
        <v/>
      </c>
      <c r="L46" t="str">
        <f t="shared" si="12"/>
        <v/>
      </c>
      <c r="M46" t="str">
        <f t="shared" si="13"/>
        <v/>
      </c>
    </row>
    <row r="47" spans="1:13" ht="15" customHeight="1" x14ac:dyDescent="0.3">
      <c r="A47" s="16" t="s">
        <v>221</v>
      </c>
      <c r="B47" s="17" t="s">
        <v>222</v>
      </c>
      <c r="C47" s="18"/>
      <c r="D47" s="19" t="s">
        <v>82</v>
      </c>
      <c r="E47" s="1" t="s">
        <v>53</v>
      </c>
      <c r="F47" s="20" t="s">
        <v>223</v>
      </c>
      <c r="G47">
        <f t="shared" si="7"/>
        <v>187.5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301.27999999999997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325</v>
      </c>
      <c r="C48" s="23"/>
      <c r="D48" s="24" t="s">
        <v>82</v>
      </c>
      <c r="E48" s="1" t="s">
        <v>53</v>
      </c>
      <c r="F48" s="20" t="s">
        <v>225</v>
      </c>
      <c r="G48">
        <f t="shared" si="7"/>
        <v>125</v>
      </c>
      <c r="H48">
        <f t="shared" si="8"/>
        <v>62.5</v>
      </c>
      <c r="I48">
        <f t="shared" si="9"/>
        <v>37.5</v>
      </c>
      <c r="J48">
        <f t="shared" si="10"/>
        <v>135.87</v>
      </c>
      <c r="K48">
        <f t="shared" si="11"/>
        <v>24.456600000000002</v>
      </c>
      <c r="L48">
        <f t="shared" si="12"/>
        <v>218.57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326</v>
      </c>
      <c r="C49" s="18"/>
      <c r="D49" s="19" t="s">
        <v>82</v>
      </c>
      <c r="E49" s="1" t="s">
        <v>53</v>
      </c>
      <c r="F49" s="20" t="s">
        <v>227</v>
      </c>
      <c r="G49">
        <f t="shared" si="7"/>
        <v>50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55.53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321</v>
      </c>
      <c r="C50" s="23"/>
      <c r="D50" s="24" t="s">
        <v>82</v>
      </c>
      <c r="E50" s="1" t="s">
        <v>53</v>
      </c>
      <c r="F50" s="20" t="s">
        <v>322</v>
      </c>
      <c r="G50">
        <f t="shared" si="7"/>
        <v>150</v>
      </c>
      <c r="H50">
        <f t="shared" si="8"/>
        <v>300</v>
      </c>
      <c r="I50">
        <f t="shared" si="9"/>
        <v>150</v>
      </c>
      <c r="J50">
        <f t="shared" si="10"/>
        <v>652.16999999999996</v>
      </c>
      <c r="K50">
        <f t="shared" si="11"/>
        <v>117.39059999999999</v>
      </c>
      <c r="L50">
        <f t="shared" si="12"/>
        <v>70.89</v>
      </c>
      <c r="M50">
        <f t="shared" si="13"/>
        <v>250</v>
      </c>
    </row>
    <row r="51" spans="1:13" ht="15" customHeight="1" x14ac:dyDescent="0.3">
      <c r="A51" s="16" t="s">
        <v>221</v>
      </c>
      <c r="B51" s="17" t="s">
        <v>230</v>
      </c>
      <c r="C51" s="18"/>
      <c r="D51" s="19" t="s">
        <v>82</v>
      </c>
      <c r="E51" s="1" t="s">
        <v>53</v>
      </c>
      <c r="F51" s="20" t="s">
        <v>231</v>
      </c>
      <c r="G51">
        <f t="shared" si="7"/>
        <v>125</v>
      </c>
      <c r="H51">
        <f t="shared" si="8"/>
        <v>187.5</v>
      </c>
      <c r="I51">
        <f t="shared" si="9"/>
        <v>93.75</v>
      </c>
      <c r="J51">
        <f t="shared" si="10"/>
        <v>407.61</v>
      </c>
      <c r="K51">
        <f t="shared" si="11"/>
        <v>73.369799999999998</v>
      </c>
      <c r="L51">
        <f t="shared" si="12"/>
        <v>112.24</v>
      </c>
      <c r="M51">
        <f t="shared" si="13"/>
        <v>156.25</v>
      </c>
    </row>
    <row r="52" spans="1:13" ht="15" customHeight="1" x14ac:dyDescent="0.3">
      <c r="A52" s="21" t="s">
        <v>221</v>
      </c>
      <c r="B52" s="22" t="s">
        <v>228</v>
      </c>
      <c r="C52" s="23"/>
      <c r="D52" s="24" t="s">
        <v>82</v>
      </c>
      <c r="E52" s="1" t="s">
        <v>53</v>
      </c>
      <c r="F52" s="20" t="s">
        <v>229</v>
      </c>
      <c r="G52">
        <f t="shared" si="7"/>
        <v>150</v>
      </c>
      <c r="H52">
        <f t="shared" si="8"/>
        <v>75</v>
      </c>
      <c r="I52">
        <f t="shared" si="9"/>
        <v>37.5</v>
      </c>
      <c r="J52">
        <f t="shared" si="10"/>
        <v>163.04</v>
      </c>
      <c r="K52">
        <f t="shared" si="11"/>
        <v>29.347199999999997</v>
      </c>
      <c r="L52">
        <f t="shared" si="12"/>
        <v>262.29000000000002</v>
      </c>
      <c r="M52">
        <f t="shared" si="13"/>
        <v>62.5</v>
      </c>
    </row>
    <row r="53" spans="1:13" ht="15" customHeight="1" x14ac:dyDescent="0.3">
      <c r="A53" s="16" t="s">
        <v>221</v>
      </c>
      <c r="B53" s="17" t="s">
        <v>232</v>
      </c>
      <c r="C53" s="18"/>
      <c r="D53" s="19" t="s">
        <v>82</v>
      </c>
      <c r="E53" s="1" t="s">
        <v>53</v>
      </c>
      <c r="F53" s="20" t="s">
        <v>233</v>
      </c>
      <c r="G53">
        <f t="shared" si="7"/>
        <v>125</v>
      </c>
      <c r="H53">
        <f t="shared" si="8"/>
        <v>156.25</v>
      </c>
      <c r="I53">
        <f t="shared" si="9"/>
        <v>31.25</v>
      </c>
      <c r="J53">
        <f t="shared" si="10"/>
        <v>339.67</v>
      </c>
      <c r="K53">
        <f t="shared" si="11"/>
        <v>61.140599999999999</v>
      </c>
      <c r="L53">
        <f t="shared" si="12"/>
        <v>138.82</v>
      </c>
      <c r="M53">
        <f t="shared" si="13"/>
        <v>52.08</v>
      </c>
    </row>
    <row r="54" spans="1:13" ht="15" customHeight="1" x14ac:dyDescent="0.3">
      <c r="A54" s="21" t="s">
        <v>221</v>
      </c>
      <c r="B54" s="22" t="s">
        <v>234</v>
      </c>
      <c r="C54" s="23"/>
      <c r="D54" s="24" t="s">
        <v>82</v>
      </c>
      <c r="E54" s="1" t="s">
        <v>53</v>
      </c>
      <c r="F54" s="20" t="s">
        <v>235</v>
      </c>
      <c r="G54">
        <f t="shared" si="7"/>
        <v>125</v>
      </c>
      <c r="H54">
        <f t="shared" si="8"/>
        <v>125</v>
      </c>
      <c r="I54">
        <f t="shared" si="9"/>
        <v>62.5</v>
      </c>
      <c r="J54">
        <f t="shared" si="10"/>
        <v>271.74</v>
      </c>
      <c r="K54">
        <f t="shared" si="11"/>
        <v>48.913200000000003</v>
      </c>
      <c r="L54">
        <f t="shared" si="12"/>
        <v>165.41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244</v>
      </c>
      <c r="C55" s="18"/>
      <c r="D55" s="19" t="s">
        <v>82</v>
      </c>
      <c r="E55" s="1" t="s">
        <v>53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240</v>
      </c>
      <c r="C56" s="23"/>
      <c r="D56" s="24" t="s">
        <v>82</v>
      </c>
      <c r="E56" s="1" t="s">
        <v>53</v>
      </c>
      <c r="F56" s="20" t="s">
        <v>241</v>
      </c>
      <c r="G56">
        <f t="shared" si="7"/>
        <v>7.5</v>
      </c>
      <c r="H56">
        <f t="shared" si="8"/>
        <v>15</v>
      </c>
      <c r="I56">
        <f t="shared" si="9"/>
        <v>15</v>
      </c>
      <c r="J56">
        <f t="shared" si="10"/>
        <v>32.61</v>
      </c>
      <c r="K56">
        <f t="shared" si="11"/>
        <v>5.8697999999999997</v>
      </c>
      <c r="L56">
        <f t="shared" si="12"/>
        <v>3.54</v>
      </c>
      <c r="M56">
        <f t="shared" si="13"/>
        <v>25</v>
      </c>
    </row>
    <row r="57" spans="1:13" ht="15" customHeight="1" x14ac:dyDescent="0.3">
      <c r="A57" s="16" t="s">
        <v>221</v>
      </c>
      <c r="B57" s="17" t="s">
        <v>243</v>
      </c>
      <c r="C57" s="18"/>
      <c r="D57" s="19" t="s">
        <v>82</v>
      </c>
      <c r="E57" s="1" t="s">
        <v>53</v>
      </c>
      <c r="F57" s="20" t="s">
        <v>241</v>
      </c>
      <c r="G57">
        <f t="shared" si="7"/>
        <v>7.5</v>
      </c>
      <c r="H57">
        <f t="shared" si="8"/>
        <v>15</v>
      </c>
      <c r="I57">
        <f t="shared" si="9"/>
        <v>15</v>
      </c>
      <c r="J57">
        <f t="shared" si="10"/>
        <v>32.61</v>
      </c>
      <c r="K57">
        <f t="shared" si="11"/>
        <v>5.8697999999999997</v>
      </c>
      <c r="L57">
        <f t="shared" si="12"/>
        <v>3.54</v>
      </c>
      <c r="M57">
        <f t="shared" si="13"/>
        <v>25</v>
      </c>
    </row>
    <row r="58" spans="1:13" ht="15" customHeight="1" x14ac:dyDescent="0.3">
      <c r="A58" s="21" t="s">
        <v>221</v>
      </c>
      <c r="B58" s="22" t="s">
        <v>236</v>
      </c>
      <c r="C58" s="23"/>
      <c r="D58" s="24" t="s">
        <v>82</v>
      </c>
      <c r="E58" s="1" t="s">
        <v>53</v>
      </c>
      <c r="F58" s="20" t="s">
        <v>237</v>
      </c>
      <c r="G58">
        <f t="shared" si="7"/>
        <v>62.5</v>
      </c>
      <c r="H58">
        <f t="shared" si="8"/>
        <v>62.5</v>
      </c>
      <c r="I58">
        <f t="shared" si="9"/>
        <v>62.5</v>
      </c>
      <c r="J58">
        <f t="shared" si="10"/>
        <v>135.87</v>
      </c>
      <c r="K58">
        <f t="shared" si="11"/>
        <v>24.456600000000002</v>
      </c>
      <c r="L58">
        <f t="shared" si="12"/>
        <v>82.7</v>
      </c>
      <c r="M58">
        <f t="shared" si="13"/>
        <v>104.17</v>
      </c>
    </row>
    <row r="59" spans="1:13" ht="15" customHeight="1" x14ac:dyDescent="0.3">
      <c r="A59" s="16" t="s">
        <v>221</v>
      </c>
      <c r="B59" s="17" t="s">
        <v>333</v>
      </c>
      <c r="C59" s="18"/>
      <c r="D59" s="19" t="s">
        <v>82</v>
      </c>
      <c r="E59" s="1" t="s">
        <v>53</v>
      </c>
      <c r="F59" s="20" t="s">
        <v>334</v>
      </c>
      <c r="G59">
        <f t="shared" si="7"/>
        <v>50</v>
      </c>
      <c r="H59">
        <f t="shared" si="8"/>
        <v>75</v>
      </c>
      <c r="I59">
        <f t="shared" si="9"/>
        <v>150</v>
      </c>
      <c r="J59">
        <f t="shared" si="10"/>
        <v>163.04</v>
      </c>
      <c r="K59">
        <f t="shared" si="11"/>
        <v>29.347199999999997</v>
      </c>
      <c r="L59">
        <f t="shared" si="12"/>
        <v>44.9</v>
      </c>
      <c r="M59">
        <f t="shared" si="13"/>
        <v>250</v>
      </c>
    </row>
    <row r="60" spans="1:13" ht="15" customHeight="1" x14ac:dyDescent="0.3">
      <c r="A60" s="21" t="s">
        <v>221</v>
      </c>
      <c r="B60" s="22" t="s">
        <v>406</v>
      </c>
      <c r="C60" s="23"/>
      <c r="D60" s="24" t="s">
        <v>82</v>
      </c>
      <c r="E60" s="1" t="s">
        <v>53</v>
      </c>
      <c r="F60" s="20" t="s">
        <v>407</v>
      </c>
      <c r="G60">
        <f t="shared" si="7"/>
        <v>50</v>
      </c>
      <c r="H60">
        <f t="shared" si="8"/>
        <v>100</v>
      </c>
      <c r="I60">
        <f t="shared" si="9"/>
        <v>150</v>
      </c>
      <c r="J60">
        <f t="shared" si="10"/>
        <v>217.39</v>
      </c>
      <c r="K60">
        <f t="shared" si="11"/>
        <v>39.130199999999995</v>
      </c>
      <c r="L60">
        <f t="shared" si="12"/>
        <v>23.63</v>
      </c>
      <c r="M60">
        <f t="shared" si="13"/>
        <v>250</v>
      </c>
    </row>
    <row r="61" spans="1:13" ht="15" customHeight="1" x14ac:dyDescent="0.3">
      <c r="A61" s="16" t="s">
        <v>221</v>
      </c>
      <c r="B61" s="17" t="s">
        <v>391</v>
      </c>
      <c r="C61" s="18"/>
      <c r="D61" s="19" t="s">
        <v>82</v>
      </c>
      <c r="E61" s="1" t="s">
        <v>53</v>
      </c>
      <c r="F61" s="20" t="s">
        <v>249</v>
      </c>
      <c r="G61">
        <f t="shared" si="7"/>
        <v>125</v>
      </c>
      <c r="H61">
        <f t="shared" si="8"/>
        <v>62.5</v>
      </c>
      <c r="I61">
        <f t="shared" si="9"/>
        <v>62.5</v>
      </c>
      <c r="J61">
        <f t="shared" si="10"/>
        <v>135.87</v>
      </c>
      <c r="K61">
        <f t="shared" si="11"/>
        <v>24.456600000000002</v>
      </c>
      <c r="L61">
        <f t="shared" si="12"/>
        <v>218.57</v>
      </c>
      <c r="M61">
        <f t="shared" si="13"/>
        <v>104.17</v>
      </c>
    </row>
    <row r="62" spans="1:13" ht="18" customHeight="1" x14ac:dyDescent="0.3">
      <c r="A62" s="25" t="s">
        <v>252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21" t="s">
        <v>253</v>
      </c>
      <c r="B63" s="22" t="s">
        <v>323</v>
      </c>
      <c r="C63" s="23"/>
      <c r="D63" s="24" t="s">
        <v>82</v>
      </c>
      <c r="E63" s="1" t="s">
        <v>53</v>
      </c>
      <c r="F63" s="20" t="s">
        <v>324</v>
      </c>
      <c r="G63">
        <f t="shared" si="7"/>
        <v>93.75</v>
      </c>
      <c r="H63">
        <f t="shared" si="8"/>
        <v>62.5</v>
      </c>
      <c r="I63">
        <f t="shared" si="9"/>
        <v>62.5</v>
      </c>
      <c r="J63">
        <f t="shared" si="10"/>
        <v>135.87</v>
      </c>
      <c r="K63">
        <f t="shared" si="11"/>
        <v>24.456600000000002</v>
      </c>
      <c r="L63">
        <f t="shared" si="12"/>
        <v>150.63999999999999</v>
      </c>
      <c r="M63">
        <f t="shared" si="13"/>
        <v>104.17</v>
      </c>
    </row>
    <row r="64" spans="1:13" ht="15" customHeight="1" x14ac:dyDescent="0.3">
      <c r="A64" s="16" t="s">
        <v>253</v>
      </c>
      <c r="B64" s="17" t="s">
        <v>255</v>
      </c>
      <c r="C64" s="18"/>
      <c r="D64" s="19" t="s">
        <v>82</v>
      </c>
      <c r="E64" s="1" t="s">
        <v>53</v>
      </c>
      <c r="F64" s="20" t="s">
        <v>256</v>
      </c>
      <c r="G64">
        <f t="shared" si="7"/>
        <v>31.25</v>
      </c>
      <c r="H64">
        <f t="shared" si="8"/>
        <v>75</v>
      </c>
      <c r="I64">
        <f t="shared" si="9"/>
        <v>22.5</v>
      </c>
      <c r="J64">
        <f t="shared" si="10"/>
        <v>163.04</v>
      </c>
      <c r="K64">
        <f t="shared" si="11"/>
        <v>29.347199999999997</v>
      </c>
      <c r="L64">
        <f t="shared" si="12"/>
        <v>4.1399999999999997</v>
      </c>
      <c r="M64">
        <f t="shared" si="13"/>
        <v>37.5</v>
      </c>
    </row>
    <row r="65" spans="1:13" ht="15" customHeight="1" x14ac:dyDescent="0.3">
      <c r="A65" s="21" t="s">
        <v>253</v>
      </c>
      <c r="B65" s="22" t="s">
        <v>257</v>
      </c>
      <c r="C65" s="23"/>
      <c r="D65" s="24" t="s">
        <v>82</v>
      </c>
      <c r="E65" s="1" t="s">
        <v>53</v>
      </c>
      <c r="F65" s="20" t="s">
        <v>160</v>
      </c>
      <c r="G65">
        <f t="shared" si="7"/>
        <v>25</v>
      </c>
      <c r="H65">
        <f t="shared" si="8"/>
        <v>50</v>
      </c>
      <c r="I65">
        <f t="shared" si="9"/>
        <v>25</v>
      </c>
      <c r="J65">
        <f t="shared" si="10"/>
        <v>108.7</v>
      </c>
      <c r="K65">
        <f t="shared" si="11"/>
        <v>19.565999999999999</v>
      </c>
      <c r="L65">
        <f t="shared" si="12"/>
        <v>11.81</v>
      </c>
      <c r="M65">
        <f t="shared" si="13"/>
        <v>41.67</v>
      </c>
    </row>
    <row r="66" spans="1:13" ht="15" customHeight="1" x14ac:dyDescent="0.3">
      <c r="A66" s="16" t="s">
        <v>253</v>
      </c>
      <c r="B66" s="17" t="s">
        <v>228</v>
      </c>
      <c r="C66" s="18"/>
      <c r="D66" s="19" t="s">
        <v>82</v>
      </c>
      <c r="E66" s="1" t="s">
        <v>53</v>
      </c>
      <c r="F66" s="20" t="s">
        <v>229</v>
      </c>
      <c r="G66">
        <f t="shared" si="7"/>
        <v>150</v>
      </c>
      <c r="H66">
        <f t="shared" si="8"/>
        <v>75</v>
      </c>
      <c r="I66">
        <f t="shared" si="9"/>
        <v>37.5</v>
      </c>
      <c r="J66">
        <f t="shared" si="10"/>
        <v>163.04</v>
      </c>
      <c r="K66">
        <f t="shared" si="11"/>
        <v>29.347199999999997</v>
      </c>
      <c r="L66">
        <f t="shared" si="12"/>
        <v>262.29000000000002</v>
      </c>
      <c r="M66">
        <f t="shared" si="13"/>
        <v>62.5</v>
      </c>
    </row>
    <row r="67" spans="1:13" ht="15" customHeight="1" x14ac:dyDescent="0.3">
      <c r="A67" s="21" t="s">
        <v>253</v>
      </c>
      <c r="B67" s="22" t="s">
        <v>365</v>
      </c>
      <c r="C67" s="23"/>
      <c r="D67" s="24" t="s">
        <v>82</v>
      </c>
      <c r="E67" s="1" t="s">
        <v>53</v>
      </c>
      <c r="F67" s="20" t="s">
        <v>366</v>
      </c>
      <c r="G67">
        <f t="shared" si="7"/>
        <v>93.75</v>
      </c>
      <c r="H67">
        <f t="shared" si="8"/>
        <v>93.75</v>
      </c>
      <c r="I67">
        <f t="shared" si="9"/>
        <v>93.75</v>
      </c>
      <c r="J67">
        <f t="shared" si="10"/>
        <v>203.8</v>
      </c>
      <c r="K67">
        <f t="shared" si="11"/>
        <v>36.683999999999997</v>
      </c>
      <c r="L67">
        <f t="shared" si="12"/>
        <v>124.06</v>
      </c>
      <c r="M67">
        <f t="shared" si="13"/>
        <v>156.25</v>
      </c>
    </row>
    <row r="68" spans="1:13" ht="18" customHeight="1" x14ac:dyDescent="0.3">
      <c r="A68" s="25" t="s">
        <v>263</v>
      </c>
      <c r="B68" s="25"/>
      <c r="C68" s="25"/>
      <c r="G68" t="str">
        <f t="shared" si="7"/>
        <v/>
      </c>
      <c r="H68" t="str">
        <f t="shared" si="8"/>
        <v/>
      </c>
      <c r="I68" t="str">
        <f t="shared" si="9"/>
        <v/>
      </c>
      <c r="J68" t="str">
        <f t="shared" si="10"/>
        <v/>
      </c>
      <c r="K68" t="str">
        <f t="shared" si="11"/>
        <v/>
      </c>
      <c r="L68" t="str">
        <f t="shared" si="12"/>
        <v/>
      </c>
      <c r="M68" t="str">
        <f t="shared" si="13"/>
        <v/>
      </c>
    </row>
    <row r="69" spans="1:13" ht="15" customHeight="1" x14ac:dyDescent="0.3">
      <c r="A69" s="16" t="s">
        <v>264</v>
      </c>
      <c r="B69" s="17" t="s">
        <v>392</v>
      </c>
      <c r="C69" s="18"/>
      <c r="D69" s="19" t="s">
        <v>82</v>
      </c>
      <c r="E69" s="1" t="s">
        <v>53</v>
      </c>
      <c r="F69" s="20" t="s">
        <v>207</v>
      </c>
      <c r="G69">
        <f t="shared" si="7"/>
        <v>700</v>
      </c>
      <c r="H69">
        <f t="shared" si="8"/>
        <v>400</v>
      </c>
      <c r="I69">
        <f t="shared" si="9"/>
        <v>1500</v>
      </c>
      <c r="J69">
        <f t="shared" si="10"/>
        <v>869.57</v>
      </c>
      <c r="K69">
        <f t="shared" si="11"/>
        <v>156.52260000000001</v>
      </c>
      <c r="L69">
        <f t="shared" si="12"/>
        <v>1181.47</v>
      </c>
      <c r="M69">
        <f t="shared" si="13"/>
        <v>2500</v>
      </c>
    </row>
    <row r="70" spans="1:13" ht="18" customHeight="1" x14ac:dyDescent="0.3">
      <c r="A70" s="25" t="s">
        <v>269</v>
      </c>
      <c r="B70" s="25"/>
      <c r="C70" s="25"/>
      <c r="G70" t="str">
        <f t="shared" si="7"/>
        <v/>
      </c>
      <c r="H70" t="str">
        <f t="shared" si="8"/>
        <v/>
      </c>
      <c r="I70" t="str">
        <f t="shared" si="9"/>
        <v/>
      </c>
      <c r="J70" t="str">
        <f t="shared" si="10"/>
        <v/>
      </c>
      <c r="K70" t="str">
        <f t="shared" si="11"/>
        <v/>
      </c>
      <c r="L70" t="str">
        <f t="shared" si="12"/>
        <v/>
      </c>
      <c r="M70" t="str">
        <f t="shared" si="13"/>
        <v/>
      </c>
    </row>
    <row r="71" spans="1:13" ht="15" customHeight="1" x14ac:dyDescent="0.3">
      <c r="A71" s="21" t="s">
        <v>270</v>
      </c>
      <c r="B71" s="22" t="s">
        <v>272</v>
      </c>
      <c r="C71" s="23"/>
      <c r="D71" s="24" t="s">
        <v>82</v>
      </c>
      <c r="E71" s="1" t="s">
        <v>53</v>
      </c>
      <c r="F71" s="20" t="s">
        <v>273</v>
      </c>
      <c r="G71">
        <f t="shared" si="7"/>
        <v>112.5</v>
      </c>
      <c r="H71">
        <f t="shared" si="8"/>
        <v>112.5</v>
      </c>
      <c r="I71">
        <f t="shared" si="9"/>
        <v>93.75</v>
      </c>
      <c r="J71">
        <f t="shared" si="10"/>
        <v>244.57</v>
      </c>
      <c r="K71">
        <f t="shared" si="11"/>
        <v>44.022599999999997</v>
      </c>
      <c r="L71">
        <f t="shared" si="12"/>
        <v>148.86000000000001</v>
      </c>
      <c r="M71">
        <f t="shared" si="13"/>
        <v>156.25</v>
      </c>
    </row>
    <row r="72" spans="1:13" ht="15" customHeight="1" x14ac:dyDescent="0.3">
      <c r="A72" s="16" t="s">
        <v>270</v>
      </c>
      <c r="B72" s="17" t="s">
        <v>271</v>
      </c>
      <c r="C72" s="18"/>
      <c r="D72" s="19" t="s">
        <v>82</v>
      </c>
      <c r="E72" s="1" t="s">
        <v>53</v>
      </c>
      <c r="F72" s="20" t="s">
        <v>241</v>
      </c>
      <c r="G72">
        <f t="shared" si="7"/>
        <v>7.5</v>
      </c>
      <c r="H72">
        <f t="shared" si="8"/>
        <v>15</v>
      </c>
      <c r="I72">
        <f t="shared" si="9"/>
        <v>15</v>
      </c>
      <c r="J72">
        <f t="shared" si="10"/>
        <v>32.61</v>
      </c>
      <c r="K72">
        <f t="shared" si="11"/>
        <v>5.8697999999999997</v>
      </c>
      <c r="L72">
        <f t="shared" si="12"/>
        <v>3.54</v>
      </c>
      <c r="M72">
        <f t="shared" si="13"/>
        <v>25</v>
      </c>
    </row>
    <row r="73" spans="1:13" ht="15" customHeight="1" x14ac:dyDescent="0.3">
      <c r="A73" s="21" t="s">
        <v>270</v>
      </c>
      <c r="B73" s="22" t="s">
        <v>278</v>
      </c>
      <c r="C73" s="23"/>
      <c r="D73" s="24" t="s">
        <v>82</v>
      </c>
      <c r="E73" s="1" t="s">
        <v>53</v>
      </c>
      <c r="F73" s="20" t="s">
        <v>279</v>
      </c>
      <c r="G73">
        <f t="shared" si="7"/>
        <v>250</v>
      </c>
      <c r="H73">
        <f t="shared" si="8"/>
        <v>250</v>
      </c>
      <c r="I73">
        <f t="shared" si="9"/>
        <v>250</v>
      </c>
      <c r="J73">
        <f t="shared" si="10"/>
        <v>543.48</v>
      </c>
      <c r="K73">
        <f t="shared" si="11"/>
        <v>97.826400000000007</v>
      </c>
      <c r="L73">
        <f t="shared" si="12"/>
        <v>330.81</v>
      </c>
      <c r="M73">
        <f t="shared" si="13"/>
        <v>416.67</v>
      </c>
    </row>
  </sheetData>
  <mergeCells count="13">
    <mergeCell ref="A1:C1"/>
    <mergeCell ref="A2:C2"/>
    <mergeCell ref="A3:C3"/>
    <mergeCell ref="A4:C4"/>
    <mergeCell ref="A7:C7"/>
    <mergeCell ref="A62:C62"/>
    <mergeCell ref="A68:C68"/>
    <mergeCell ref="A70:C70"/>
    <mergeCell ref="A17:C17"/>
    <mergeCell ref="A25:C25"/>
    <mergeCell ref="A33:C33"/>
    <mergeCell ref="A36:C36"/>
    <mergeCell ref="A46:C4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BB6A"/>
  </sheetPr>
  <dimension ref="A1:M64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408</v>
      </c>
      <c r="B1" s="26"/>
      <c r="C1" s="26"/>
    </row>
    <row r="2" spans="1:13" ht="19.5" customHeight="1" x14ac:dyDescent="0.3">
      <c r="A2" s="27" t="s">
        <v>409</v>
      </c>
      <c r="B2" s="27"/>
      <c r="C2" s="27"/>
    </row>
    <row r="3" spans="1:13" ht="19.5" customHeight="1" x14ac:dyDescent="0.3">
      <c r="A3" s="27" t="s">
        <v>410</v>
      </c>
      <c r="B3" s="27"/>
      <c r="C3" s="27"/>
    </row>
    <row r="4" spans="1:13" ht="19.5" customHeight="1" x14ac:dyDescent="0.3">
      <c r="A4" s="27" t="s">
        <v>411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84</v>
      </c>
      <c r="E8" s="1" t="s">
        <v>63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412</v>
      </c>
      <c r="C9" s="23"/>
      <c r="D9" s="24" t="s">
        <v>84</v>
      </c>
      <c r="E9" s="1" t="s">
        <v>63</v>
      </c>
      <c r="F9" s="20" t="s">
        <v>149</v>
      </c>
      <c r="G9">
        <f t="shared" si="0"/>
        <v>50</v>
      </c>
      <c r="H9">
        <f t="shared" si="1"/>
        <v>25</v>
      </c>
      <c r="I9">
        <f t="shared" si="2"/>
        <v>25</v>
      </c>
      <c r="J9">
        <f t="shared" si="3"/>
        <v>54.35</v>
      </c>
      <c r="K9">
        <f t="shared" si="4"/>
        <v>9.7829999999999995</v>
      </c>
      <c r="L9">
        <f t="shared" si="5"/>
        <v>87.43</v>
      </c>
      <c r="M9">
        <f t="shared" si="6"/>
        <v>41.67</v>
      </c>
    </row>
    <row r="10" spans="1:13" ht="15" customHeight="1" x14ac:dyDescent="0.3">
      <c r="A10" s="16" t="s">
        <v>141</v>
      </c>
      <c r="B10" s="17" t="s">
        <v>413</v>
      </c>
      <c r="C10" s="18"/>
      <c r="D10" s="19" t="s">
        <v>84</v>
      </c>
      <c r="E10" s="1" t="s">
        <v>63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8" customHeight="1" x14ac:dyDescent="0.3">
      <c r="A11" s="25" t="s">
        <v>155</v>
      </c>
      <c r="B11" s="25"/>
      <c r="C11" s="25"/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  <c r="L11" t="str">
        <f t="shared" si="5"/>
        <v/>
      </c>
      <c r="M11" t="str">
        <f t="shared" si="6"/>
        <v/>
      </c>
    </row>
    <row r="12" spans="1:13" ht="15" customHeight="1" x14ac:dyDescent="0.3">
      <c r="A12" s="21" t="s">
        <v>156</v>
      </c>
      <c r="B12" s="22" t="s">
        <v>379</v>
      </c>
      <c r="C12" s="23"/>
      <c r="D12" s="24" t="s">
        <v>84</v>
      </c>
      <c r="E12" s="1" t="s">
        <v>63</v>
      </c>
      <c r="F12" s="20" t="s">
        <v>160</v>
      </c>
      <c r="G12">
        <f t="shared" si="0"/>
        <v>25</v>
      </c>
      <c r="H12">
        <f t="shared" si="1"/>
        <v>50</v>
      </c>
      <c r="I12">
        <f t="shared" si="2"/>
        <v>25</v>
      </c>
      <c r="J12">
        <f t="shared" si="3"/>
        <v>108.7</v>
      </c>
      <c r="K12">
        <f t="shared" si="4"/>
        <v>19.565999999999999</v>
      </c>
      <c r="L12">
        <f t="shared" si="5"/>
        <v>11.81</v>
      </c>
      <c r="M12">
        <f t="shared" si="6"/>
        <v>41.67</v>
      </c>
    </row>
    <row r="13" spans="1:13" ht="15" customHeight="1" x14ac:dyDescent="0.3">
      <c r="A13" s="16" t="s">
        <v>156</v>
      </c>
      <c r="B13" s="17" t="s">
        <v>380</v>
      </c>
      <c r="C13" s="18"/>
      <c r="D13" s="19" t="s">
        <v>84</v>
      </c>
      <c r="E13" s="1" t="s">
        <v>63</v>
      </c>
      <c r="F13" s="20" t="s">
        <v>160</v>
      </c>
      <c r="G13">
        <f t="shared" si="0"/>
        <v>25</v>
      </c>
      <c r="H13">
        <f t="shared" si="1"/>
        <v>50</v>
      </c>
      <c r="I13">
        <f t="shared" si="2"/>
        <v>25</v>
      </c>
      <c r="J13">
        <f t="shared" si="3"/>
        <v>108.7</v>
      </c>
      <c r="K13">
        <f t="shared" si="4"/>
        <v>19.565999999999999</v>
      </c>
      <c r="L13">
        <f t="shared" si="5"/>
        <v>11.81</v>
      </c>
      <c r="M13">
        <f t="shared" si="6"/>
        <v>41.67</v>
      </c>
    </row>
    <row r="14" spans="1:13" ht="15" customHeight="1" x14ac:dyDescent="0.3">
      <c r="A14" s="21" t="s">
        <v>156</v>
      </c>
      <c r="B14" s="22" t="s">
        <v>165</v>
      </c>
      <c r="C14" s="23"/>
      <c r="D14" s="24" t="s">
        <v>84</v>
      </c>
      <c r="E14" s="1" t="s">
        <v>63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163</v>
      </c>
      <c r="C15" s="18"/>
      <c r="D15" s="19" t="s">
        <v>84</v>
      </c>
      <c r="E15" s="1" t="s">
        <v>63</v>
      </c>
      <c r="F15" s="20" t="s">
        <v>164</v>
      </c>
      <c r="G15">
        <f t="shared" si="0"/>
        <v>12.5</v>
      </c>
      <c r="H15">
        <f t="shared" si="1"/>
        <v>25</v>
      </c>
      <c r="I15">
        <f t="shared" si="2"/>
        <v>12.5</v>
      </c>
      <c r="J15">
        <f t="shared" si="3"/>
        <v>54.35</v>
      </c>
      <c r="K15">
        <f t="shared" si="4"/>
        <v>9.7829999999999995</v>
      </c>
      <c r="L15">
        <f t="shared" si="5"/>
        <v>5.91</v>
      </c>
      <c r="M15">
        <f t="shared" si="6"/>
        <v>20.83</v>
      </c>
    </row>
    <row r="16" spans="1:13" ht="18" customHeight="1" x14ac:dyDescent="0.3">
      <c r="A16" s="25" t="s">
        <v>167</v>
      </c>
      <c r="B16" s="25"/>
      <c r="C16" s="25"/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  <c r="M16" t="str">
        <f t="shared" si="6"/>
        <v/>
      </c>
    </row>
    <row r="17" spans="1:13" ht="15" customHeight="1" x14ac:dyDescent="0.3">
      <c r="A17" s="21" t="s">
        <v>168</v>
      </c>
      <c r="B17" s="22" t="s">
        <v>414</v>
      </c>
      <c r="C17" s="23"/>
      <c r="D17" s="24" t="s">
        <v>84</v>
      </c>
      <c r="E17" s="1" t="s">
        <v>63</v>
      </c>
      <c r="F17" s="20" t="s">
        <v>207</v>
      </c>
      <c r="G17">
        <f t="shared" si="0"/>
        <v>700</v>
      </c>
      <c r="H17">
        <f t="shared" si="1"/>
        <v>400</v>
      </c>
      <c r="I17">
        <f t="shared" si="2"/>
        <v>1500</v>
      </c>
      <c r="J17">
        <f t="shared" si="3"/>
        <v>869.57</v>
      </c>
      <c r="K17">
        <f t="shared" si="4"/>
        <v>156.52260000000001</v>
      </c>
      <c r="L17">
        <f t="shared" si="5"/>
        <v>1181.47</v>
      </c>
      <c r="M17">
        <f t="shared" si="6"/>
        <v>2500</v>
      </c>
    </row>
    <row r="18" spans="1:13" ht="15" customHeight="1" x14ac:dyDescent="0.3">
      <c r="A18" s="16" t="s">
        <v>168</v>
      </c>
      <c r="B18" s="17" t="s">
        <v>415</v>
      </c>
      <c r="C18" s="18"/>
      <c r="D18" s="19" t="s">
        <v>84</v>
      </c>
      <c r="E18" s="1" t="s">
        <v>63</v>
      </c>
      <c r="F18" s="20" t="s">
        <v>170</v>
      </c>
      <c r="G18">
        <f t="shared" si="0"/>
        <v>25</v>
      </c>
      <c r="H18">
        <f t="shared" si="1"/>
        <v>50</v>
      </c>
      <c r="I18">
        <f t="shared" si="2"/>
        <v>50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83.33</v>
      </c>
    </row>
    <row r="19" spans="1:13" ht="18" customHeight="1" x14ac:dyDescent="0.3">
      <c r="A19" s="25" t="s">
        <v>180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21" t="s">
        <v>181</v>
      </c>
      <c r="B20" s="22" t="s">
        <v>212</v>
      </c>
      <c r="C20" s="23"/>
      <c r="D20" s="24" t="s">
        <v>84</v>
      </c>
      <c r="E20" s="1" t="s">
        <v>63</v>
      </c>
      <c r="F20" s="20" t="s">
        <v>213</v>
      </c>
      <c r="G20">
        <f t="shared" si="0"/>
        <v>625</v>
      </c>
      <c r="H20">
        <f t="shared" si="1"/>
        <v>250</v>
      </c>
      <c r="I20">
        <f t="shared" si="2"/>
        <v>375</v>
      </c>
      <c r="J20">
        <f t="shared" si="3"/>
        <v>543.48</v>
      </c>
      <c r="K20">
        <f t="shared" si="4"/>
        <v>97.826400000000007</v>
      </c>
      <c r="L20">
        <f t="shared" si="5"/>
        <v>1146.03</v>
      </c>
      <c r="M20">
        <f t="shared" si="6"/>
        <v>625</v>
      </c>
    </row>
    <row r="21" spans="1:13" ht="15" customHeight="1" x14ac:dyDescent="0.3">
      <c r="A21" s="16" t="s">
        <v>181</v>
      </c>
      <c r="B21" s="17" t="s">
        <v>206</v>
      </c>
      <c r="C21" s="18"/>
      <c r="D21" s="19" t="s">
        <v>84</v>
      </c>
      <c r="E21" s="1" t="s">
        <v>63</v>
      </c>
      <c r="F21" s="20" t="s">
        <v>207</v>
      </c>
      <c r="G21">
        <f t="shared" si="0"/>
        <v>700</v>
      </c>
      <c r="H21">
        <f t="shared" si="1"/>
        <v>400</v>
      </c>
      <c r="I21">
        <f t="shared" si="2"/>
        <v>1500</v>
      </c>
      <c r="J21">
        <f t="shared" si="3"/>
        <v>869.57</v>
      </c>
      <c r="K21">
        <f t="shared" si="4"/>
        <v>156.52260000000001</v>
      </c>
      <c r="L21">
        <f t="shared" si="5"/>
        <v>1181.47</v>
      </c>
      <c r="M21">
        <f t="shared" si="6"/>
        <v>2500</v>
      </c>
    </row>
    <row r="22" spans="1:13" ht="18" customHeight="1" x14ac:dyDescent="0.3">
      <c r="A22" s="25" t="s">
        <v>187</v>
      </c>
      <c r="B22" s="25"/>
      <c r="C22" s="25"/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  <c r="L22" t="str">
        <f t="shared" si="5"/>
        <v/>
      </c>
      <c r="M22" t="str">
        <f t="shared" si="6"/>
        <v/>
      </c>
    </row>
    <row r="23" spans="1:13" ht="15" customHeight="1" x14ac:dyDescent="0.3">
      <c r="A23" s="21" t="s">
        <v>188</v>
      </c>
      <c r="B23" s="22" t="s">
        <v>206</v>
      </c>
      <c r="C23" s="23"/>
      <c r="D23" s="24" t="s">
        <v>84</v>
      </c>
      <c r="E23" s="1" t="s">
        <v>63</v>
      </c>
      <c r="F23" s="20" t="s">
        <v>207</v>
      </c>
      <c r="G23">
        <f t="shared" si="0"/>
        <v>700</v>
      </c>
      <c r="H23">
        <f t="shared" si="1"/>
        <v>400</v>
      </c>
      <c r="I23">
        <f t="shared" si="2"/>
        <v>1500</v>
      </c>
      <c r="J23">
        <f t="shared" si="3"/>
        <v>869.57</v>
      </c>
      <c r="K23">
        <f t="shared" si="4"/>
        <v>156.52260000000001</v>
      </c>
      <c r="L23">
        <f t="shared" si="5"/>
        <v>1181.47</v>
      </c>
      <c r="M23">
        <f t="shared" si="6"/>
        <v>2500</v>
      </c>
    </row>
    <row r="24" spans="1:13" ht="15" customHeight="1" x14ac:dyDescent="0.3">
      <c r="A24" s="16" t="s">
        <v>188</v>
      </c>
      <c r="B24" s="17" t="s">
        <v>212</v>
      </c>
      <c r="C24" s="18"/>
      <c r="D24" s="19" t="s">
        <v>84</v>
      </c>
      <c r="E24" s="1" t="s">
        <v>63</v>
      </c>
      <c r="F24" s="20" t="s">
        <v>213</v>
      </c>
      <c r="G24">
        <f t="shared" si="0"/>
        <v>625</v>
      </c>
      <c r="H24">
        <f t="shared" si="1"/>
        <v>250</v>
      </c>
      <c r="I24">
        <f t="shared" si="2"/>
        <v>375</v>
      </c>
      <c r="J24">
        <f t="shared" si="3"/>
        <v>543.48</v>
      </c>
      <c r="K24">
        <f t="shared" si="4"/>
        <v>97.826400000000007</v>
      </c>
      <c r="L24">
        <f t="shared" si="5"/>
        <v>1146.03</v>
      </c>
      <c r="M24">
        <f t="shared" si="6"/>
        <v>625</v>
      </c>
    </row>
    <row r="25" spans="1:13" ht="15" customHeight="1" x14ac:dyDescent="0.3">
      <c r="A25" s="21" t="s">
        <v>188</v>
      </c>
      <c r="B25" s="22" t="s">
        <v>416</v>
      </c>
      <c r="C25" s="23"/>
      <c r="D25" s="24" t="s">
        <v>84</v>
      </c>
      <c r="E25" s="1" t="s">
        <v>63</v>
      </c>
      <c r="F25" s="20" t="s">
        <v>190</v>
      </c>
      <c r="G25">
        <f t="shared" si="0"/>
        <v>125</v>
      </c>
      <c r="H25">
        <f t="shared" si="1"/>
        <v>125</v>
      </c>
      <c r="I25">
        <f t="shared" si="2"/>
        <v>187.5</v>
      </c>
      <c r="J25">
        <f t="shared" si="3"/>
        <v>271.74</v>
      </c>
      <c r="K25">
        <f t="shared" si="4"/>
        <v>48.913200000000003</v>
      </c>
      <c r="L25">
        <f t="shared" si="5"/>
        <v>165.41</v>
      </c>
      <c r="M25">
        <f t="shared" si="6"/>
        <v>312.5</v>
      </c>
    </row>
    <row r="26" spans="1:13" ht="15" customHeight="1" x14ac:dyDescent="0.3">
      <c r="A26" s="16" t="s">
        <v>188</v>
      </c>
      <c r="B26" s="17" t="s">
        <v>191</v>
      </c>
      <c r="C26" s="18"/>
      <c r="D26" s="19" t="s">
        <v>84</v>
      </c>
      <c r="E26" s="1" t="s">
        <v>63</v>
      </c>
      <c r="F26" s="20" t="s">
        <v>192</v>
      </c>
      <c r="G26">
        <f t="shared" si="0"/>
        <v>137.5</v>
      </c>
      <c r="H26">
        <f t="shared" si="1"/>
        <v>43.75</v>
      </c>
      <c r="I26">
        <f t="shared" si="2"/>
        <v>412.5</v>
      </c>
      <c r="J26">
        <f t="shared" si="3"/>
        <v>95.11</v>
      </c>
      <c r="K26">
        <f t="shared" si="4"/>
        <v>17.119799999999998</v>
      </c>
      <c r="L26">
        <f t="shared" si="5"/>
        <v>261.7</v>
      </c>
      <c r="M26">
        <f t="shared" si="6"/>
        <v>687.5</v>
      </c>
    </row>
    <row r="27" spans="1:13" ht="15" customHeight="1" x14ac:dyDescent="0.3">
      <c r="A27" s="21" t="s">
        <v>188</v>
      </c>
      <c r="B27" s="22" t="s">
        <v>305</v>
      </c>
      <c r="C27" s="23"/>
      <c r="D27" s="24" t="s">
        <v>84</v>
      </c>
      <c r="E27" s="1" t="s">
        <v>63</v>
      </c>
      <c r="F27" s="20" t="s">
        <v>306</v>
      </c>
      <c r="G27">
        <f t="shared" si="0"/>
        <v>20</v>
      </c>
      <c r="H27">
        <f t="shared" si="1"/>
        <v>5</v>
      </c>
      <c r="I27">
        <f t="shared" si="2"/>
        <v>15</v>
      </c>
      <c r="J27">
        <f t="shared" si="3"/>
        <v>10.87</v>
      </c>
      <c r="K27">
        <f t="shared" si="4"/>
        <v>1.9565999999999999</v>
      </c>
      <c r="L27">
        <f t="shared" si="5"/>
        <v>39.22</v>
      </c>
      <c r="M27">
        <f t="shared" si="6"/>
        <v>25</v>
      </c>
    </row>
    <row r="28" spans="1:13" ht="15" customHeight="1" x14ac:dyDescent="0.3">
      <c r="A28" s="16" t="s">
        <v>188</v>
      </c>
      <c r="B28" s="17" t="s">
        <v>214</v>
      </c>
      <c r="C28" s="18"/>
      <c r="D28" s="19" t="s">
        <v>84</v>
      </c>
      <c r="E28" s="1" t="s">
        <v>63</v>
      </c>
      <c r="F28" s="20" t="s">
        <v>215</v>
      </c>
      <c r="G28">
        <f t="shared" si="0"/>
        <v>93.75</v>
      </c>
      <c r="H28">
        <f t="shared" si="1"/>
        <v>50</v>
      </c>
      <c r="I28">
        <f t="shared" si="2"/>
        <v>62.5</v>
      </c>
      <c r="J28">
        <f t="shared" si="3"/>
        <v>108.7</v>
      </c>
      <c r="K28">
        <f t="shared" si="4"/>
        <v>19.565999999999999</v>
      </c>
      <c r="L28">
        <f t="shared" si="5"/>
        <v>161.27000000000001</v>
      </c>
      <c r="M28">
        <f t="shared" si="6"/>
        <v>104.17</v>
      </c>
    </row>
    <row r="29" spans="1:13" ht="15" customHeight="1" x14ac:dyDescent="0.3">
      <c r="A29" s="21" t="s">
        <v>188</v>
      </c>
      <c r="B29" s="22" t="s">
        <v>193</v>
      </c>
      <c r="C29" s="23"/>
      <c r="D29" s="24" t="s">
        <v>84</v>
      </c>
      <c r="E29" s="1" t="s">
        <v>63</v>
      </c>
      <c r="F29" s="20" t="s">
        <v>194</v>
      </c>
      <c r="G29">
        <f t="shared" si="0"/>
        <v>125</v>
      </c>
      <c r="H29">
        <f t="shared" si="1"/>
        <v>125</v>
      </c>
      <c r="I29">
        <f t="shared" si="2"/>
        <v>125</v>
      </c>
      <c r="J29">
        <f t="shared" si="3"/>
        <v>271.74</v>
      </c>
      <c r="K29">
        <f t="shared" si="4"/>
        <v>48.913200000000003</v>
      </c>
      <c r="L29">
        <f t="shared" si="5"/>
        <v>165.41</v>
      </c>
      <c r="M29">
        <f t="shared" si="6"/>
        <v>208.33</v>
      </c>
    </row>
    <row r="30" spans="1:13" ht="15" customHeight="1" x14ac:dyDescent="0.3">
      <c r="A30" s="16" t="s">
        <v>188</v>
      </c>
      <c r="B30" s="17" t="s">
        <v>195</v>
      </c>
      <c r="C30" s="18"/>
      <c r="D30" s="19" t="s">
        <v>84</v>
      </c>
      <c r="E30" s="1" t="s">
        <v>63</v>
      </c>
      <c r="F30" s="20" t="s">
        <v>194</v>
      </c>
      <c r="G30">
        <f t="shared" si="0"/>
        <v>125</v>
      </c>
      <c r="H30">
        <f t="shared" si="1"/>
        <v>125</v>
      </c>
      <c r="I30">
        <f t="shared" si="2"/>
        <v>125</v>
      </c>
      <c r="J30">
        <f t="shared" si="3"/>
        <v>271.74</v>
      </c>
      <c r="K30">
        <f t="shared" si="4"/>
        <v>48.913200000000003</v>
      </c>
      <c r="L30">
        <f t="shared" si="5"/>
        <v>165.41</v>
      </c>
      <c r="M30">
        <f t="shared" si="6"/>
        <v>208.33</v>
      </c>
    </row>
    <row r="31" spans="1:13" ht="15" customHeight="1" x14ac:dyDescent="0.3">
      <c r="A31" s="21" t="s">
        <v>188</v>
      </c>
      <c r="B31" s="22" t="s">
        <v>417</v>
      </c>
      <c r="C31" s="23"/>
      <c r="D31" s="24" t="s">
        <v>84</v>
      </c>
      <c r="E31" s="1" t="s">
        <v>63</v>
      </c>
      <c r="F31" s="20" t="s">
        <v>211</v>
      </c>
      <c r="G31">
        <f t="shared" si="0"/>
        <v>93.75</v>
      </c>
      <c r="H31">
        <f t="shared" si="1"/>
        <v>75</v>
      </c>
      <c r="I31">
        <f t="shared" si="2"/>
        <v>62.5</v>
      </c>
      <c r="J31">
        <f t="shared" si="3"/>
        <v>163.04</v>
      </c>
      <c r="K31">
        <f t="shared" si="4"/>
        <v>29.347199999999997</v>
      </c>
      <c r="L31">
        <f t="shared" si="5"/>
        <v>140.01</v>
      </c>
      <c r="M31">
        <f t="shared" si="6"/>
        <v>104.17</v>
      </c>
    </row>
    <row r="32" spans="1:13" ht="15" customHeight="1" x14ac:dyDescent="0.3">
      <c r="A32" s="16" t="s">
        <v>188</v>
      </c>
      <c r="B32" s="17" t="s">
        <v>418</v>
      </c>
      <c r="C32" s="18"/>
      <c r="D32" s="19" t="s">
        <v>84</v>
      </c>
      <c r="E32" s="1" t="s">
        <v>63</v>
      </c>
      <c r="F32" s="20" t="s">
        <v>190</v>
      </c>
      <c r="G32">
        <f t="shared" si="0"/>
        <v>125</v>
      </c>
      <c r="H32">
        <f t="shared" si="1"/>
        <v>125</v>
      </c>
      <c r="I32">
        <f t="shared" si="2"/>
        <v>187.5</v>
      </c>
      <c r="J32">
        <f t="shared" si="3"/>
        <v>271.74</v>
      </c>
      <c r="K32">
        <f t="shared" si="4"/>
        <v>48.913200000000003</v>
      </c>
      <c r="L32">
        <f t="shared" si="5"/>
        <v>165.41</v>
      </c>
      <c r="M32">
        <f t="shared" si="6"/>
        <v>312.5</v>
      </c>
    </row>
    <row r="33" spans="1:13" ht="15" customHeight="1" x14ac:dyDescent="0.3">
      <c r="A33" s="21" t="s">
        <v>188</v>
      </c>
      <c r="B33" s="22" t="s">
        <v>202</v>
      </c>
      <c r="C33" s="23"/>
      <c r="D33" s="24" t="s">
        <v>84</v>
      </c>
      <c r="E33" s="1" t="s">
        <v>63</v>
      </c>
      <c r="F33" s="20" t="s">
        <v>203</v>
      </c>
      <c r="G33">
        <f t="shared" si="0"/>
        <v>68.75</v>
      </c>
      <c r="H33">
        <f t="shared" si="1"/>
        <v>68.75</v>
      </c>
      <c r="I33">
        <f t="shared" si="2"/>
        <v>68.75</v>
      </c>
      <c r="J33">
        <f t="shared" si="3"/>
        <v>149.46</v>
      </c>
      <c r="K33">
        <f t="shared" si="4"/>
        <v>26.902799999999999</v>
      </c>
      <c r="L33">
        <f t="shared" si="5"/>
        <v>90.97</v>
      </c>
      <c r="M33">
        <f t="shared" si="6"/>
        <v>114.58</v>
      </c>
    </row>
    <row r="34" spans="1:13" ht="18" customHeight="1" x14ac:dyDescent="0.3">
      <c r="A34" s="25" t="s">
        <v>220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16" t="s">
        <v>221</v>
      </c>
      <c r="B35" s="17" t="s">
        <v>325</v>
      </c>
      <c r="C35" s="18"/>
      <c r="D35" s="19" t="s">
        <v>84</v>
      </c>
      <c r="E35" s="1" t="s">
        <v>63</v>
      </c>
      <c r="F35" s="20" t="s">
        <v>225</v>
      </c>
      <c r="G35">
        <f t="shared" si="0"/>
        <v>125</v>
      </c>
      <c r="H35">
        <f t="shared" si="1"/>
        <v>62.5</v>
      </c>
      <c r="I35">
        <f t="shared" si="2"/>
        <v>37.5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62.5</v>
      </c>
    </row>
    <row r="36" spans="1:13" ht="15" customHeight="1" x14ac:dyDescent="0.3">
      <c r="A36" s="21" t="s">
        <v>221</v>
      </c>
      <c r="B36" s="22" t="s">
        <v>326</v>
      </c>
      <c r="C36" s="23"/>
      <c r="D36" s="24" t="s">
        <v>84</v>
      </c>
      <c r="E36" s="1" t="s">
        <v>63</v>
      </c>
      <c r="F36" s="20" t="s">
        <v>227</v>
      </c>
      <c r="G36">
        <f t="shared" si="0"/>
        <v>50</v>
      </c>
      <c r="H36">
        <f t="shared" si="1"/>
        <v>62.5</v>
      </c>
      <c r="I36">
        <f t="shared" si="2"/>
        <v>37.5</v>
      </c>
      <c r="J36">
        <f t="shared" si="3"/>
        <v>135.87</v>
      </c>
      <c r="K36">
        <f t="shared" si="4"/>
        <v>24.456600000000002</v>
      </c>
      <c r="L36">
        <f t="shared" si="5"/>
        <v>55.53</v>
      </c>
      <c r="M36">
        <f t="shared" si="6"/>
        <v>62.5</v>
      </c>
    </row>
    <row r="37" spans="1:13" ht="15" customHeight="1" x14ac:dyDescent="0.3">
      <c r="A37" s="16" t="s">
        <v>221</v>
      </c>
      <c r="B37" s="17" t="s">
        <v>228</v>
      </c>
      <c r="C37" s="18"/>
      <c r="D37" s="19" t="s">
        <v>84</v>
      </c>
      <c r="E37" s="1" t="s">
        <v>63</v>
      </c>
      <c r="F37" s="20" t="s">
        <v>229</v>
      </c>
      <c r="G37">
        <f t="shared" si="0"/>
        <v>150</v>
      </c>
      <c r="H37">
        <f t="shared" si="1"/>
        <v>75</v>
      </c>
      <c r="I37">
        <f t="shared" si="2"/>
        <v>37.5</v>
      </c>
      <c r="J37">
        <f t="shared" si="3"/>
        <v>163.04</v>
      </c>
      <c r="K37">
        <f t="shared" si="4"/>
        <v>29.347199999999997</v>
      </c>
      <c r="L37">
        <f t="shared" si="5"/>
        <v>262.29000000000002</v>
      </c>
      <c r="M37">
        <f t="shared" si="6"/>
        <v>62.5</v>
      </c>
    </row>
    <row r="38" spans="1:13" ht="15" customHeight="1" x14ac:dyDescent="0.3">
      <c r="A38" s="21" t="s">
        <v>221</v>
      </c>
      <c r="B38" s="22" t="s">
        <v>240</v>
      </c>
      <c r="C38" s="23"/>
      <c r="D38" s="24" t="s">
        <v>84</v>
      </c>
      <c r="E38" s="1" t="s">
        <v>63</v>
      </c>
      <c r="F38" s="20" t="s">
        <v>241</v>
      </c>
      <c r="G38">
        <f t="shared" si="0"/>
        <v>7.5</v>
      </c>
      <c r="H38">
        <f t="shared" si="1"/>
        <v>15</v>
      </c>
      <c r="I38">
        <f t="shared" si="2"/>
        <v>15</v>
      </c>
      <c r="J38">
        <f t="shared" si="3"/>
        <v>32.61</v>
      </c>
      <c r="K38">
        <f t="shared" si="4"/>
        <v>5.8697999999999997</v>
      </c>
      <c r="L38">
        <f t="shared" si="5"/>
        <v>3.54</v>
      </c>
      <c r="M38">
        <f t="shared" si="6"/>
        <v>25</v>
      </c>
    </row>
    <row r="39" spans="1:13" ht="15" customHeight="1" x14ac:dyDescent="0.3">
      <c r="A39" s="16" t="s">
        <v>221</v>
      </c>
      <c r="B39" s="17" t="s">
        <v>391</v>
      </c>
      <c r="C39" s="18"/>
      <c r="D39" s="19" t="s">
        <v>84</v>
      </c>
      <c r="E39" s="1" t="s">
        <v>63</v>
      </c>
      <c r="F39" s="20" t="s">
        <v>249</v>
      </c>
      <c r="G39">
        <f t="shared" ref="G39:G64" si="7">IF($F39="","",IFERROR(VALUE(TRIM(LEFT($F39,FIND(":",$F39)-1)))*1.25,"N/A"))</f>
        <v>125</v>
      </c>
      <c r="H39">
        <f t="shared" ref="H39:H64" si="8">IF($F39="","",IFERROR(VALUE(TRIM(MID($F39,FIND(":",$F39)+1,FIND(":",$F39,FIND(":",$F39)+1)-FIND(":",$F39)-1)))*1.25,"N/A"))</f>
        <v>62.5</v>
      </c>
      <c r="I39">
        <f t="shared" ref="I39:I64" si="9">IF($F39="","",IFERROR(VALUE(TRIM(LEFT(MID($F39,FIND(":",$F39,FIND(":",$F39)+1)+1,LEN($F39)),FIND(" ",MID($F39,FIND(":",$F39,FIND(":",$F39)+1)+1,LEN($F39))&amp;" ")-1)))*1.25,"N/A"))</f>
        <v>62.5</v>
      </c>
      <c r="J39">
        <f t="shared" ref="J39:J64" si="10">IF(OR($F39="",$H39="N/A"),IF($F39="","","N/A"),ROUND($H39/0.46,2))</f>
        <v>135.87</v>
      </c>
      <c r="K39">
        <f t="shared" ref="K39:K64" si="11">IF(OR($F39="",$J39="N/A"),IF($F39="","","N/A"),$J39*0.18)</f>
        <v>24.456600000000002</v>
      </c>
      <c r="L39">
        <f t="shared" ref="L39:L64" si="12">IF(OR($F39="",$G39="N/A",$K39="N/A"),IF($F39="","","N/A"),ROUND(($G39-$K39)/0.46,2))</f>
        <v>218.57</v>
      </c>
      <c r="M39">
        <f t="shared" ref="M39:M64" si="13">IF(OR($F39="",$I39="N/A"),IF($F39="","","N/A"),ROUND($I39/0.6,2))</f>
        <v>104.17</v>
      </c>
    </row>
    <row r="40" spans="1:13" ht="15" customHeight="1" x14ac:dyDescent="0.3">
      <c r="A40" s="21" t="s">
        <v>221</v>
      </c>
      <c r="B40" s="22" t="s">
        <v>236</v>
      </c>
      <c r="C40" s="23"/>
      <c r="D40" s="24" t="s">
        <v>84</v>
      </c>
      <c r="E40" s="1" t="s">
        <v>63</v>
      </c>
      <c r="F40" s="20" t="s">
        <v>237</v>
      </c>
      <c r="G40">
        <f t="shared" si="7"/>
        <v>62.5</v>
      </c>
      <c r="H40">
        <f t="shared" si="8"/>
        <v>62.5</v>
      </c>
      <c r="I40">
        <f t="shared" si="9"/>
        <v>62.5</v>
      </c>
      <c r="J40">
        <f t="shared" si="10"/>
        <v>135.87</v>
      </c>
      <c r="K40">
        <f t="shared" si="11"/>
        <v>24.456600000000002</v>
      </c>
      <c r="L40">
        <f t="shared" si="12"/>
        <v>82.7</v>
      </c>
      <c r="M40">
        <f t="shared" si="13"/>
        <v>104.17</v>
      </c>
    </row>
    <row r="41" spans="1:13" ht="15" customHeight="1" x14ac:dyDescent="0.3">
      <c r="A41" s="16" t="s">
        <v>221</v>
      </c>
      <c r="B41" s="17" t="s">
        <v>333</v>
      </c>
      <c r="C41" s="18"/>
      <c r="D41" s="19" t="s">
        <v>84</v>
      </c>
      <c r="E41" s="1" t="s">
        <v>63</v>
      </c>
      <c r="F41" s="20" t="s">
        <v>334</v>
      </c>
      <c r="G41">
        <f t="shared" si="7"/>
        <v>50</v>
      </c>
      <c r="H41">
        <f t="shared" si="8"/>
        <v>75</v>
      </c>
      <c r="I41">
        <f t="shared" si="9"/>
        <v>150</v>
      </c>
      <c r="J41">
        <f t="shared" si="10"/>
        <v>163.04</v>
      </c>
      <c r="K41">
        <f t="shared" si="11"/>
        <v>29.347199999999997</v>
      </c>
      <c r="L41">
        <f t="shared" si="12"/>
        <v>44.9</v>
      </c>
      <c r="M41">
        <f t="shared" si="13"/>
        <v>250</v>
      </c>
    </row>
    <row r="42" spans="1:13" ht="15" customHeight="1" x14ac:dyDescent="0.3">
      <c r="A42" s="21" t="s">
        <v>221</v>
      </c>
      <c r="B42" s="22" t="s">
        <v>335</v>
      </c>
      <c r="C42" s="23"/>
      <c r="D42" s="24" t="s">
        <v>84</v>
      </c>
      <c r="E42" s="1" t="s">
        <v>63</v>
      </c>
      <c r="F42" s="20" t="s">
        <v>336</v>
      </c>
      <c r="G42">
        <f t="shared" si="7"/>
        <v>112.5</v>
      </c>
      <c r="H42">
        <f t="shared" si="8"/>
        <v>75</v>
      </c>
      <c r="I42">
        <f t="shared" si="9"/>
        <v>300</v>
      </c>
      <c r="J42">
        <f t="shared" si="10"/>
        <v>163.04</v>
      </c>
      <c r="K42">
        <f t="shared" si="11"/>
        <v>29.347199999999997</v>
      </c>
      <c r="L42">
        <f t="shared" si="12"/>
        <v>180.77</v>
      </c>
      <c r="M42">
        <f t="shared" si="13"/>
        <v>500</v>
      </c>
    </row>
    <row r="43" spans="1:13" ht="15" customHeight="1" x14ac:dyDescent="0.3">
      <c r="A43" s="16" t="s">
        <v>221</v>
      </c>
      <c r="B43" s="17" t="s">
        <v>238</v>
      </c>
      <c r="C43" s="18"/>
      <c r="D43" s="19" t="s">
        <v>84</v>
      </c>
      <c r="E43" s="1" t="s">
        <v>63</v>
      </c>
      <c r="F43" s="20" t="s">
        <v>239</v>
      </c>
      <c r="G43">
        <f t="shared" si="7"/>
        <v>150</v>
      </c>
      <c r="H43">
        <f t="shared" si="8"/>
        <v>75</v>
      </c>
      <c r="I43">
        <f t="shared" si="9"/>
        <v>75</v>
      </c>
      <c r="J43">
        <f t="shared" si="10"/>
        <v>163.04</v>
      </c>
      <c r="K43">
        <f t="shared" si="11"/>
        <v>29.347199999999997</v>
      </c>
      <c r="L43">
        <f t="shared" si="12"/>
        <v>262.29000000000002</v>
      </c>
      <c r="M43">
        <f t="shared" si="13"/>
        <v>125</v>
      </c>
    </row>
    <row r="44" spans="1:13" ht="15" customHeight="1" x14ac:dyDescent="0.3">
      <c r="A44" s="21" t="s">
        <v>221</v>
      </c>
      <c r="B44" s="22" t="s">
        <v>245</v>
      </c>
      <c r="C44" s="23"/>
      <c r="D44" s="24" t="s">
        <v>84</v>
      </c>
      <c r="E44" s="1" t="s">
        <v>63</v>
      </c>
      <c r="F44" s="20" t="s">
        <v>241</v>
      </c>
      <c r="G44">
        <f t="shared" si="7"/>
        <v>7.5</v>
      </c>
      <c r="H44">
        <f t="shared" si="8"/>
        <v>15</v>
      </c>
      <c r="I44">
        <f t="shared" si="9"/>
        <v>15</v>
      </c>
      <c r="J44">
        <f t="shared" si="10"/>
        <v>32.61</v>
      </c>
      <c r="K44">
        <f t="shared" si="11"/>
        <v>5.8697999999999997</v>
      </c>
      <c r="L44">
        <f t="shared" si="12"/>
        <v>3.54</v>
      </c>
      <c r="M44">
        <f t="shared" si="13"/>
        <v>25</v>
      </c>
    </row>
    <row r="45" spans="1:13" ht="15" customHeight="1" x14ac:dyDescent="0.3">
      <c r="A45" s="16" t="s">
        <v>221</v>
      </c>
      <c r="B45" s="17" t="s">
        <v>244</v>
      </c>
      <c r="C45" s="18"/>
      <c r="D45" s="19" t="s">
        <v>84</v>
      </c>
      <c r="E45" s="1" t="s">
        <v>63</v>
      </c>
      <c r="F45" s="20" t="s">
        <v>241</v>
      </c>
      <c r="G45">
        <f t="shared" si="7"/>
        <v>7.5</v>
      </c>
      <c r="H45">
        <f t="shared" si="8"/>
        <v>15</v>
      </c>
      <c r="I45">
        <f t="shared" si="9"/>
        <v>15</v>
      </c>
      <c r="J45">
        <f t="shared" si="10"/>
        <v>32.61</v>
      </c>
      <c r="K45">
        <f t="shared" si="11"/>
        <v>5.8697999999999997</v>
      </c>
      <c r="L45">
        <f t="shared" si="12"/>
        <v>3.54</v>
      </c>
      <c r="M45">
        <f t="shared" si="13"/>
        <v>25</v>
      </c>
    </row>
    <row r="46" spans="1:13" ht="15" customHeight="1" x14ac:dyDescent="0.3">
      <c r="A46" s="21" t="s">
        <v>221</v>
      </c>
      <c r="B46" s="22" t="s">
        <v>250</v>
      </c>
      <c r="C46" s="23"/>
      <c r="D46" s="24" t="s">
        <v>84</v>
      </c>
      <c r="E46" s="1" t="s">
        <v>63</v>
      </c>
      <c r="F46" s="20" t="s">
        <v>251</v>
      </c>
      <c r="G46">
        <f t="shared" si="7"/>
        <v>75</v>
      </c>
      <c r="H46">
        <f t="shared" si="8"/>
        <v>75</v>
      </c>
      <c r="I46">
        <f t="shared" si="9"/>
        <v>75</v>
      </c>
      <c r="J46">
        <f t="shared" si="10"/>
        <v>163.04</v>
      </c>
      <c r="K46">
        <f t="shared" si="11"/>
        <v>29.347199999999997</v>
      </c>
      <c r="L46">
        <f t="shared" si="12"/>
        <v>99.25</v>
      </c>
      <c r="M46">
        <f t="shared" si="13"/>
        <v>125</v>
      </c>
    </row>
    <row r="47" spans="1:13" ht="18" customHeight="1" x14ac:dyDescent="0.3">
      <c r="A47" s="25" t="s">
        <v>252</v>
      </c>
      <c r="B47" s="25"/>
      <c r="C47" s="25"/>
      <c r="G47" t="str">
        <f t="shared" si="7"/>
        <v/>
      </c>
      <c r="H47" t="str">
        <f t="shared" si="8"/>
        <v/>
      </c>
      <c r="I47" t="str">
        <f t="shared" si="9"/>
        <v/>
      </c>
      <c r="J47" t="str">
        <f t="shared" si="10"/>
        <v/>
      </c>
      <c r="K47" t="str">
        <f t="shared" si="11"/>
        <v/>
      </c>
      <c r="L47" t="str">
        <f t="shared" si="12"/>
        <v/>
      </c>
      <c r="M47" t="str">
        <f t="shared" si="13"/>
        <v/>
      </c>
    </row>
    <row r="48" spans="1:13" ht="15" customHeight="1" x14ac:dyDescent="0.3">
      <c r="A48" s="16" t="s">
        <v>253</v>
      </c>
      <c r="B48" s="17" t="s">
        <v>259</v>
      </c>
      <c r="C48" s="18"/>
      <c r="D48" s="19" t="s">
        <v>84</v>
      </c>
      <c r="E48" s="1" t="s">
        <v>63</v>
      </c>
      <c r="F48" s="20" t="s">
        <v>260</v>
      </c>
      <c r="G48">
        <f t="shared" si="7"/>
        <v>125</v>
      </c>
      <c r="H48">
        <f t="shared" si="8"/>
        <v>50</v>
      </c>
      <c r="I48">
        <f t="shared" si="9"/>
        <v>175</v>
      </c>
      <c r="J48">
        <f t="shared" si="10"/>
        <v>108.7</v>
      </c>
      <c r="K48">
        <f t="shared" si="11"/>
        <v>19.565999999999999</v>
      </c>
      <c r="L48">
        <f t="shared" si="12"/>
        <v>229.2</v>
      </c>
      <c r="M48">
        <f t="shared" si="13"/>
        <v>291.67</v>
      </c>
    </row>
    <row r="49" spans="1:13" ht="15" customHeight="1" x14ac:dyDescent="0.3">
      <c r="A49" s="21" t="s">
        <v>253</v>
      </c>
      <c r="B49" s="22" t="s">
        <v>323</v>
      </c>
      <c r="C49" s="23"/>
      <c r="D49" s="24" t="s">
        <v>84</v>
      </c>
      <c r="E49" s="1" t="s">
        <v>63</v>
      </c>
      <c r="F49" s="20" t="s">
        <v>324</v>
      </c>
      <c r="G49">
        <f t="shared" si="7"/>
        <v>93.75</v>
      </c>
      <c r="H49">
        <f t="shared" si="8"/>
        <v>62.5</v>
      </c>
      <c r="I49">
        <f t="shared" si="9"/>
        <v>62.5</v>
      </c>
      <c r="J49">
        <f t="shared" si="10"/>
        <v>135.87</v>
      </c>
      <c r="K49">
        <f t="shared" si="11"/>
        <v>24.456600000000002</v>
      </c>
      <c r="L49">
        <f t="shared" si="12"/>
        <v>150.63999999999999</v>
      </c>
      <c r="M49">
        <f t="shared" si="13"/>
        <v>104.17</v>
      </c>
    </row>
    <row r="50" spans="1:13" ht="15" customHeight="1" x14ac:dyDescent="0.3">
      <c r="A50" s="16" t="s">
        <v>253</v>
      </c>
      <c r="B50" s="17" t="s">
        <v>255</v>
      </c>
      <c r="C50" s="18"/>
      <c r="D50" s="19" t="s">
        <v>84</v>
      </c>
      <c r="E50" s="1" t="s">
        <v>63</v>
      </c>
      <c r="F50" s="20" t="s">
        <v>256</v>
      </c>
      <c r="G50">
        <f t="shared" si="7"/>
        <v>31.25</v>
      </c>
      <c r="H50">
        <f t="shared" si="8"/>
        <v>75</v>
      </c>
      <c r="I50">
        <f t="shared" si="9"/>
        <v>22.5</v>
      </c>
      <c r="J50">
        <f t="shared" si="10"/>
        <v>163.04</v>
      </c>
      <c r="K50">
        <f t="shared" si="11"/>
        <v>29.347199999999997</v>
      </c>
      <c r="L50">
        <f t="shared" si="12"/>
        <v>4.1399999999999997</v>
      </c>
      <c r="M50">
        <f t="shared" si="13"/>
        <v>37.5</v>
      </c>
    </row>
    <row r="51" spans="1:13" ht="15" customHeight="1" x14ac:dyDescent="0.3">
      <c r="A51" s="21" t="s">
        <v>253</v>
      </c>
      <c r="B51" s="22" t="s">
        <v>337</v>
      </c>
      <c r="C51" s="23"/>
      <c r="D51" s="24" t="s">
        <v>84</v>
      </c>
      <c r="E51" s="1" t="s">
        <v>63</v>
      </c>
      <c r="F51" s="20" t="s">
        <v>338</v>
      </c>
      <c r="G51">
        <f t="shared" si="7"/>
        <v>93.75</v>
      </c>
      <c r="H51">
        <f t="shared" si="8"/>
        <v>93.75</v>
      </c>
      <c r="I51">
        <f t="shared" si="9"/>
        <v>187.5</v>
      </c>
      <c r="J51">
        <f t="shared" si="10"/>
        <v>203.8</v>
      </c>
      <c r="K51">
        <f t="shared" si="11"/>
        <v>36.683999999999997</v>
      </c>
      <c r="L51">
        <f t="shared" si="12"/>
        <v>124.06</v>
      </c>
      <c r="M51">
        <f t="shared" si="13"/>
        <v>312.5</v>
      </c>
    </row>
    <row r="52" spans="1:13" ht="15" customHeight="1" x14ac:dyDescent="0.3">
      <c r="A52" s="16" t="s">
        <v>253</v>
      </c>
      <c r="B52" s="17" t="s">
        <v>340</v>
      </c>
      <c r="C52" s="18"/>
      <c r="D52" s="19" t="s">
        <v>84</v>
      </c>
      <c r="E52" s="1" t="s">
        <v>63</v>
      </c>
      <c r="F52" s="20" t="s">
        <v>341</v>
      </c>
      <c r="G52">
        <f t="shared" si="7"/>
        <v>250</v>
      </c>
      <c r="H52">
        <f t="shared" si="8"/>
        <v>225</v>
      </c>
      <c r="I52">
        <f t="shared" si="9"/>
        <v>312.5</v>
      </c>
      <c r="J52">
        <f t="shared" si="10"/>
        <v>489.13</v>
      </c>
      <c r="K52">
        <f t="shared" si="11"/>
        <v>88.043399999999991</v>
      </c>
      <c r="L52">
        <f t="shared" si="12"/>
        <v>352.08</v>
      </c>
      <c r="M52">
        <f t="shared" si="13"/>
        <v>520.83000000000004</v>
      </c>
    </row>
    <row r="53" spans="1:13" ht="15" customHeight="1" x14ac:dyDescent="0.3">
      <c r="A53" s="21" t="s">
        <v>253</v>
      </c>
      <c r="B53" s="22" t="s">
        <v>419</v>
      </c>
      <c r="C53" s="23"/>
      <c r="D53" s="24" t="s">
        <v>84</v>
      </c>
      <c r="E53" s="1" t="s">
        <v>63</v>
      </c>
      <c r="F53" s="20" t="s">
        <v>420</v>
      </c>
      <c r="G53">
        <f t="shared" si="7"/>
        <v>375</v>
      </c>
      <c r="H53">
        <f t="shared" si="8"/>
        <v>375</v>
      </c>
      <c r="I53">
        <f t="shared" si="9"/>
        <v>1200</v>
      </c>
      <c r="J53">
        <f t="shared" si="10"/>
        <v>815.22</v>
      </c>
      <c r="K53">
        <f t="shared" si="11"/>
        <v>146.7396</v>
      </c>
      <c r="L53">
        <f t="shared" si="12"/>
        <v>496.22</v>
      </c>
      <c r="M53">
        <f t="shared" si="13"/>
        <v>2000</v>
      </c>
    </row>
    <row r="54" spans="1:13" ht="15" customHeight="1" x14ac:dyDescent="0.3">
      <c r="A54" s="16" t="s">
        <v>253</v>
      </c>
      <c r="B54" s="17" t="s">
        <v>421</v>
      </c>
      <c r="C54" s="18"/>
      <c r="D54" s="19" t="s">
        <v>84</v>
      </c>
      <c r="E54" s="1" t="s">
        <v>63</v>
      </c>
      <c r="F54" s="20" t="s">
        <v>420</v>
      </c>
      <c r="G54">
        <f t="shared" si="7"/>
        <v>375</v>
      </c>
      <c r="H54">
        <f t="shared" si="8"/>
        <v>375</v>
      </c>
      <c r="I54">
        <f t="shared" si="9"/>
        <v>1200</v>
      </c>
      <c r="J54">
        <f t="shared" si="10"/>
        <v>815.22</v>
      </c>
      <c r="K54">
        <f t="shared" si="11"/>
        <v>146.7396</v>
      </c>
      <c r="L54">
        <f t="shared" si="12"/>
        <v>496.22</v>
      </c>
      <c r="M54">
        <f t="shared" si="13"/>
        <v>2000</v>
      </c>
    </row>
    <row r="55" spans="1:13" ht="15" customHeight="1" x14ac:dyDescent="0.3">
      <c r="A55" s="21" t="s">
        <v>253</v>
      </c>
      <c r="B55" s="22" t="s">
        <v>261</v>
      </c>
      <c r="C55" s="23"/>
      <c r="D55" s="24" t="s">
        <v>84</v>
      </c>
      <c r="E55" s="1" t="s">
        <v>63</v>
      </c>
      <c r="F55" s="20" t="s">
        <v>262</v>
      </c>
      <c r="G55">
        <f t="shared" si="7"/>
        <v>187.5</v>
      </c>
      <c r="H55">
        <f t="shared" si="8"/>
        <v>125</v>
      </c>
      <c r="I55">
        <f t="shared" si="9"/>
        <v>37.5</v>
      </c>
      <c r="J55">
        <f t="shared" si="10"/>
        <v>271.74</v>
      </c>
      <c r="K55">
        <f t="shared" si="11"/>
        <v>48.913200000000003</v>
      </c>
      <c r="L55">
        <f t="shared" si="12"/>
        <v>301.27999999999997</v>
      </c>
      <c r="M55">
        <f t="shared" si="13"/>
        <v>62.5</v>
      </c>
    </row>
    <row r="56" spans="1:13" ht="18" customHeight="1" x14ac:dyDescent="0.3">
      <c r="A56" s="25" t="s">
        <v>263</v>
      </c>
      <c r="B56" s="25"/>
      <c r="C56" s="25"/>
      <c r="G56" t="str">
        <f t="shared" si="7"/>
        <v/>
      </c>
      <c r="H56" t="str">
        <f t="shared" si="8"/>
        <v/>
      </c>
      <c r="I56" t="str">
        <f t="shared" si="9"/>
        <v/>
      </c>
      <c r="J56" t="str">
        <f t="shared" si="10"/>
        <v/>
      </c>
      <c r="K56" t="str">
        <f t="shared" si="11"/>
        <v/>
      </c>
      <c r="L56" t="str">
        <f t="shared" si="12"/>
        <v/>
      </c>
      <c r="M56" t="str">
        <f t="shared" si="13"/>
        <v/>
      </c>
    </row>
    <row r="57" spans="1:13" ht="15" customHeight="1" x14ac:dyDescent="0.3">
      <c r="A57" s="16" t="s">
        <v>264</v>
      </c>
      <c r="B57" s="17" t="s">
        <v>206</v>
      </c>
      <c r="C57" s="18"/>
      <c r="D57" s="19" t="s">
        <v>84</v>
      </c>
      <c r="E57" s="1" t="s">
        <v>63</v>
      </c>
      <c r="F57" s="20" t="s">
        <v>207</v>
      </c>
      <c r="G57">
        <f t="shared" si="7"/>
        <v>700</v>
      </c>
      <c r="H57">
        <f t="shared" si="8"/>
        <v>400</v>
      </c>
      <c r="I57">
        <f t="shared" si="9"/>
        <v>1500</v>
      </c>
      <c r="J57">
        <f t="shared" si="10"/>
        <v>869.57</v>
      </c>
      <c r="K57">
        <f t="shared" si="11"/>
        <v>156.52260000000001</v>
      </c>
      <c r="L57">
        <f t="shared" si="12"/>
        <v>1181.47</v>
      </c>
      <c r="M57">
        <f t="shared" si="13"/>
        <v>2500</v>
      </c>
    </row>
    <row r="58" spans="1:13" ht="15" customHeight="1" x14ac:dyDescent="0.3">
      <c r="A58" s="21" t="s">
        <v>264</v>
      </c>
      <c r="B58" s="22" t="s">
        <v>212</v>
      </c>
      <c r="C58" s="23"/>
      <c r="D58" s="24" t="s">
        <v>84</v>
      </c>
      <c r="E58" s="1" t="s">
        <v>63</v>
      </c>
      <c r="F58" s="20" t="s">
        <v>213</v>
      </c>
      <c r="G58">
        <f t="shared" si="7"/>
        <v>625</v>
      </c>
      <c r="H58">
        <f t="shared" si="8"/>
        <v>250</v>
      </c>
      <c r="I58">
        <f t="shared" si="9"/>
        <v>375</v>
      </c>
      <c r="J58">
        <f t="shared" si="10"/>
        <v>543.48</v>
      </c>
      <c r="K58">
        <f t="shared" si="11"/>
        <v>97.826400000000007</v>
      </c>
      <c r="L58">
        <f t="shared" si="12"/>
        <v>1146.03</v>
      </c>
      <c r="M58">
        <f t="shared" si="13"/>
        <v>625</v>
      </c>
    </row>
    <row r="59" spans="1:13" ht="15" customHeight="1" x14ac:dyDescent="0.3">
      <c r="A59" s="16" t="s">
        <v>264</v>
      </c>
      <c r="B59" s="17" t="s">
        <v>265</v>
      </c>
      <c r="C59" s="18"/>
      <c r="D59" s="19" t="s">
        <v>84</v>
      </c>
      <c r="E59" s="1" t="s">
        <v>63</v>
      </c>
      <c r="F59" s="20" t="s">
        <v>266</v>
      </c>
      <c r="G59">
        <f t="shared" si="7"/>
        <v>125</v>
      </c>
      <c r="H59">
        <f t="shared" si="8"/>
        <v>50</v>
      </c>
      <c r="I59">
        <f t="shared" si="9"/>
        <v>187.5</v>
      </c>
      <c r="J59">
        <f t="shared" si="10"/>
        <v>108.7</v>
      </c>
      <c r="K59">
        <f t="shared" si="11"/>
        <v>19.565999999999999</v>
      </c>
      <c r="L59">
        <f t="shared" si="12"/>
        <v>229.2</v>
      </c>
      <c r="M59">
        <f t="shared" si="13"/>
        <v>312.5</v>
      </c>
    </row>
    <row r="60" spans="1:13" ht="15" customHeight="1" x14ac:dyDescent="0.3">
      <c r="A60" s="21" t="s">
        <v>264</v>
      </c>
      <c r="B60" s="22" t="s">
        <v>267</v>
      </c>
      <c r="C60" s="23"/>
      <c r="D60" s="24" t="s">
        <v>84</v>
      </c>
      <c r="E60" s="1" t="s">
        <v>63</v>
      </c>
      <c r="F60" s="20" t="s">
        <v>268</v>
      </c>
      <c r="G60">
        <f t="shared" si="7"/>
        <v>15</v>
      </c>
      <c r="H60">
        <f t="shared" si="8"/>
        <v>7.5</v>
      </c>
      <c r="I60">
        <f t="shared" si="9"/>
        <v>7.5</v>
      </c>
      <c r="J60">
        <f t="shared" si="10"/>
        <v>16.3</v>
      </c>
      <c r="K60">
        <f t="shared" si="11"/>
        <v>2.9340000000000002</v>
      </c>
      <c r="L60">
        <f t="shared" si="12"/>
        <v>26.23</v>
      </c>
      <c r="M60">
        <f t="shared" si="13"/>
        <v>12.5</v>
      </c>
    </row>
    <row r="61" spans="1:13" ht="18" customHeight="1" x14ac:dyDescent="0.3">
      <c r="A61" s="25" t="s">
        <v>269</v>
      </c>
      <c r="B61" s="25"/>
      <c r="C61" s="25"/>
      <c r="G61" t="str">
        <f t="shared" si="7"/>
        <v/>
      </c>
      <c r="H61" t="str">
        <f t="shared" si="8"/>
        <v/>
      </c>
      <c r="I61" t="str">
        <f t="shared" si="9"/>
        <v/>
      </c>
      <c r="J61" t="str">
        <f t="shared" si="10"/>
        <v/>
      </c>
      <c r="K61" t="str">
        <f t="shared" si="11"/>
        <v/>
      </c>
      <c r="L61" t="str">
        <f t="shared" si="12"/>
        <v/>
      </c>
      <c r="M61" t="str">
        <f t="shared" si="13"/>
        <v/>
      </c>
    </row>
    <row r="62" spans="1:13" ht="15" customHeight="1" x14ac:dyDescent="0.3">
      <c r="A62" s="16" t="s">
        <v>270</v>
      </c>
      <c r="B62" s="17" t="s">
        <v>272</v>
      </c>
      <c r="C62" s="18"/>
      <c r="D62" s="19" t="s">
        <v>84</v>
      </c>
      <c r="E62" s="1" t="s">
        <v>63</v>
      </c>
      <c r="F62" s="20" t="s">
        <v>273</v>
      </c>
      <c r="G62">
        <f t="shared" si="7"/>
        <v>112.5</v>
      </c>
      <c r="H62">
        <f t="shared" si="8"/>
        <v>112.5</v>
      </c>
      <c r="I62">
        <f t="shared" si="9"/>
        <v>93.75</v>
      </c>
      <c r="J62">
        <f t="shared" si="10"/>
        <v>244.57</v>
      </c>
      <c r="K62">
        <f t="shared" si="11"/>
        <v>44.022599999999997</v>
      </c>
      <c r="L62">
        <f t="shared" si="12"/>
        <v>148.86000000000001</v>
      </c>
      <c r="M62">
        <f t="shared" si="13"/>
        <v>156.25</v>
      </c>
    </row>
    <row r="63" spans="1:13" ht="15" customHeight="1" x14ac:dyDescent="0.3">
      <c r="A63" s="21" t="s">
        <v>270</v>
      </c>
      <c r="B63" s="22" t="s">
        <v>276</v>
      </c>
      <c r="C63" s="23"/>
      <c r="D63" s="24" t="s">
        <v>84</v>
      </c>
      <c r="E63" s="1" t="s">
        <v>63</v>
      </c>
      <c r="F63" s="20" t="s">
        <v>277</v>
      </c>
      <c r="G63">
        <f t="shared" si="7"/>
        <v>156.25</v>
      </c>
      <c r="H63">
        <f t="shared" si="8"/>
        <v>150</v>
      </c>
      <c r="I63">
        <f t="shared" si="9"/>
        <v>31.25</v>
      </c>
      <c r="J63">
        <f t="shared" si="10"/>
        <v>326.08999999999997</v>
      </c>
      <c r="K63">
        <f t="shared" si="11"/>
        <v>58.69619999999999</v>
      </c>
      <c r="L63">
        <f t="shared" si="12"/>
        <v>212.07</v>
      </c>
      <c r="M63">
        <f t="shared" si="13"/>
        <v>52.08</v>
      </c>
    </row>
    <row r="64" spans="1:13" ht="15" customHeight="1" x14ac:dyDescent="0.3">
      <c r="A64" s="16" t="s">
        <v>270</v>
      </c>
      <c r="B64" s="17" t="s">
        <v>271</v>
      </c>
      <c r="C64" s="18"/>
      <c r="D64" s="19" t="s">
        <v>84</v>
      </c>
      <c r="E64" s="1" t="s">
        <v>63</v>
      </c>
      <c r="F64" s="20" t="s">
        <v>241</v>
      </c>
      <c r="G64">
        <f t="shared" si="7"/>
        <v>7.5</v>
      </c>
      <c r="H64">
        <f t="shared" si="8"/>
        <v>15</v>
      </c>
      <c r="I64">
        <f t="shared" si="9"/>
        <v>15</v>
      </c>
      <c r="J64">
        <f t="shared" si="10"/>
        <v>32.61</v>
      </c>
      <c r="K64">
        <f t="shared" si="11"/>
        <v>5.8697999999999997</v>
      </c>
      <c r="L64">
        <f t="shared" si="12"/>
        <v>3.54</v>
      </c>
      <c r="M64">
        <f t="shared" si="13"/>
        <v>25</v>
      </c>
    </row>
  </sheetData>
  <mergeCells count="13">
    <mergeCell ref="A1:C1"/>
    <mergeCell ref="A2:C2"/>
    <mergeCell ref="A3:C3"/>
    <mergeCell ref="A4:C4"/>
    <mergeCell ref="A7:C7"/>
    <mergeCell ref="A47:C47"/>
    <mergeCell ref="A56:C56"/>
    <mergeCell ref="A61:C61"/>
    <mergeCell ref="A11:C11"/>
    <mergeCell ref="A16:C16"/>
    <mergeCell ref="A19:C19"/>
    <mergeCell ref="A22:C22"/>
    <mergeCell ref="A34:C3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1C784"/>
  </sheetPr>
  <dimension ref="A1:M79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422</v>
      </c>
      <c r="B1" s="26"/>
      <c r="C1" s="26"/>
    </row>
    <row r="2" spans="1:13" ht="19.5" customHeight="1" x14ac:dyDescent="0.3">
      <c r="A2" s="27" t="s">
        <v>423</v>
      </c>
      <c r="B2" s="27"/>
      <c r="C2" s="27"/>
    </row>
    <row r="3" spans="1:13" ht="19.5" customHeight="1" x14ac:dyDescent="0.3">
      <c r="A3" s="27" t="s">
        <v>424</v>
      </c>
      <c r="B3" s="27"/>
      <c r="C3" s="27"/>
    </row>
    <row r="4" spans="1:13" ht="19.5" customHeight="1" x14ac:dyDescent="0.3">
      <c r="A4" s="27" t="s">
        <v>425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66</v>
      </c>
      <c r="E8" s="1" t="s">
        <v>65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66</v>
      </c>
      <c r="E9" s="1" t="s">
        <v>65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148</v>
      </c>
      <c r="C10" s="18"/>
      <c r="D10" s="19" t="s">
        <v>66</v>
      </c>
      <c r="E10" s="1" t="s">
        <v>65</v>
      </c>
      <c r="F10" s="20" t="s">
        <v>149</v>
      </c>
      <c r="G10">
        <f t="shared" si="0"/>
        <v>50</v>
      </c>
      <c r="H10">
        <f t="shared" si="1"/>
        <v>25</v>
      </c>
      <c r="I10">
        <f t="shared" si="2"/>
        <v>25</v>
      </c>
      <c r="J10">
        <f t="shared" si="3"/>
        <v>54.35</v>
      </c>
      <c r="K10">
        <f t="shared" si="4"/>
        <v>9.7829999999999995</v>
      </c>
      <c r="L10">
        <f t="shared" si="5"/>
        <v>87.43</v>
      </c>
      <c r="M10">
        <f t="shared" si="6"/>
        <v>41.67</v>
      </c>
    </row>
    <row r="11" spans="1:13" ht="15" customHeight="1" x14ac:dyDescent="0.3">
      <c r="A11" s="21" t="s">
        <v>141</v>
      </c>
      <c r="B11" s="22" t="s">
        <v>376</v>
      </c>
      <c r="C11" s="23"/>
      <c r="D11" s="24" t="s">
        <v>66</v>
      </c>
      <c r="E11" s="1" t="s">
        <v>65</v>
      </c>
      <c r="F11" s="20" t="s">
        <v>147</v>
      </c>
      <c r="G11">
        <f t="shared" si="0"/>
        <v>100</v>
      </c>
      <c r="H11">
        <f t="shared" si="1"/>
        <v>50</v>
      </c>
      <c r="I11">
        <f t="shared" si="2"/>
        <v>50</v>
      </c>
      <c r="J11">
        <f t="shared" si="3"/>
        <v>108.7</v>
      </c>
      <c r="K11">
        <f t="shared" si="4"/>
        <v>19.565999999999999</v>
      </c>
      <c r="L11">
        <f t="shared" si="5"/>
        <v>174.86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144</v>
      </c>
      <c r="C12" s="18"/>
      <c r="D12" s="19" t="s">
        <v>66</v>
      </c>
      <c r="E12" s="1" t="s">
        <v>65</v>
      </c>
      <c r="F12" s="20" t="s">
        <v>145</v>
      </c>
      <c r="G12">
        <f t="shared" si="0"/>
        <v>187.5</v>
      </c>
      <c r="H12">
        <f t="shared" si="1"/>
        <v>93.75</v>
      </c>
      <c r="I12">
        <f t="shared" si="2"/>
        <v>93.75</v>
      </c>
      <c r="J12">
        <f t="shared" si="3"/>
        <v>203.8</v>
      </c>
      <c r="K12">
        <f t="shared" si="4"/>
        <v>36.683999999999997</v>
      </c>
      <c r="L12">
        <f t="shared" si="5"/>
        <v>327.86</v>
      </c>
      <c r="M12">
        <f t="shared" si="6"/>
        <v>156.25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426</v>
      </c>
      <c r="C14" s="23"/>
      <c r="D14" s="24" t="s">
        <v>66</v>
      </c>
      <c r="E14" s="1" t="s">
        <v>65</v>
      </c>
      <c r="F14" s="20" t="s">
        <v>170</v>
      </c>
      <c r="G14">
        <f t="shared" si="0"/>
        <v>25</v>
      </c>
      <c r="H14">
        <f t="shared" si="1"/>
        <v>50</v>
      </c>
      <c r="I14">
        <f t="shared" si="2"/>
        <v>50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83.33</v>
      </c>
    </row>
    <row r="15" spans="1:13" ht="15" customHeight="1" x14ac:dyDescent="0.3">
      <c r="A15" s="16" t="s">
        <v>156</v>
      </c>
      <c r="B15" s="17" t="s">
        <v>378</v>
      </c>
      <c r="C15" s="18"/>
      <c r="D15" s="19" t="s">
        <v>66</v>
      </c>
      <c r="E15" s="1" t="s">
        <v>65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427</v>
      </c>
      <c r="C16" s="23"/>
      <c r="D16" s="24" t="s">
        <v>66</v>
      </c>
      <c r="E16" s="1" t="s">
        <v>65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379</v>
      </c>
      <c r="C17" s="18"/>
      <c r="D17" s="19" t="s">
        <v>66</v>
      </c>
      <c r="E17" s="1" t="s">
        <v>65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380</v>
      </c>
      <c r="C18" s="23"/>
      <c r="D18" s="24" t="s">
        <v>66</v>
      </c>
      <c r="E18" s="1" t="s">
        <v>65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165</v>
      </c>
      <c r="C19" s="18"/>
      <c r="D19" s="19" t="s">
        <v>66</v>
      </c>
      <c r="E19" s="1" t="s">
        <v>65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8" customHeight="1" x14ac:dyDescent="0.3">
      <c r="A20" s="25" t="s">
        <v>167</v>
      </c>
      <c r="B20" s="25"/>
      <c r="C20" s="25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5"/>
        <v/>
      </c>
      <c r="M20" t="str">
        <f t="shared" si="6"/>
        <v/>
      </c>
    </row>
    <row r="21" spans="1:13" ht="15" customHeight="1" x14ac:dyDescent="0.3">
      <c r="A21" s="21" t="s">
        <v>168</v>
      </c>
      <c r="B21" s="22" t="s">
        <v>169</v>
      </c>
      <c r="C21" s="23"/>
      <c r="D21" s="24" t="s">
        <v>66</v>
      </c>
      <c r="E21" s="1" t="s">
        <v>65</v>
      </c>
      <c r="F21" s="20" t="s">
        <v>170</v>
      </c>
      <c r="G21">
        <f t="shared" si="0"/>
        <v>25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171</v>
      </c>
      <c r="C22" s="18"/>
      <c r="D22" s="19" t="s">
        <v>66</v>
      </c>
      <c r="E22" s="1" t="s">
        <v>65</v>
      </c>
      <c r="F22" s="20" t="s">
        <v>147</v>
      </c>
      <c r="G22">
        <f t="shared" si="0"/>
        <v>100</v>
      </c>
      <c r="H22">
        <f t="shared" si="1"/>
        <v>50</v>
      </c>
      <c r="I22">
        <f t="shared" si="2"/>
        <v>50</v>
      </c>
      <c r="J22">
        <f t="shared" si="3"/>
        <v>108.7</v>
      </c>
      <c r="K22">
        <f t="shared" si="4"/>
        <v>19.565999999999999</v>
      </c>
      <c r="L22">
        <f t="shared" si="5"/>
        <v>174.86</v>
      </c>
      <c r="M22">
        <f t="shared" si="6"/>
        <v>83.33</v>
      </c>
    </row>
    <row r="23" spans="1:13" ht="15" customHeight="1" x14ac:dyDescent="0.3">
      <c r="A23" s="21" t="s">
        <v>168</v>
      </c>
      <c r="B23" s="22" t="s">
        <v>358</v>
      </c>
      <c r="C23" s="23"/>
      <c r="D23" s="24" t="s">
        <v>66</v>
      </c>
      <c r="E23" s="1" t="s">
        <v>65</v>
      </c>
      <c r="F23" s="20" t="s">
        <v>147</v>
      </c>
      <c r="G23">
        <f t="shared" si="0"/>
        <v>100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174.86</v>
      </c>
      <c r="M23">
        <f t="shared" si="6"/>
        <v>83.33</v>
      </c>
    </row>
    <row r="24" spans="1:13" ht="15" customHeight="1" x14ac:dyDescent="0.3">
      <c r="A24" s="16" t="s">
        <v>168</v>
      </c>
      <c r="B24" s="17" t="s">
        <v>294</v>
      </c>
      <c r="C24" s="18"/>
      <c r="D24" s="19" t="s">
        <v>66</v>
      </c>
      <c r="E24" s="1" t="s">
        <v>65</v>
      </c>
      <c r="F24" s="20" t="s">
        <v>149</v>
      </c>
      <c r="G24">
        <f t="shared" si="0"/>
        <v>50</v>
      </c>
      <c r="H24">
        <f t="shared" si="1"/>
        <v>25</v>
      </c>
      <c r="I24">
        <f t="shared" si="2"/>
        <v>25</v>
      </c>
      <c r="J24">
        <f t="shared" si="3"/>
        <v>54.35</v>
      </c>
      <c r="K24">
        <f t="shared" si="4"/>
        <v>9.7829999999999995</v>
      </c>
      <c r="L24">
        <f t="shared" si="5"/>
        <v>87.43</v>
      </c>
      <c r="M24">
        <f t="shared" si="6"/>
        <v>41.67</v>
      </c>
    </row>
    <row r="25" spans="1:13" ht="15" customHeight="1" x14ac:dyDescent="0.3">
      <c r="A25" s="21" t="s">
        <v>168</v>
      </c>
      <c r="B25" s="22" t="s">
        <v>172</v>
      </c>
      <c r="C25" s="23"/>
      <c r="D25" s="24" t="s">
        <v>66</v>
      </c>
      <c r="E25" s="1" t="s">
        <v>65</v>
      </c>
      <c r="F25" s="20" t="s">
        <v>173</v>
      </c>
      <c r="G25">
        <f t="shared" si="0"/>
        <v>75</v>
      </c>
      <c r="H25">
        <f t="shared" si="1"/>
        <v>112.5</v>
      </c>
      <c r="I25">
        <f t="shared" si="2"/>
        <v>75</v>
      </c>
      <c r="J25">
        <f t="shared" si="3"/>
        <v>244.57</v>
      </c>
      <c r="K25">
        <f t="shared" si="4"/>
        <v>44.022599999999997</v>
      </c>
      <c r="L25">
        <f t="shared" si="5"/>
        <v>67.34</v>
      </c>
      <c r="M25">
        <f t="shared" si="6"/>
        <v>125</v>
      </c>
    </row>
    <row r="26" spans="1:13" ht="15" customHeight="1" x14ac:dyDescent="0.3">
      <c r="A26" s="16" t="s">
        <v>168</v>
      </c>
      <c r="B26" s="17" t="s">
        <v>295</v>
      </c>
      <c r="C26" s="18"/>
      <c r="D26" s="19" t="s">
        <v>66</v>
      </c>
      <c r="E26" s="1" t="s">
        <v>65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176</v>
      </c>
      <c r="C27" s="23"/>
      <c r="D27" s="24" t="s">
        <v>66</v>
      </c>
      <c r="E27" s="1" t="s">
        <v>65</v>
      </c>
      <c r="F27" s="20" t="s">
        <v>177</v>
      </c>
      <c r="G27">
        <f t="shared" si="0"/>
        <v>25</v>
      </c>
      <c r="H27">
        <f t="shared" si="1"/>
        <v>75</v>
      </c>
      <c r="I27">
        <f t="shared" si="2"/>
        <v>50</v>
      </c>
      <c r="J27">
        <f t="shared" si="3"/>
        <v>163.04</v>
      </c>
      <c r="K27">
        <f t="shared" si="4"/>
        <v>29.347199999999997</v>
      </c>
      <c r="L27">
        <f t="shared" si="5"/>
        <v>-9.4499999999999993</v>
      </c>
      <c r="M27">
        <f t="shared" si="6"/>
        <v>83.33</v>
      </c>
    </row>
    <row r="28" spans="1:13" ht="18" customHeight="1" x14ac:dyDescent="0.3">
      <c r="A28" s="25" t="s">
        <v>180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16" t="s">
        <v>181</v>
      </c>
      <c r="B29" s="17" t="s">
        <v>184</v>
      </c>
      <c r="C29" s="18"/>
      <c r="D29" s="19" t="s">
        <v>66</v>
      </c>
      <c r="E29" s="1" t="s">
        <v>65</v>
      </c>
      <c r="F29" s="20" t="s">
        <v>185</v>
      </c>
      <c r="G29">
        <f t="shared" si="0"/>
        <v>125</v>
      </c>
      <c r="H29">
        <f t="shared" si="1"/>
        <v>62.5</v>
      </c>
      <c r="I29">
        <f t="shared" si="2"/>
        <v>62.5</v>
      </c>
      <c r="J29">
        <f t="shared" si="3"/>
        <v>135.87</v>
      </c>
      <c r="K29">
        <f t="shared" si="4"/>
        <v>24.456600000000002</v>
      </c>
      <c r="L29">
        <f t="shared" si="5"/>
        <v>218.57</v>
      </c>
      <c r="M29">
        <f t="shared" si="6"/>
        <v>104.17</v>
      </c>
    </row>
    <row r="30" spans="1:13" ht="15" customHeight="1" x14ac:dyDescent="0.3">
      <c r="A30" s="21" t="s">
        <v>181</v>
      </c>
      <c r="B30" s="22" t="s">
        <v>182</v>
      </c>
      <c r="C30" s="23"/>
      <c r="D30" s="24" t="s">
        <v>66</v>
      </c>
      <c r="E30" s="1" t="s">
        <v>65</v>
      </c>
      <c r="F30" s="20" t="s">
        <v>183</v>
      </c>
      <c r="G30">
        <f t="shared" si="0"/>
        <v>350</v>
      </c>
      <c r="H30">
        <f t="shared" si="1"/>
        <v>112.5</v>
      </c>
      <c r="I30">
        <f t="shared" si="2"/>
        <v>112.5</v>
      </c>
      <c r="J30">
        <f t="shared" si="3"/>
        <v>244.57</v>
      </c>
      <c r="K30">
        <f t="shared" si="4"/>
        <v>44.022599999999997</v>
      </c>
      <c r="L30">
        <f t="shared" si="5"/>
        <v>665.17</v>
      </c>
      <c r="M30">
        <f t="shared" si="6"/>
        <v>187.5</v>
      </c>
    </row>
    <row r="31" spans="1:13" ht="15" customHeight="1" x14ac:dyDescent="0.3">
      <c r="A31" s="16" t="s">
        <v>181</v>
      </c>
      <c r="B31" s="17" t="s">
        <v>186</v>
      </c>
      <c r="C31" s="18"/>
      <c r="D31" s="19" t="s">
        <v>66</v>
      </c>
      <c r="E31" s="1" t="s">
        <v>65</v>
      </c>
      <c r="F31" s="20" t="s">
        <v>185</v>
      </c>
      <c r="G31">
        <f t="shared" si="0"/>
        <v>125</v>
      </c>
      <c r="H31">
        <f t="shared" si="1"/>
        <v>62.5</v>
      </c>
      <c r="I31">
        <f t="shared" si="2"/>
        <v>62.5</v>
      </c>
      <c r="J31">
        <f t="shared" si="3"/>
        <v>135.87</v>
      </c>
      <c r="K31">
        <f t="shared" si="4"/>
        <v>24.456600000000002</v>
      </c>
      <c r="L31">
        <f t="shared" si="5"/>
        <v>218.57</v>
      </c>
      <c r="M31">
        <f t="shared" si="6"/>
        <v>104.17</v>
      </c>
    </row>
    <row r="32" spans="1:13" ht="15" customHeight="1" x14ac:dyDescent="0.3">
      <c r="A32" s="21" t="s">
        <v>181</v>
      </c>
      <c r="B32" s="22" t="s">
        <v>258</v>
      </c>
      <c r="C32" s="23"/>
      <c r="D32" s="24" t="s">
        <v>66</v>
      </c>
      <c r="E32" s="1" t="s">
        <v>65</v>
      </c>
      <c r="F32" s="20" t="s">
        <v>160</v>
      </c>
      <c r="G32">
        <f t="shared" si="0"/>
        <v>25</v>
      </c>
      <c r="H32">
        <f t="shared" si="1"/>
        <v>50</v>
      </c>
      <c r="I32">
        <f t="shared" si="2"/>
        <v>25</v>
      </c>
      <c r="J32">
        <f t="shared" si="3"/>
        <v>108.7</v>
      </c>
      <c r="K32">
        <f t="shared" si="4"/>
        <v>19.565999999999999</v>
      </c>
      <c r="L32">
        <f t="shared" si="5"/>
        <v>11.81</v>
      </c>
      <c r="M32">
        <f t="shared" si="6"/>
        <v>41.67</v>
      </c>
    </row>
    <row r="33" spans="1:13" ht="15" customHeight="1" x14ac:dyDescent="0.3">
      <c r="A33" s="16" t="s">
        <v>181</v>
      </c>
      <c r="B33" s="17" t="s">
        <v>428</v>
      </c>
      <c r="C33" s="18"/>
      <c r="D33" s="19" t="s">
        <v>66</v>
      </c>
      <c r="E33" s="1" t="s">
        <v>65</v>
      </c>
      <c r="F33" s="20" t="s">
        <v>429</v>
      </c>
      <c r="G33">
        <f t="shared" si="0"/>
        <v>37.5</v>
      </c>
      <c r="H33">
        <f t="shared" si="1"/>
        <v>25</v>
      </c>
      <c r="I33">
        <f t="shared" si="2"/>
        <v>25</v>
      </c>
      <c r="J33">
        <f t="shared" si="3"/>
        <v>54.35</v>
      </c>
      <c r="K33">
        <f t="shared" si="4"/>
        <v>9.7829999999999995</v>
      </c>
      <c r="L33">
        <f t="shared" si="5"/>
        <v>60.25</v>
      </c>
      <c r="M33">
        <f t="shared" si="6"/>
        <v>41.67</v>
      </c>
    </row>
    <row r="34" spans="1:13" ht="18" customHeight="1" x14ac:dyDescent="0.3">
      <c r="A34" s="25" t="s">
        <v>187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21" t="s">
        <v>188</v>
      </c>
      <c r="B35" s="22" t="s">
        <v>430</v>
      </c>
      <c r="C35" s="23"/>
      <c r="D35" s="24" t="s">
        <v>66</v>
      </c>
      <c r="E35" s="1" t="s">
        <v>65</v>
      </c>
      <c r="F35" s="20" t="s">
        <v>190</v>
      </c>
      <c r="G35">
        <f t="shared" si="0"/>
        <v>125</v>
      </c>
      <c r="H35">
        <f t="shared" si="1"/>
        <v>125</v>
      </c>
      <c r="I35">
        <f t="shared" si="2"/>
        <v>187.5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312.5</v>
      </c>
    </row>
    <row r="36" spans="1:13" ht="15" customHeight="1" x14ac:dyDescent="0.3">
      <c r="A36" s="16" t="s">
        <v>188</v>
      </c>
      <c r="B36" s="17" t="s">
        <v>191</v>
      </c>
      <c r="C36" s="18"/>
      <c r="D36" s="19" t="s">
        <v>66</v>
      </c>
      <c r="E36" s="1" t="s">
        <v>65</v>
      </c>
      <c r="F36" s="20" t="s">
        <v>192</v>
      </c>
      <c r="G36">
        <f t="shared" si="0"/>
        <v>137.5</v>
      </c>
      <c r="H36">
        <f t="shared" si="1"/>
        <v>43.75</v>
      </c>
      <c r="I36">
        <f t="shared" si="2"/>
        <v>412.5</v>
      </c>
      <c r="J36">
        <f t="shared" si="3"/>
        <v>95.11</v>
      </c>
      <c r="K36">
        <f t="shared" si="4"/>
        <v>17.119799999999998</v>
      </c>
      <c r="L36">
        <f t="shared" si="5"/>
        <v>261.7</v>
      </c>
      <c r="M36">
        <f t="shared" si="6"/>
        <v>687.5</v>
      </c>
    </row>
    <row r="37" spans="1:13" ht="15" customHeight="1" x14ac:dyDescent="0.3">
      <c r="A37" s="21" t="s">
        <v>188</v>
      </c>
      <c r="B37" s="22" t="s">
        <v>431</v>
      </c>
      <c r="C37" s="23"/>
      <c r="D37" s="24" t="s">
        <v>66</v>
      </c>
      <c r="E37" s="1" t="s">
        <v>65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193</v>
      </c>
      <c r="C38" s="18"/>
      <c r="D38" s="19" t="s">
        <v>66</v>
      </c>
      <c r="E38" s="1" t="s">
        <v>65</v>
      </c>
      <c r="F38" s="20" t="s">
        <v>194</v>
      </c>
      <c r="G38">
        <f t="shared" si="0"/>
        <v>125</v>
      </c>
      <c r="H38">
        <f t="shared" si="1"/>
        <v>125</v>
      </c>
      <c r="I38">
        <f t="shared" si="2"/>
        <v>125</v>
      </c>
      <c r="J38">
        <f t="shared" si="3"/>
        <v>271.74</v>
      </c>
      <c r="K38">
        <f t="shared" si="4"/>
        <v>48.913200000000003</v>
      </c>
      <c r="L38">
        <f t="shared" si="5"/>
        <v>165.41</v>
      </c>
      <c r="M38">
        <f t="shared" si="6"/>
        <v>208.33</v>
      </c>
    </row>
    <row r="39" spans="1:13" ht="15" customHeight="1" x14ac:dyDescent="0.3">
      <c r="A39" s="21" t="s">
        <v>188</v>
      </c>
      <c r="B39" s="22" t="s">
        <v>196</v>
      </c>
      <c r="C39" s="23"/>
      <c r="D39" s="24" t="s">
        <v>66</v>
      </c>
      <c r="E39" s="1" t="s">
        <v>65</v>
      </c>
      <c r="F39" s="20" t="s">
        <v>197</v>
      </c>
      <c r="G39">
        <f t="shared" ref="G39:G70" si="7">IF($F39="","",IFERROR(VALUE(TRIM(LEFT($F39,FIND(":",$F39)-1)))*1.25,"N/A"))</f>
        <v>750</v>
      </c>
      <c r="H39">
        <f t="shared" ref="H39:H70" si="8">IF($F39="","",IFERROR(VALUE(TRIM(MID($F39,FIND(":",$F39)+1,FIND(":",$F39,FIND(":",$F39)+1)-FIND(":",$F39)-1)))*1.25,"N/A"))</f>
        <v>625</v>
      </c>
      <c r="I39">
        <f t="shared" ref="I39:I70" si="9">IF($F39="","",IFERROR(VALUE(TRIM(LEFT(MID($F39,FIND(":",$F39,FIND(":",$F39)+1)+1,LEN($F39)),FIND(" ",MID($F39,FIND(":",$F39,FIND(":",$F39)+1)+1,LEN($F39))&amp;" ")-1)))*1.25,"N/A"))</f>
        <v>1500</v>
      </c>
      <c r="J39">
        <f t="shared" ref="J39:J70" si="10">IF(OR($F39="",$H39="N/A"),IF($F39="","","N/A"),ROUND($H39/0.46,2))</f>
        <v>1358.7</v>
      </c>
      <c r="K39">
        <f t="shared" ref="K39:K70" si="11">IF(OR($F39="",$J39="N/A"),IF($F39="","","N/A"),$J39*0.18)</f>
        <v>244.566</v>
      </c>
      <c r="L39">
        <f t="shared" ref="L39:L70" si="12">IF(OR($F39="",$G39="N/A",$K39="N/A"),IF($F39="","","N/A"),ROUND(($G39-$K39)/0.46,2))</f>
        <v>1098.77</v>
      </c>
      <c r="M39">
        <f t="shared" ref="M39:M70" si="13">IF(OR($F39="",$I39="N/A"),IF($F39="","","N/A"),ROUND($I39/0.6,2))</f>
        <v>2500</v>
      </c>
    </row>
    <row r="40" spans="1:13" ht="15" customHeight="1" x14ac:dyDescent="0.3">
      <c r="A40" s="16" t="s">
        <v>188</v>
      </c>
      <c r="B40" s="17" t="s">
        <v>195</v>
      </c>
      <c r="C40" s="18"/>
      <c r="D40" s="19" t="s">
        <v>66</v>
      </c>
      <c r="E40" s="1" t="s">
        <v>65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209</v>
      </c>
      <c r="C41" s="23"/>
      <c r="D41" s="24" t="s">
        <v>66</v>
      </c>
      <c r="E41" s="1" t="s">
        <v>65</v>
      </c>
      <c r="F41" s="20" t="s">
        <v>199</v>
      </c>
      <c r="G41">
        <f t="shared" si="7"/>
        <v>750</v>
      </c>
      <c r="H41">
        <f t="shared" si="8"/>
        <v>250</v>
      </c>
      <c r="I41">
        <f t="shared" si="9"/>
        <v>375</v>
      </c>
      <c r="J41">
        <f t="shared" si="10"/>
        <v>543.48</v>
      </c>
      <c r="K41">
        <f t="shared" si="11"/>
        <v>97.826400000000007</v>
      </c>
      <c r="L41">
        <f t="shared" si="12"/>
        <v>1417.77</v>
      </c>
      <c r="M41">
        <f t="shared" si="13"/>
        <v>625</v>
      </c>
    </row>
    <row r="42" spans="1:13" ht="15" customHeight="1" x14ac:dyDescent="0.3">
      <c r="A42" s="16" t="s">
        <v>188</v>
      </c>
      <c r="B42" s="17" t="s">
        <v>202</v>
      </c>
      <c r="C42" s="18"/>
      <c r="D42" s="19" t="s">
        <v>66</v>
      </c>
      <c r="E42" s="1" t="s">
        <v>65</v>
      </c>
      <c r="F42" s="20" t="s">
        <v>203</v>
      </c>
      <c r="G42">
        <f t="shared" si="7"/>
        <v>68.75</v>
      </c>
      <c r="H42">
        <f t="shared" si="8"/>
        <v>68.75</v>
      </c>
      <c r="I42">
        <f t="shared" si="9"/>
        <v>68.75</v>
      </c>
      <c r="J42">
        <f t="shared" si="10"/>
        <v>149.46</v>
      </c>
      <c r="K42">
        <f t="shared" si="11"/>
        <v>26.902799999999999</v>
      </c>
      <c r="L42">
        <f t="shared" si="12"/>
        <v>90.97</v>
      </c>
      <c r="M42">
        <f t="shared" si="13"/>
        <v>114.58</v>
      </c>
    </row>
    <row r="43" spans="1:13" ht="15" customHeight="1" x14ac:dyDescent="0.3">
      <c r="A43" s="21" t="s">
        <v>188</v>
      </c>
      <c r="B43" s="22" t="s">
        <v>432</v>
      </c>
      <c r="C43" s="23"/>
      <c r="D43" s="24" t="s">
        <v>66</v>
      </c>
      <c r="E43" s="1" t="s">
        <v>65</v>
      </c>
      <c r="F43" s="20" t="s">
        <v>433</v>
      </c>
      <c r="G43">
        <f t="shared" si="7"/>
        <v>1250</v>
      </c>
      <c r="H43">
        <f t="shared" si="8"/>
        <v>1250</v>
      </c>
      <c r="I43">
        <f t="shared" si="9"/>
        <v>1875</v>
      </c>
      <c r="J43">
        <f t="shared" si="10"/>
        <v>2717.39</v>
      </c>
      <c r="K43">
        <f t="shared" si="11"/>
        <v>489.13019999999995</v>
      </c>
      <c r="L43">
        <f t="shared" si="12"/>
        <v>1654.06</v>
      </c>
      <c r="M43">
        <f t="shared" si="13"/>
        <v>3125</v>
      </c>
    </row>
    <row r="44" spans="1:13" ht="15" customHeight="1" x14ac:dyDescent="0.3">
      <c r="A44" s="16" t="s">
        <v>188</v>
      </c>
      <c r="B44" s="17" t="s">
        <v>434</v>
      </c>
      <c r="C44" s="18"/>
      <c r="D44" s="19" t="s">
        <v>66</v>
      </c>
      <c r="E44" s="1" t="s">
        <v>65</v>
      </c>
      <c r="F44" s="20" t="s">
        <v>207</v>
      </c>
      <c r="G44">
        <f t="shared" si="7"/>
        <v>700</v>
      </c>
      <c r="H44">
        <f t="shared" si="8"/>
        <v>400</v>
      </c>
      <c r="I44">
        <f t="shared" si="9"/>
        <v>1500</v>
      </c>
      <c r="J44">
        <f t="shared" si="10"/>
        <v>869.57</v>
      </c>
      <c r="K44">
        <f t="shared" si="11"/>
        <v>156.52260000000001</v>
      </c>
      <c r="L44">
        <f t="shared" si="12"/>
        <v>1181.47</v>
      </c>
      <c r="M44">
        <f t="shared" si="13"/>
        <v>2500</v>
      </c>
    </row>
    <row r="45" spans="1:13" ht="18" customHeight="1" x14ac:dyDescent="0.3">
      <c r="A45" s="25" t="s">
        <v>220</v>
      </c>
      <c r="B45" s="25"/>
      <c r="C45" s="25"/>
      <c r="G45" t="str">
        <f t="shared" si="7"/>
        <v/>
      </c>
      <c r="H45" t="str">
        <f t="shared" si="8"/>
        <v/>
      </c>
      <c r="I45" t="str">
        <f t="shared" si="9"/>
        <v/>
      </c>
      <c r="J45" t="str">
        <f t="shared" si="10"/>
        <v/>
      </c>
      <c r="K45" t="str">
        <f t="shared" si="11"/>
        <v/>
      </c>
      <c r="L45" t="str">
        <f t="shared" si="12"/>
        <v/>
      </c>
      <c r="M45" t="str">
        <f t="shared" si="13"/>
        <v/>
      </c>
    </row>
    <row r="46" spans="1:13" ht="15" customHeight="1" x14ac:dyDescent="0.3">
      <c r="A46" s="21" t="s">
        <v>221</v>
      </c>
      <c r="B46" s="22" t="s">
        <v>321</v>
      </c>
      <c r="C46" s="23"/>
      <c r="D46" s="24" t="s">
        <v>66</v>
      </c>
      <c r="E46" s="1" t="s">
        <v>65</v>
      </c>
      <c r="F46" s="20" t="s">
        <v>322</v>
      </c>
      <c r="G46">
        <f t="shared" si="7"/>
        <v>150</v>
      </c>
      <c r="H46">
        <f t="shared" si="8"/>
        <v>300</v>
      </c>
      <c r="I46">
        <f t="shared" si="9"/>
        <v>150</v>
      </c>
      <c r="J46">
        <f t="shared" si="10"/>
        <v>652.16999999999996</v>
      </c>
      <c r="K46">
        <f t="shared" si="11"/>
        <v>117.39059999999999</v>
      </c>
      <c r="L46">
        <f t="shared" si="12"/>
        <v>70.89</v>
      </c>
      <c r="M46">
        <f t="shared" si="13"/>
        <v>250</v>
      </c>
    </row>
    <row r="47" spans="1:13" ht="15" customHeight="1" x14ac:dyDescent="0.3">
      <c r="A47" s="16" t="s">
        <v>221</v>
      </c>
      <c r="B47" s="17" t="s">
        <v>222</v>
      </c>
      <c r="C47" s="18"/>
      <c r="D47" s="19" t="s">
        <v>66</v>
      </c>
      <c r="E47" s="1" t="s">
        <v>65</v>
      </c>
      <c r="F47" s="20" t="s">
        <v>223</v>
      </c>
      <c r="G47">
        <f t="shared" si="7"/>
        <v>187.5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301.27999999999997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230</v>
      </c>
      <c r="C48" s="23"/>
      <c r="D48" s="24" t="s">
        <v>66</v>
      </c>
      <c r="E48" s="1" t="s">
        <v>65</v>
      </c>
      <c r="F48" s="20" t="s">
        <v>231</v>
      </c>
      <c r="G48">
        <f t="shared" si="7"/>
        <v>125</v>
      </c>
      <c r="H48">
        <f t="shared" si="8"/>
        <v>187.5</v>
      </c>
      <c r="I48">
        <f t="shared" si="9"/>
        <v>93.75</v>
      </c>
      <c r="J48">
        <f t="shared" si="10"/>
        <v>407.61</v>
      </c>
      <c r="K48">
        <f t="shared" si="11"/>
        <v>73.369799999999998</v>
      </c>
      <c r="L48">
        <f t="shared" si="12"/>
        <v>112.24</v>
      </c>
      <c r="M48">
        <f t="shared" si="13"/>
        <v>156.25</v>
      </c>
    </row>
    <row r="49" spans="1:13" ht="15" customHeight="1" x14ac:dyDescent="0.3">
      <c r="A49" s="16" t="s">
        <v>221</v>
      </c>
      <c r="B49" s="17" t="s">
        <v>365</v>
      </c>
      <c r="C49" s="18"/>
      <c r="D49" s="19" t="s">
        <v>66</v>
      </c>
      <c r="E49" s="1" t="s">
        <v>65</v>
      </c>
      <c r="F49" s="20" t="s">
        <v>366</v>
      </c>
      <c r="G49">
        <f t="shared" si="7"/>
        <v>93.75</v>
      </c>
      <c r="H49">
        <f t="shared" si="8"/>
        <v>93.75</v>
      </c>
      <c r="I49">
        <f t="shared" si="9"/>
        <v>93.75</v>
      </c>
      <c r="J49">
        <f t="shared" si="10"/>
        <v>203.8</v>
      </c>
      <c r="K49">
        <f t="shared" si="11"/>
        <v>36.683999999999997</v>
      </c>
      <c r="L49">
        <f t="shared" si="12"/>
        <v>124.06</v>
      </c>
      <c r="M49">
        <f t="shared" si="13"/>
        <v>156.25</v>
      </c>
    </row>
    <row r="50" spans="1:13" ht="15" customHeight="1" x14ac:dyDescent="0.3">
      <c r="A50" s="21" t="s">
        <v>221</v>
      </c>
      <c r="B50" s="22" t="s">
        <v>325</v>
      </c>
      <c r="C50" s="23"/>
      <c r="D50" s="24" t="s">
        <v>66</v>
      </c>
      <c r="E50" s="1" t="s">
        <v>65</v>
      </c>
      <c r="F50" s="20" t="s">
        <v>225</v>
      </c>
      <c r="G50">
        <f t="shared" si="7"/>
        <v>125</v>
      </c>
      <c r="H50">
        <f t="shared" si="8"/>
        <v>62.5</v>
      </c>
      <c r="I50">
        <f t="shared" si="9"/>
        <v>37.5</v>
      </c>
      <c r="J50">
        <f t="shared" si="10"/>
        <v>135.87</v>
      </c>
      <c r="K50">
        <f t="shared" si="11"/>
        <v>24.456600000000002</v>
      </c>
      <c r="L50">
        <f t="shared" si="12"/>
        <v>218.57</v>
      </c>
      <c r="M50">
        <f t="shared" si="13"/>
        <v>62.5</v>
      </c>
    </row>
    <row r="51" spans="1:13" ht="15" customHeight="1" x14ac:dyDescent="0.3">
      <c r="A51" s="16" t="s">
        <v>221</v>
      </c>
      <c r="B51" s="17" t="s">
        <v>326</v>
      </c>
      <c r="C51" s="18"/>
      <c r="D51" s="19" t="s">
        <v>66</v>
      </c>
      <c r="E51" s="1" t="s">
        <v>65</v>
      </c>
      <c r="F51" s="20" t="s">
        <v>227</v>
      </c>
      <c r="G51">
        <f t="shared" si="7"/>
        <v>50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55.53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232</v>
      </c>
      <c r="C52" s="23"/>
      <c r="D52" s="24" t="s">
        <v>66</v>
      </c>
      <c r="E52" s="1" t="s">
        <v>65</v>
      </c>
      <c r="F52" s="20" t="s">
        <v>233</v>
      </c>
      <c r="G52">
        <f t="shared" si="7"/>
        <v>125</v>
      </c>
      <c r="H52">
        <f t="shared" si="8"/>
        <v>156.25</v>
      </c>
      <c r="I52">
        <f t="shared" si="9"/>
        <v>31.25</v>
      </c>
      <c r="J52">
        <f t="shared" si="10"/>
        <v>339.67</v>
      </c>
      <c r="K52">
        <f t="shared" si="11"/>
        <v>61.140599999999999</v>
      </c>
      <c r="L52">
        <f t="shared" si="12"/>
        <v>138.82</v>
      </c>
      <c r="M52">
        <f t="shared" si="13"/>
        <v>52.08</v>
      </c>
    </row>
    <row r="53" spans="1:13" ht="15" customHeight="1" x14ac:dyDescent="0.3">
      <c r="A53" s="16" t="s">
        <v>221</v>
      </c>
      <c r="B53" s="17" t="s">
        <v>234</v>
      </c>
      <c r="C53" s="18"/>
      <c r="D53" s="19" t="s">
        <v>66</v>
      </c>
      <c r="E53" s="1" t="s">
        <v>65</v>
      </c>
      <c r="F53" s="20" t="s">
        <v>235</v>
      </c>
      <c r="G53">
        <f t="shared" si="7"/>
        <v>125</v>
      </c>
      <c r="H53">
        <f t="shared" si="8"/>
        <v>125</v>
      </c>
      <c r="I53">
        <f t="shared" si="9"/>
        <v>62.5</v>
      </c>
      <c r="J53">
        <f t="shared" si="10"/>
        <v>271.74</v>
      </c>
      <c r="K53">
        <f t="shared" si="11"/>
        <v>48.913200000000003</v>
      </c>
      <c r="L53">
        <f t="shared" si="12"/>
        <v>165.41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240</v>
      </c>
      <c r="C54" s="23"/>
      <c r="D54" s="24" t="s">
        <v>66</v>
      </c>
      <c r="E54" s="1" t="s">
        <v>65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5" customHeight="1" x14ac:dyDescent="0.3">
      <c r="A55" s="16" t="s">
        <v>221</v>
      </c>
      <c r="B55" s="17" t="s">
        <v>243</v>
      </c>
      <c r="C55" s="18"/>
      <c r="D55" s="19" t="s">
        <v>66</v>
      </c>
      <c r="E55" s="1" t="s">
        <v>65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435</v>
      </c>
      <c r="C56" s="23"/>
      <c r="D56" s="24" t="s">
        <v>66</v>
      </c>
      <c r="E56" s="1" t="s">
        <v>65</v>
      </c>
      <c r="F56" s="20" t="s">
        <v>436</v>
      </c>
      <c r="G56">
        <f t="shared" si="7"/>
        <v>62.5</v>
      </c>
      <c r="H56">
        <f t="shared" si="8"/>
        <v>62.5</v>
      </c>
      <c r="I56">
        <f t="shared" si="9"/>
        <v>31.25</v>
      </c>
      <c r="J56">
        <f t="shared" si="10"/>
        <v>135.87</v>
      </c>
      <c r="K56">
        <f t="shared" si="11"/>
        <v>24.456600000000002</v>
      </c>
      <c r="L56">
        <f t="shared" si="12"/>
        <v>82.7</v>
      </c>
      <c r="M56">
        <f t="shared" si="13"/>
        <v>52.08</v>
      </c>
    </row>
    <row r="57" spans="1:13" ht="15" customHeight="1" x14ac:dyDescent="0.3">
      <c r="A57" s="16" t="s">
        <v>221</v>
      </c>
      <c r="B57" s="17" t="s">
        <v>228</v>
      </c>
      <c r="C57" s="18"/>
      <c r="D57" s="19" t="s">
        <v>66</v>
      </c>
      <c r="E57" s="1" t="s">
        <v>65</v>
      </c>
      <c r="F57" s="20" t="s">
        <v>229</v>
      </c>
      <c r="G57">
        <f t="shared" si="7"/>
        <v>150</v>
      </c>
      <c r="H57">
        <f t="shared" si="8"/>
        <v>75</v>
      </c>
      <c r="I57">
        <f t="shared" si="9"/>
        <v>37.5</v>
      </c>
      <c r="J57">
        <f t="shared" si="10"/>
        <v>163.04</v>
      </c>
      <c r="K57">
        <f t="shared" si="11"/>
        <v>29.347199999999997</v>
      </c>
      <c r="L57">
        <f t="shared" si="12"/>
        <v>262.29000000000002</v>
      </c>
      <c r="M57">
        <f t="shared" si="13"/>
        <v>62.5</v>
      </c>
    </row>
    <row r="58" spans="1:13" ht="15" customHeight="1" x14ac:dyDescent="0.3">
      <c r="A58" s="21" t="s">
        <v>221</v>
      </c>
      <c r="B58" s="22" t="s">
        <v>244</v>
      </c>
      <c r="C58" s="23"/>
      <c r="D58" s="24" t="s">
        <v>66</v>
      </c>
      <c r="E58" s="1" t="s">
        <v>65</v>
      </c>
      <c r="F58" s="20" t="s">
        <v>241</v>
      </c>
      <c r="G58">
        <f t="shared" si="7"/>
        <v>7.5</v>
      </c>
      <c r="H58">
        <f t="shared" si="8"/>
        <v>15</v>
      </c>
      <c r="I58">
        <f t="shared" si="9"/>
        <v>15</v>
      </c>
      <c r="J58">
        <f t="shared" si="10"/>
        <v>32.61</v>
      </c>
      <c r="K58">
        <f t="shared" si="11"/>
        <v>5.8697999999999997</v>
      </c>
      <c r="L58">
        <f t="shared" si="12"/>
        <v>3.54</v>
      </c>
      <c r="M58">
        <f t="shared" si="13"/>
        <v>25</v>
      </c>
    </row>
    <row r="59" spans="1:13" ht="15" customHeight="1" x14ac:dyDescent="0.3">
      <c r="A59" s="16" t="s">
        <v>221</v>
      </c>
      <c r="B59" s="17" t="s">
        <v>238</v>
      </c>
      <c r="C59" s="18"/>
      <c r="D59" s="19" t="s">
        <v>66</v>
      </c>
      <c r="E59" s="1" t="s">
        <v>65</v>
      </c>
      <c r="F59" s="20" t="s">
        <v>239</v>
      </c>
      <c r="G59">
        <f t="shared" si="7"/>
        <v>150</v>
      </c>
      <c r="H59">
        <f t="shared" si="8"/>
        <v>75</v>
      </c>
      <c r="I59">
        <f t="shared" si="9"/>
        <v>75</v>
      </c>
      <c r="J59">
        <f t="shared" si="10"/>
        <v>163.04</v>
      </c>
      <c r="K59">
        <f t="shared" si="11"/>
        <v>29.347199999999997</v>
      </c>
      <c r="L59">
        <f t="shared" si="12"/>
        <v>262.29000000000002</v>
      </c>
      <c r="M59">
        <f t="shared" si="13"/>
        <v>125</v>
      </c>
    </row>
    <row r="60" spans="1:13" ht="15" customHeight="1" x14ac:dyDescent="0.3">
      <c r="A60" s="21" t="s">
        <v>221</v>
      </c>
      <c r="B60" s="22" t="s">
        <v>236</v>
      </c>
      <c r="C60" s="23"/>
      <c r="D60" s="24" t="s">
        <v>66</v>
      </c>
      <c r="E60" s="1" t="s">
        <v>65</v>
      </c>
      <c r="F60" s="20" t="s">
        <v>237</v>
      </c>
      <c r="G60">
        <f t="shared" si="7"/>
        <v>62.5</v>
      </c>
      <c r="H60">
        <f t="shared" si="8"/>
        <v>62.5</v>
      </c>
      <c r="I60">
        <f t="shared" si="9"/>
        <v>62.5</v>
      </c>
      <c r="J60">
        <f t="shared" si="10"/>
        <v>135.87</v>
      </c>
      <c r="K60">
        <f t="shared" si="11"/>
        <v>24.456600000000002</v>
      </c>
      <c r="L60">
        <f t="shared" si="12"/>
        <v>82.7</v>
      </c>
      <c r="M60">
        <f t="shared" si="13"/>
        <v>104.17</v>
      </c>
    </row>
    <row r="61" spans="1:13" ht="15" customHeight="1" x14ac:dyDescent="0.3">
      <c r="A61" s="16" t="s">
        <v>221</v>
      </c>
      <c r="B61" s="17" t="s">
        <v>391</v>
      </c>
      <c r="C61" s="18"/>
      <c r="D61" s="19" t="s">
        <v>66</v>
      </c>
      <c r="E61" s="1" t="s">
        <v>65</v>
      </c>
      <c r="F61" s="20" t="s">
        <v>249</v>
      </c>
      <c r="G61">
        <f t="shared" si="7"/>
        <v>125</v>
      </c>
      <c r="H61">
        <f t="shared" si="8"/>
        <v>62.5</v>
      </c>
      <c r="I61">
        <f t="shared" si="9"/>
        <v>62.5</v>
      </c>
      <c r="J61">
        <f t="shared" si="10"/>
        <v>135.87</v>
      </c>
      <c r="K61">
        <f t="shared" si="11"/>
        <v>24.456600000000002</v>
      </c>
      <c r="L61">
        <f t="shared" si="12"/>
        <v>218.57</v>
      </c>
      <c r="M61">
        <f t="shared" si="13"/>
        <v>104.17</v>
      </c>
    </row>
    <row r="62" spans="1:13" ht="18" customHeight="1" x14ac:dyDescent="0.3">
      <c r="A62" s="25" t="s">
        <v>252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21" t="s">
        <v>253</v>
      </c>
      <c r="B63" s="22" t="s">
        <v>437</v>
      </c>
      <c r="C63" s="23"/>
      <c r="D63" s="24" t="s">
        <v>66</v>
      </c>
      <c r="E63" s="1" t="s">
        <v>65</v>
      </c>
      <c r="F63" s="20" t="s">
        <v>160</v>
      </c>
      <c r="G63">
        <f t="shared" si="7"/>
        <v>25</v>
      </c>
      <c r="H63">
        <f t="shared" si="8"/>
        <v>50</v>
      </c>
      <c r="I63">
        <f t="shared" si="9"/>
        <v>25</v>
      </c>
      <c r="J63">
        <f t="shared" si="10"/>
        <v>108.7</v>
      </c>
      <c r="K63">
        <f t="shared" si="11"/>
        <v>19.565999999999999</v>
      </c>
      <c r="L63">
        <f t="shared" si="12"/>
        <v>11.81</v>
      </c>
      <c r="M63">
        <f t="shared" si="13"/>
        <v>41.67</v>
      </c>
    </row>
    <row r="64" spans="1:13" ht="15" customHeight="1" x14ac:dyDescent="0.3">
      <c r="A64" s="16" t="s">
        <v>253</v>
      </c>
      <c r="B64" s="17" t="s">
        <v>438</v>
      </c>
      <c r="C64" s="18"/>
      <c r="D64" s="19" t="s">
        <v>66</v>
      </c>
      <c r="E64" s="1" t="s">
        <v>65</v>
      </c>
      <c r="F64" s="20" t="s">
        <v>298</v>
      </c>
      <c r="G64">
        <f t="shared" si="7"/>
        <v>75</v>
      </c>
      <c r="H64">
        <f t="shared" si="8"/>
        <v>37.5</v>
      </c>
      <c r="I64">
        <f t="shared" si="9"/>
        <v>37.5</v>
      </c>
      <c r="J64">
        <f t="shared" si="10"/>
        <v>81.52</v>
      </c>
      <c r="K64">
        <f t="shared" si="11"/>
        <v>14.673599999999999</v>
      </c>
      <c r="L64">
        <f t="shared" si="12"/>
        <v>131.13999999999999</v>
      </c>
      <c r="M64">
        <f t="shared" si="13"/>
        <v>62.5</v>
      </c>
    </row>
    <row r="65" spans="1:13" ht="15" customHeight="1" x14ac:dyDescent="0.3">
      <c r="A65" s="21" t="s">
        <v>253</v>
      </c>
      <c r="B65" s="22" t="s">
        <v>257</v>
      </c>
      <c r="C65" s="23"/>
      <c r="D65" s="24" t="s">
        <v>66</v>
      </c>
      <c r="E65" s="1" t="s">
        <v>65</v>
      </c>
      <c r="F65" s="20" t="s">
        <v>160</v>
      </c>
      <c r="G65">
        <f t="shared" si="7"/>
        <v>25</v>
      </c>
      <c r="H65">
        <f t="shared" si="8"/>
        <v>50</v>
      </c>
      <c r="I65">
        <f t="shared" si="9"/>
        <v>25</v>
      </c>
      <c r="J65">
        <f t="shared" si="10"/>
        <v>108.7</v>
      </c>
      <c r="K65">
        <f t="shared" si="11"/>
        <v>19.565999999999999</v>
      </c>
      <c r="L65">
        <f t="shared" si="12"/>
        <v>11.81</v>
      </c>
      <c r="M65">
        <f t="shared" si="13"/>
        <v>41.67</v>
      </c>
    </row>
    <row r="66" spans="1:13" ht="15" customHeight="1" x14ac:dyDescent="0.3">
      <c r="A66" s="16" t="s">
        <v>253</v>
      </c>
      <c r="B66" s="17" t="s">
        <v>439</v>
      </c>
      <c r="C66" s="18"/>
      <c r="D66" s="19" t="s">
        <v>66</v>
      </c>
      <c r="E66" s="1" t="s">
        <v>65</v>
      </c>
      <c r="F66" s="20" t="s">
        <v>149</v>
      </c>
      <c r="G66">
        <f t="shared" si="7"/>
        <v>50</v>
      </c>
      <c r="H66">
        <f t="shared" si="8"/>
        <v>25</v>
      </c>
      <c r="I66">
        <f t="shared" si="9"/>
        <v>25</v>
      </c>
      <c r="J66">
        <f t="shared" si="10"/>
        <v>54.35</v>
      </c>
      <c r="K66">
        <f t="shared" si="11"/>
        <v>9.7829999999999995</v>
      </c>
      <c r="L66">
        <f t="shared" si="12"/>
        <v>87.43</v>
      </c>
      <c r="M66">
        <f t="shared" si="13"/>
        <v>41.67</v>
      </c>
    </row>
    <row r="67" spans="1:13" ht="15" customHeight="1" x14ac:dyDescent="0.3">
      <c r="A67" s="21" t="s">
        <v>253</v>
      </c>
      <c r="B67" s="22" t="s">
        <v>440</v>
      </c>
      <c r="C67" s="23"/>
      <c r="D67" s="24" t="s">
        <v>66</v>
      </c>
      <c r="E67" s="1" t="s">
        <v>65</v>
      </c>
      <c r="F67" s="20" t="s">
        <v>441</v>
      </c>
      <c r="G67">
        <f t="shared" si="7"/>
        <v>62.5</v>
      </c>
      <c r="H67">
        <f t="shared" si="8"/>
        <v>31.25</v>
      </c>
      <c r="I67">
        <f t="shared" si="9"/>
        <v>50</v>
      </c>
      <c r="J67">
        <f t="shared" si="10"/>
        <v>67.930000000000007</v>
      </c>
      <c r="K67">
        <f t="shared" si="11"/>
        <v>12.227400000000001</v>
      </c>
      <c r="L67">
        <f t="shared" si="12"/>
        <v>109.29</v>
      </c>
      <c r="M67">
        <f t="shared" si="13"/>
        <v>83.33</v>
      </c>
    </row>
    <row r="68" spans="1:13" ht="15" customHeight="1" x14ac:dyDescent="0.3">
      <c r="A68" s="16" t="s">
        <v>253</v>
      </c>
      <c r="B68" s="17" t="s">
        <v>365</v>
      </c>
      <c r="C68" s="18"/>
      <c r="D68" s="19" t="s">
        <v>66</v>
      </c>
      <c r="E68" s="1" t="s">
        <v>65</v>
      </c>
      <c r="F68" s="20" t="s">
        <v>366</v>
      </c>
      <c r="G68">
        <f t="shared" si="7"/>
        <v>93.75</v>
      </c>
      <c r="H68">
        <f t="shared" si="8"/>
        <v>93.75</v>
      </c>
      <c r="I68">
        <f t="shared" si="9"/>
        <v>93.75</v>
      </c>
      <c r="J68">
        <f t="shared" si="10"/>
        <v>203.8</v>
      </c>
      <c r="K68">
        <f t="shared" si="11"/>
        <v>36.683999999999997</v>
      </c>
      <c r="L68">
        <f t="shared" si="12"/>
        <v>124.06</v>
      </c>
      <c r="M68">
        <f t="shared" si="13"/>
        <v>156.25</v>
      </c>
    </row>
    <row r="69" spans="1:13" ht="15" customHeight="1" x14ac:dyDescent="0.3">
      <c r="A69" s="21" t="s">
        <v>253</v>
      </c>
      <c r="B69" s="22" t="s">
        <v>228</v>
      </c>
      <c r="C69" s="23"/>
      <c r="D69" s="24" t="s">
        <v>66</v>
      </c>
      <c r="E69" s="1" t="s">
        <v>65</v>
      </c>
      <c r="F69" s="20" t="s">
        <v>229</v>
      </c>
      <c r="G69">
        <f t="shared" si="7"/>
        <v>150</v>
      </c>
      <c r="H69">
        <f t="shared" si="8"/>
        <v>75</v>
      </c>
      <c r="I69">
        <f t="shared" si="9"/>
        <v>37.5</v>
      </c>
      <c r="J69">
        <f t="shared" si="10"/>
        <v>163.04</v>
      </c>
      <c r="K69">
        <f t="shared" si="11"/>
        <v>29.347199999999997</v>
      </c>
      <c r="L69">
        <f t="shared" si="12"/>
        <v>262.29000000000002</v>
      </c>
      <c r="M69">
        <f t="shared" si="13"/>
        <v>62.5</v>
      </c>
    </row>
    <row r="70" spans="1:13" ht="15" customHeight="1" x14ac:dyDescent="0.3">
      <c r="A70" s="16" t="s">
        <v>253</v>
      </c>
      <c r="B70" s="17" t="s">
        <v>442</v>
      </c>
      <c r="C70" s="18"/>
      <c r="D70" s="19" t="s">
        <v>66</v>
      </c>
      <c r="E70" s="1" t="s">
        <v>65</v>
      </c>
      <c r="F70" s="20" t="s">
        <v>429</v>
      </c>
      <c r="G70">
        <f t="shared" si="7"/>
        <v>37.5</v>
      </c>
      <c r="H70">
        <f t="shared" si="8"/>
        <v>25</v>
      </c>
      <c r="I70">
        <f t="shared" si="9"/>
        <v>25</v>
      </c>
      <c r="J70">
        <f t="shared" si="10"/>
        <v>54.35</v>
      </c>
      <c r="K70">
        <f t="shared" si="11"/>
        <v>9.7829999999999995</v>
      </c>
      <c r="L70">
        <f t="shared" si="12"/>
        <v>60.25</v>
      </c>
      <c r="M70">
        <f t="shared" si="13"/>
        <v>41.67</v>
      </c>
    </row>
    <row r="71" spans="1:13" ht="15" customHeight="1" x14ac:dyDescent="0.3">
      <c r="A71" s="21" t="s">
        <v>253</v>
      </c>
      <c r="B71" s="22" t="s">
        <v>443</v>
      </c>
      <c r="C71" s="23"/>
      <c r="D71" s="24" t="s">
        <v>66</v>
      </c>
      <c r="E71" s="1" t="s">
        <v>65</v>
      </c>
      <c r="F71" s="20" t="s">
        <v>441</v>
      </c>
      <c r="G71">
        <f t="shared" ref="G71:G79" si="14">IF($F71="","",IFERROR(VALUE(TRIM(LEFT($F71,FIND(":",$F71)-1)))*1.25,"N/A"))</f>
        <v>62.5</v>
      </c>
      <c r="H71">
        <f t="shared" ref="H71:H79" si="15">IF($F71="","",IFERROR(VALUE(TRIM(MID($F71,FIND(":",$F71)+1,FIND(":",$F71,FIND(":",$F71)+1)-FIND(":",$F71)-1)))*1.25,"N/A"))</f>
        <v>31.25</v>
      </c>
      <c r="I71">
        <f t="shared" ref="I71:I79" si="16">IF($F71="","",IFERROR(VALUE(TRIM(LEFT(MID($F71,FIND(":",$F71,FIND(":",$F71)+1)+1,LEN($F71)),FIND(" ",MID($F71,FIND(":",$F71,FIND(":",$F71)+1)+1,LEN($F71))&amp;" ")-1)))*1.25,"N/A"))</f>
        <v>50</v>
      </c>
      <c r="J71">
        <f t="shared" ref="J71:J79" si="17">IF(OR($F71="",$H71="N/A"),IF($F71="","","N/A"),ROUND($H71/0.46,2))</f>
        <v>67.930000000000007</v>
      </c>
      <c r="K71">
        <f t="shared" ref="K71:K79" si="18">IF(OR($F71="",$J71="N/A"),IF($F71="","","N/A"),$J71*0.18)</f>
        <v>12.227400000000001</v>
      </c>
      <c r="L71">
        <f t="shared" ref="L71:L79" si="19">IF(OR($F71="",$G71="N/A",$K71="N/A"),IF($F71="","","N/A"),ROUND(($G71-$K71)/0.46,2))</f>
        <v>109.29</v>
      </c>
      <c r="M71">
        <f t="shared" ref="M71:M79" si="20">IF(OR($F71="",$I71="N/A"),IF($F71="","","N/A"),ROUND($I71/0.6,2))</f>
        <v>83.33</v>
      </c>
    </row>
    <row r="72" spans="1:13" ht="18" customHeight="1" x14ac:dyDescent="0.3">
      <c r="A72" s="25" t="s">
        <v>263</v>
      </c>
      <c r="B72" s="25"/>
      <c r="C72" s="25"/>
      <c r="G72" t="str">
        <f t="shared" si="14"/>
        <v/>
      </c>
      <c r="H72" t="str">
        <f t="shared" si="15"/>
        <v/>
      </c>
      <c r="I72" t="str">
        <f t="shared" si="16"/>
        <v/>
      </c>
      <c r="J72" t="str">
        <f t="shared" si="17"/>
        <v/>
      </c>
      <c r="K72" t="str">
        <f t="shared" si="18"/>
        <v/>
      </c>
      <c r="L72" t="str">
        <f t="shared" si="19"/>
        <v/>
      </c>
      <c r="M72" t="str">
        <f t="shared" si="20"/>
        <v/>
      </c>
    </row>
    <row r="73" spans="1:13" ht="15" customHeight="1" x14ac:dyDescent="0.3">
      <c r="A73" s="16" t="s">
        <v>264</v>
      </c>
      <c r="B73" s="17" t="s">
        <v>206</v>
      </c>
      <c r="C73" s="18"/>
      <c r="D73" s="19" t="s">
        <v>66</v>
      </c>
      <c r="E73" s="1" t="s">
        <v>65</v>
      </c>
      <c r="F73" s="20" t="s">
        <v>207</v>
      </c>
      <c r="G73">
        <f t="shared" si="14"/>
        <v>700</v>
      </c>
      <c r="H73">
        <f t="shared" si="15"/>
        <v>400</v>
      </c>
      <c r="I73">
        <f t="shared" si="16"/>
        <v>1500</v>
      </c>
      <c r="J73">
        <f t="shared" si="17"/>
        <v>869.57</v>
      </c>
      <c r="K73">
        <f t="shared" si="18"/>
        <v>156.52260000000001</v>
      </c>
      <c r="L73">
        <f t="shared" si="19"/>
        <v>1181.47</v>
      </c>
      <c r="M73">
        <f t="shared" si="20"/>
        <v>2500</v>
      </c>
    </row>
    <row r="74" spans="1:13" ht="15" customHeight="1" x14ac:dyDescent="0.3">
      <c r="A74" s="21" t="s">
        <v>264</v>
      </c>
      <c r="B74" s="22" t="s">
        <v>444</v>
      </c>
      <c r="C74" s="23"/>
      <c r="D74" s="24" t="s">
        <v>66</v>
      </c>
      <c r="E74" s="1" t="s">
        <v>65</v>
      </c>
      <c r="F74" s="20" t="s">
        <v>433</v>
      </c>
      <c r="G74">
        <f t="shared" si="14"/>
        <v>1250</v>
      </c>
      <c r="H74">
        <f t="shared" si="15"/>
        <v>1250</v>
      </c>
      <c r="I74">
        <f t="shared" si="16"/>
        <v>1875</v>
      </c>
      <c r="J74">
        <f t="shared" si="17"/>
        <v>2717.39</v>
      </c>
      <c r="K74">
        <f t="shared" si="18"/>
        <v>489.13019999999995</v>
      </c>
      <c r="L74">
        <f t="shared" si="19"/>
        <v>1654.06</v>
      </c>
      <c r="M74">
        <f t="shared" si="20"/>
        <v>3125</v>
      </c>
    </row>
    <row r="75" spans="1:13" ht="18" customHeight="1" x14ac:dyDescent="0.3">
      <c r="A75" s="25" t="s">
        <v>269</v>
      </c>
      <c r="B75" s="25"/>
      <c r="C75" s="25"/>
      <c r="G75" t="str">
        <f t="shared" si="14"/>
        <v/>
      </c>
      <c r="H75" t="str">
        <f t="shared" si="15"/>
        <v/>
      </c>
      <c r="I75" t="str">
        <f t="shared" si="16"/>
        <v/>
      </c>
      <c r="J75" t="str">
        <f t="shared" si="17"/>
        <v/>
      </c>
      <c r="K75" t="str">
        <f t="shared" si="18"/>
        <v/>
      </c>
      <c r="L75" t="str">
        <f t="shared" si="19"/>
        <v/>
      </c>
      <c r="M75" t="str">
        <f t="shared" si="20"/>
        <v/>
      </c>
    </row>
    <row r="76" spans="1:13" ht="15" customHeight="1" x14ac:dyDescent="0.3">
      <c r="A76" s="16" t="s">
        <v>270</v>
      </c>
      <c r="B76" s="17" t="s">
        <v>272</v>
      </c>
      <c r="C76" s="18"/>
      <c r="D76" s="19" t="s">
        <v>66</v>
      </c>
      <c r="E76" s="1" t="s">
        <v>65</v>
      </c>
      <c r="F76" s="20" t="s">
        <v>273</v>
      </c>
      <c r="G76">
        <f t="shared" si="14"/>
        <v>112.5</v>
      </c>
      <c r="H76">
        <f t="shared" si="15"/>
        <v>112.5</v>
      </c>
      <c r="I76">
        <f t="shared" si="16"/>
        <v>93.75</v>
      </c>
      <c r="J76">
        <f t="shared" si="17"/>
        <v>244.57</v>
      </c>
      <c r="K76">
        <f t="shared" si="18"/>
        <v>44.022599999999997</v>
      </c>
      <c r="L76">
        <f t="shared" si="19"/>
        <v>148.86000000000001</v>
      </c>
      <c r="M76">
        <f t="shared" si="20"/>
        <v>156.25</v>
      </c>
    </row>
    <row r="77" spans="1:13" ht="15" customHeight="1" x14ac:dyDescent="0.3">
      <c r="A77" s="21" t="s">
        <v>270</v>
      </c>
      <c r="B77" s="22" t="s">
        <v>271</v>
      </c>
      <c r="C77" s="23"/>
      <c r="D77" s="24" t="s">
        <v>66</v>
      </c>
      <c r="E77" s="1" t="s">
        <v>65</v>
      </c>
      <c r="F77" s="20" t="s">
        <v>241</v>
      </c>
      <c r="G77">
        <f t="shared" si="14"/>
        <v>7.5</v>
      </c>
      <c r="H77">
        <f t="shared" si="15"/>
        <v>15</v>
      </c>
      <c r="I77">
        <f t="shared" si="16"/>
        <v>15</v>
      </c>
      <c r="J77">
        <f t="shared" si="17"/>
        <v>32.61</v>
      </c>
      <c r="K77">
        <f t="shared" si="18"/>
        <v>5.8697999999999997</v>
      </c>
      <c r="L77">
        <f t="shared" si="19"/>
        <v>3.54</v>
      </c>
      <c r="M77">
        <f t="shared" si="20"/>
        <v>25</v>
      </c>
    </row>
    <row r="78" spans="1:13" ht="15" customHeight="1" x14ac:dyDescent="0.3">
      <c r="A78" s="16" t="s">
        <v>270</v>
      </c>
      <c r="B78" s="17" t="s">
        <v>445</v>
      </c>
      <c r="C78" s="18"/>
      <c r="D78" s="19" t="s">
        <v>66</v>
      </c>
      <c r="E78" s="1" t="s">
        <v>65</v>
      </c>
      <c r="F78" s="20" t="s">
        <v>446</v>
      </c>
      <c r="G78">
        <f t="shared" si="14"/>
        <v>150</v>
      </c>
      <c r="H78">
        <f t="shared" si="15"/>
        <v>187.5</v>
      </c>
      <c r="I78">
        <f t="shared" si="16"/>
        <v>187.5</v>
      </c>
      <c r="J78">
        <f t="shared" si="17"/>
        <v>407.61</v>
      </c>
      <c r="K78">
        <f t="shared" si="18"/>
        <v>73.369799999999998</v>
      </c>
      <c r="L78">
        <f t="shared" si="19"/>
        <v>166.59</v>
      </c>
      <c r="M78">
        <f t="shared" si="20"/>
        <v>312.5</v>
      </c>
    </row>
    <row r="79" spans="1:13" ht="15" customHeight="1" x14ac:dyDescent="0.3">
      <c r="A79" s="21" t="s">
        <v>270</v>
      </c>
      <c r="B79" s="22" t="s">
        <v>274</v>
      </c>
      <c r="C79" s="23"/>
      <c r="D79" s="24" t="s">
        <v>66</v>
      </c>
      <c r="E79" s="1" t="s">
        <v>65</v>
      </c>
      <c r="F79" s="20" t="s">
        <v>275</v>
      </c>
      <c r="G79">
        <f t="shared" si="14"/>
        <v>75</v>
      </c>
      <c r="H79">
        <f t="shared" si="15"/>
        <v>150</v>
      </c>
      <c r="I79">
        <f t="shared" si="16"/>
        <v>150</v>
      </c>
      <c r="J79">
        <f t="shared" si="17"/>
        <v>326.08999999999997</v>
      </c>
      <c r="K79">
        <f t="shared" si="18"/>
        <v>58.69619999999999</v>
      </c>
      <c r="L79">
        <f t="shared" si="19"/>
        <v>35.44</v>
      </c>
      <c r="M79">
        <f t="shared" si="20"/>
        <v>250</v>
      </c>
    </row>
  </sheetData>
  <mergeCells count="13">
    <mergeCell ref="A1:C1"/>
    <mergeCell ref="A2:C2"/>
    <mergeCell ref="A3:C3"/>
    <mergeCell ref="A4:C4"/>
    <mergeCell ref="A7:C7"/>
    <mergeCell ref="A62:C62"/>
    <mergeCell ref="A72:C72"/>
    <mergeCell ref="A75:C75"/>
    <mergeCell ref="A13:C13"/>
    <mergeCell ref="A20:C20"/>
    <mergeCell ref="A28:C28"/>
    <mergeCell ref="A34:C34"/>
    <mergeCell ref="A45:C4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D6A7"/>
  </sheetPr>
  <dimension ref="A1:M66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447</v>
      </c>
      <c r="B1" s="26"/>
      <c r="C1" s="26"/>
    </row>
    <row r="2" spans="1:13" ht="19.5" customHeight="1" x14ac:dyDescent="0.3">
      <c r="A2" s="27" t="s">
        <v>448</v>
      </c>
      <c r="B2" s="27"/>
      <c r="C2" s="27"/>
    </row>
    <row r="3" spans="1:13" ht="19.5" customHeight="1" x14ac:dyDescent="0.3">
      <c r="A3" s="27" t="s">
        <v>449</v>
      </c>
      <c r="B3" s="27"/>
      <c r="C3" s="27"/>
    </row>
    <row r="4" spans="1:13" ht="19.5" customHeight="1" x14ac:dyDescent="0.3">
      <c r="A4" s="27" t="s">
        <v>450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372</v>
      </c>
      <c r="C8" s="18"/>
      <c r="D8" s="19" t="s">
        <v>87</v>
      </c>
      <c r="E8" s="1" t="s">
        <v>51</v>
      </c>
      <c r="F8" s="20" t="s">
        <v>291</v>
      </c>
      <c r="G8">
        <f t="shared" si="0"/>
        <v>150</v>
      </c>
      <c r="H8">
        <f t="shared" si="1"/>
        <v>75</v>
      </c>
      <c r="I8">
        <f t="shared" si="2"/>
        <v>50</v>
      </c>
      <c r="J8">
        <f t="shared" si="3"/>
        <v>163.04</v>
      </c>
      <c r="K8">
        <f t="shared" si="4"/>
        <v>29.347199999999997</v>
      </c>
      <c r="L8">
        <f t="shared" si="5"/>
        <v>262.29000000000002</v>
      </c>
      <c r="M8">
        <f t="shared" si="6"/>
        <v>83.33</v>
      </c>
    </row>
    <row r="9" spans="1:13" ht="15" customHeight="1" x14ac:dyDescent="0.3">
      <c r="A9" s="21" t="s">
        <v>141</v>
      </c>
      <c r="B9" s="22" t="s">
        <v>142</v>
      </c>
      <c r="C9" s="23"/>
      <c r="D9" s="24" t="s">
        <v>87</v>
      </c>
      <c r="E9" s="1" t="s">
        <v>51</v>
      </c>
      <c r="F9" s="20" t="s">
        <v>143</v>
      </c>
      <c r="G9">
        <f t="shared" si="0"/>
        <v>187.5</v>
      </c>
      <c r="H9">
        <f t="shared" si="1"/>
        <v>62.5</v>
      </c>
      <c r="I9">
        <f t="shared" si="2"/>
        <v>62.5</v>
      </c>
      <c r="J9">
        <f t="shared" si="3"/>
        <v>135.87</v>
      </c>
      <c r="K9">
        <f t="shared" si="4"/>
        <v>24.456600000000002</v>
      </c>
      <c r="L9">
        <f t="shared" si="5"/>
        <v>354.44</v>
      </c>
      <c r="M9">
        <f t="shared" si="6"/>
        <v>104.17</v>
      </c>
    </row>
    <row r="10" spans="1:13" ht="15" customHeight="1" x14ac:dyDescent="0.3">
      <c r="A10" s="16" t="s">
        <v>141</v>
      </c>
      <c r="B10" s="17" t="s">
        <v>148</v>
      </c>
      <c r="C10" s="18"/>
      <c r="D10" s="19" t="s">
        <v>87</v>
      </c>
      <c r="E10" s="1" t="s">
        <v>51</v>
      </c>
      <c r="F10" s="20" t="s">
        <v>149</v>
      </c>
      <c r="G10">
        <f t="shared" si="0"/>
        <v>50</v>
      </c>
      <c r="H10">
        <f t="shared" si="1"/>
        <v>25</v>
      </c>
      <c r="I10">
        <f t="shared" si="2"/>
        <v>25</v>
      </c>
      <c r="J10">
        <f t="shared" si="3"/>
        <v>54.35</v>
      </c>
      <c r="K10">
        <f t="shared" si="4"/>
        <v>9.7829999999999995</v>
      </c>
      <c r="L10">
        <f t="shared" si="5"/>
        <v>87.43</v>
      </c>
      <c r="M10">
        <f t="shared" si="6"/>
        <v>41.67</v>
      </c>
    </row>
    <row r="11" spans="1:13" ht="15" customHeight="1" x14ac:dyDescent="0.3">
      <c r="A11" s="21" t="s">
        <v>141</v>
      </c>
      <c r="B11" s="22" t="s">
        <v>144</v>
      </c>
      <c r="C11" s="23"/>
      <c r="D11" s="24" t="s">
        <v>87</v>
      </c>
      <c r="E11" s="1" t="s">
        <v>51</v>
      </c>
      <c r="F11" s="20" t="s">
        <v>145</v>
      </c>
      <c r="G11">
        <f t="shared" si="0"/>
        <v>187.5</v>
      </c>
      <c r="H11">
        <f t="shared" si="1"/>
        <v>93.75</v>
      </c>
      <c r="I11">
        <f t="shared" si="2"/>
        <v>93.75</v>
      </c>
      <c r="J11">
        <f t="shared" si="3"/>
        <v>203.8</v>
      </c>
      <c r="K11">
        <f t="shared" si="4"/>
        <v>36.683999999999997</v>
      </c>
      <c r="L11">
        <f t="shared" si="5"/>
        <v>327.86</v>
      </c>
      <c r="M11">
        <f t="shared" si="6"/>
        <v>156.25</v>
      </c>
    </row>
    <row r="12" spans="1:13" ht="15" customHeight="1" x14ac:dyDescent="0.3">
      <c r="A12" s="16" t="s">
        <v>141</v>
      </c>
      <c r="B12" s="17" t="s">
        <v>373</v>
      </c>
      <c r="C12" s="18"/>
      <c r="D12" s="19" t="s">
        <v>87</v>
      </c>
      <c r="E12" s="1" t="s">
        <v>51</v>
      </c>
      <c r="F12" s="20" t="s">
        <v>374</v>
      </c>
      <c r="G12">
        <f t="shared" si="0"/>
        <v>75</v>
      </c>
      <c r="H12">
        <f t="shared" si="1"/>
        <v>37.5</v>
      </c>
      <c r="I12">
        <f t="shared" si="2"/>
        <v>25</v>
      </c>
      <c r="J12">
        <f t="shared" si="3"/>
        <v>81.52</v>
      </c>
      <c r="K12">
        <f t="shared" si="4"/>
        <v>14.673599999999999</v>
      </c>
      <c r="L12">
        <f t="shared" si="5"/>
        <v>131.13999999999999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376</v>
      </c>
      <c r="C13" s="23"/>
      <c r="D13" s="24" t="s">
        <v>87</v>
      </c>
      <c r="E13" s="1" t="s">
        <v>51</v>
      </c>
      <c r="F13" s="20" t="s">
        <v>147</v>
      </c>
      <c r="G13">
        <f t="shared" si="0"/>
        <v>100</v>
      </c>
      <c r="H13">
        <f t="shared" si="1"/>
        <v>50</v>
      </c>
      <c r="I13">
        <f t="shared" si="2"/>
        <v>50</v>
      </c>
      <c r="J13">
        <f t="shared" si="3"/>
        <v>108.7</v>
      </c>
      <c r="K13">
        <f t="shared" si="4"/>
        <v>19.565999999999999</v>
      </c>
      <c r="L13">
        <f t="shared" si="5"/>
        <v>174.86</v>
      </c>
      <c r="M13">
        <f t="shared" si="6"/>
        <v>83.33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378</v>
      </c>
      <c r="C15" s="18"/>
      <c r="D15" s="19" t="s">
        <v>87</v>
      </c>
      <c r="E15" s="1" t="s">
        <v>51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379</v>
      </c>
      <c r="C16" s="23"/>
      <c r="D16" s="24" t="s">
        <v>87</v>
      </c>
      <c r="E16" s="1" t="s">
        <v>51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380</v>
      </c>
      <c r="C17" s="18"/>
      <c r="D17" s="19" t="s">
        <v>87</v>
      </c>
      <c r="E17" s="1" t="s">
        <v>51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356</v>
      </c>
      <c r="C18" s="23"/>
      <c r="D18" s="24" t="s">
        <v>87</v>
      </c>
      <c r="E18" s="1" t="s">
        <v>51</v>
      </c>
      <c r="F18" s="20" t="s">
        <v>158</v>
      </c>
      <c r="G18">
        <f t="shared" si="0"/>
        <v>31.25</v>
      </c>
      <c r="H18">
        <f t="shared" si="1"/>
        <v>62.5</v>
      </c>
      <c r="I18">
        <f t="shared" si="2"/>
        <v>37.5</v>
      </c>
      <c r="J18">
        <f t="shared" si="3"/>
        <v>135.87</v>
      </c>
      <c r="K18">
        <f t="shared" si="4"/>
        <v>24.456600000000002</v>
      </c>
      <c r="L18">
        <f t="shared" si="5"/>
        <v>14.77</v>
      </c>
      <c r="M18">
        <f t="shared" si="6"/>
        <v>62.5</v>
      </c>
    </row>
    <row r="19" spans="1:13" ht="15" customHeight="1" x14ac:dyDescent="0.3">
      <c r="A19" s="16" t="s">
        <v>156</v>
      </c>
      <c r="B19" s="17" t="s">
        <v>357</v>
      </c>
      <c r="C19" s="18"/>
      <c r="D19" s="19" t="s">
        <v>87</v>
      </c>
      <c r="E19" s="1" t="s">
        <v>51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8" customHeight="1" x14ac:dyDescent="0.3">
      <c r="A20" s="25" t="s">
        <v>167</v>
      </c>
      <c r="B20" s="25"/>
      <c r="C20" s="25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5"/>
        <v/>
      </c>
      <c r="M20" t="str">
        <f t="shared" si="6"/>
        <v/>
      </c>
    </row>
    <row r="21" spans="1:13" ht="15" customHeight="1" x14ac:dyDescent="0.3">
      <c r="A21" s="21" t="s">
        <v>168</v>
      </c>
      <c r="B21" s="22" t="s">
        <v>358</v>
      </c>
      <c r="C21" s="23"/>
      <c r="D21" s="24" t="s">
        <v>87</v>
      </c>
      <c r="E21" s="1" t="s">
        <v>51</v>
      </c>
      <c r="F21" s="20" t="s">
        <v>147</v>
      </c>
      <c r="G21">
        <f t="shared" si="0"/>
        <v>100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174.86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172</v>
      </c>
      <c r="C22" s="18"/>
      <c r="D22" s="19" t="s">
        <v>87</v>
      </c>
      <c r="E22" s="1" t="s">
        <v>51</v>
      </c>
      <c r="F22" s="20" t="s">
        <v>173</v>
      </c>
      <c r="G22">
        <f t="shared" si="0"/>
        <v>75</v>
      </c>
      <c r="H22">
        <f t="shared" si="1"/>
        <v>112.5</v>
      </c>
      <c r="I22">
        <f t="shared" si="2"/>
        <v>75</v>
      </c>
      <c r="J22">
        <f t="shared" si="3"/>
        <v>244.57</v>
      </c>
      <c r="K22">
        <f t="shared" si="4"/>
        <v>44.022599999999997</v>
      </c>
      <c r="L22">
        <f t="shared" si="5"/>
        <v>67.34</v>
      </c>
      <c r="M22">
        <f t="shared" si="6"/>
        <v>125</v>
      </c>
    </row>
    <row r="23" spans="1:13" ht="15" customHeight="1" x14ac:dyDescent="0.3">
      <c r="A23" s="21" t="s">
        <v>168</v>
      </c>
      <c r="B23" s="22" t="s">
        <v>169</v>
      </c>
      <c r="C23" s="23"/>
      <c r="D23" s="24" t="s">
        <v>87</v>
      </c>
      <c r="E23" s="1" t="s">
        <v>51</v>
      </c>
      <c r="F23" s="20" t="s">
        <v>170</v>
      </c>
      <c r="G23">
        <f t="shared" si="0"/>
        <v>25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83.33</v>
      </c>
    </row>
    <row r="24" spans="1:13" ht="15" customHeight="1" x14ac:dyDescent="0.3">
      <c r="A24" s="16" t="s">
        <v>168</v>
      </c>
      <c r="B24" s="17" t="s">
        <v>295</v>
      </c>
      <c r="C24" s="18"/>
      <c r="D24" s="19" t="s">
        <v>87</v>
      </c>
      <c r="E24" s="1" t="s">
        <v>51</v>
      </c>
      <c r="F24" s="20" t="s">
        <v>149</v>
      </c>
      <c r="G24">
        <f t="shared" si="0"/>
        <v>50</v>
      </c>
      <c r="H24">
        <f t="shared" si="1"/>
        <v>25</v>
      </c>
      <c r="I24">
        <f t="shared" si="2"/>
        <v>25</v>
      </c>
      <c r="J24">
        <f t="shared" si="3"/>
        <v>54.35</v>
      </c>
      <c r="K24">
        <f t="shared" si="4"/>
        <v>9.7829999999999995</v>
      </c>
      <c r="L24">
        <f t="shared" si="5"/>
        <v>87.43</v>
      </c>
      <c r="M24">
        <f t="shared" si="6"/>
        <v>41.67</v>
      </c>
    </row>
    <row r="25" spans="1:13" ht="15" customHeight="1" x14ac:dyDescent="0.3">
      <c r="A25" s="21" t="s">
        <v>168</v>
      </c>
      <c r="B25" s="22" t="s">
        <v>294</v>
      </c>
      <c r="C25" s="23"/>
      <c r="D25" s="24" t="s">
        <v>87</v>
      </c>
      <c r="E25" s="1" t="s">
        <v>51</v>
      </c>
      <c r="F25" s="20" t="s">
        <v>149</v>
      </c>
      <c r="G25">
        <f t="shared" si="0"/>
        <v>50</v>
      </c>
      <c r="H25">
        <f t="shared" si="1"/>
        <v>25</v>
      </c>
      <c r="I25">
        <f t="shared" si="2"/>
        <v>25</v>
      </c>
      <c r="J25">
        <f t="shared" si="3"/>
        <v>54.35</v>
      </c>
      <c r="K25">
        <f t="shared" si="4"/>
        <v>9.7829999999999995</v>
      </c>
      <c r="L25">
        <f t="shared" si="5"/>
        <v>87.43</v>
      </c>
      <c r="M25">
        <f t="shared" si="6"/>
        <v>41.67</v>
      </c>
    </row>
    <row r="26" spans="1:13" ht="18" customHeight="1" x14ac:dyDescent="0.3">
      <c r="A26" s="25" t="s">
        <v>180</v>
      </c>
      <c r="B26" s="25"/>
      <c r="C26" s="25"/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  <c r="L26" t="str">
        <f t="shared" si="5"/>
        <v/>
      </c>
      <c r="M26" t="str">
        <f t="shared" si="6"/>
        <v/>
      </c>
    </row>
    <row r="27" spans="1:13" ht="15" customHeight="1" x14ac:dyDescent="0.3">
      <c r="A27" s="16" t="s">
        <v>181</v>
      </c>
      <c r="B27" s="17" t="s">
        <v>182</v>
      </c>
      <c r="C27" s="18"/>
      <c r="D27" s="19" t="s">
        <v>87</v>
      </c>
      <c r="E27" s="1" t="s">
        <v>51</v>
      </c>
      <c r="F27" s="20" t="s">
        <v>183</v>
      </c>
      <c r="G27">
        <f t="shared" si="0"/>
        <v>350</v>
      </c>
      <c r="H27">
        <f t="shared" si="1"/>
        <v>112.5</v>
      </c>
      <c r="I27">
        <f t="shared" si="2"/>
        <v>112.5</v>
      </c>
      <c r="J27">
        <f t="shared" si="3"/>
        <v>244.57</v>
      </c>
      <c r="K27">
        <f t="shared" si="4"/>
        <v>44.022599999999997</v>
      </c>
      <c r="L27">
        <f t="shared" si="5"/>
        <v>665.17</v>
      </c>
      <c r="M27">
        <f t="shared" si="6"/>
        <v>187.5</v>
      </c>
    </row>
    <row r="28" spans="1:13" ht="15" customHeight="1" x14ac:dyDescent="0.3">
      <c r="A28" s="21" t="s">
        <v>181</v>
      </c>
      <c r="B28" s="22" t="s">
        <v>184</v>
      </c>
      <c r="C28" s="23"/>
      <c r="D28" s="24" t="s">
        <v>87</v>
      </c>
      <c r="E28" s="1" t="s">
        <v>51</v>
      </c>
      <c r="F28" s="20" t="s">
        <v>185</v>
      </c>
      <c r="G28">
        <f t="shared" si="0"/>
        <v>125</v>
      </c>
      <c r="H28">
        <f t="shared" si="1"/>
        <v>62.5</v>
      </c>
      <c r="I28">
        <f t="shared" si="2"/>
        <v>62.5</v>
      </c>
      <c r="J28">
        <f t="shared" si="3"/>
        <v>135.87</v>
      </c>
      <c r="K28">
        <f t="shared" si="4"/>
        <v>24.456600000000002</v>
      </c>
      <c r="L28">
        <f t="shared" si="5"/>
        <v>218.57</v>
      </c>
      <c r="M28">
        <f t="shared" si="6"/>
        <v>104.17</v>
      </c>
    </row>
    <row r="29" spans="1:13" ht="18" customHeight="1" x14ac:dyDescent="0.3">
      <c r="A29" s="25" t="s">
        <v>187</v>
      </c>
      <c r="B29" s="25"/>
      <c r="C29" s="25"/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5"/>
        <v/>
      </c>
      <c r="M29" t="str">
        <f t="shared" si="6"/>
        <v/>
      </c>
    </row>
    <row r="30" spans="1:13" ht="15" customHeight="1" x14ac:dyDescent="0.3">
      <c r="A30" s="16" t="s">
        <v>188</v>
      </c>
      <c r="B30" s="17" t="s">
        <v>312</v>
      </c>
      <c r="C30" s="18"/>
      <c r="D30" s="19" t="s">
        <v>87</v>
      </c>
      <c r="E30" s="1" t="s">
        <v>51</v>
      </c>
      <c r="F30" s="20" t="s">
        <v>190</v>
      </c>
      <c r="G30">
        <f t="shared" si="0"/>
        <v>125</v>
      </c>
      <c r="H30">
        <f t="shared" si="1"/>
        <v>125</v>
      </c>
      <c r="I30">
        <f t="shared" si="2"/>
        <v>187.5</v>
      </c>
      <c r="J30">
        <f t="shared" si="3"/>
        <v>271.74</v>
      </c>
      <c r="K30">
        <f t="shared" si="4"/>
        <v>48.913200000000003</v>
      </c>
      <c r="L30">
        <f t="shared" si="5"/>
        <v>165.41</v>
      </c>
      <c r="M30">
        <f t="shared" si="6"/>
        <v>312.5</v>
      </c>
    </row>
    <row r="31" spans="1:13" ht="15" customHeight="1" x14ac:dyDescent="0.3">
      <c r="A31" s="21" t="s">
        <v>188</v>
      </c>
      <c r="B31" s="22" t="s">
        <v>195</v>
      </c>
      <c r="C31" s="23"/>
      <c r="D31" s="24" t="s">
        <v>87</v>
      </c>
      <c r="E31" s="1" t="s">
        <v>51</v>
      </c>
      <c r="F31" s="20" t="s">
        <v>194</v>
      </c>
      <c r="G31">
        <f t="shared" si="0"/>
        <v>125</v>
      </c>
      <c r="H31">
        <f t="shared" si="1"/>
        <v>125</v>
      </c>
      <c r="I31">
        <f t="shared" si="2"/>
        <v>125</v>
      </c>
      <c r="J31">
        <f t="shared" si="3"/>
        <v>271.74</v>
      </c>
      <c r="K31">
        <f t="shared" si="4"/>
        <v>48.913200000000003</v>
      </c>
      <c r="L31">
        <f t="shared" si="5"/>
        <v>165.41</v>
      </c>
      <c r="M31">
        <f t="shared" si="6"/>
        <v>208.33</v>
      </c>
    </row>
    <row r="32" spans="1:13" ht="15" customHeight="1" x14ac:dyDescent="0.3">
      <c r="A32" s="16" t="s">
        <v>188</v>
      </c>
      <c r="B32" s="17" t="s">
        <v>405</v>
      </c>
      <c r="C32" s="18"/>
      <c r="D32" s="19" t="s">
        <v>87</v>
      </c>
      <c r="E32" s="1" t="s">
        <v>51</v>
      </c>
      <c r="F32" s="20" t="s">
        <v>199</v>
      </c>
      <c r="G32">
        <f t="shared" si="0"/>
        <v>750</v>
      </c>
      <c r="H32">
        <f t="shared" si="1"/>
        <v>250</v>
      </c>
      <c r="I32">
        <f t="shared" si="2"/>
        <v>375</v>
      </c>
      <c r="J32">
        <f t="shared" si="3"/>
        <v>543.48</v>
      </c>
      <c r="K32">
        <f t="shared" si="4"/>
        <v>97.826400000000007</v>
      </c>
      <c r="L32">
        <f t="shared" si="5"/>
        <v>1417.77</v>
      </c>
      <c r="M32">
        <f t="shared" si="6"/>
        <v>625</v>
      </c>
    </row>
    <row r="33" spans="1:13" ht="15" customHeight="1" x14ac:dyDescent="0.3">
      <c r="A33" s="21" t="s">
        <v>188</v>
      </c>
      <c r="B33" s="22" t="s">
        <v>404</v>
      </c>
      <c r="C33" s="23"/>
      <c r="D33" s="24" t="s">
        <v>87</v>
      </c>
      <c r="E33" s="1" t="s">
        <v>51</v>
      </c>
      <c r="F33" s="20" t="s">
        <v>388</v>
      </c>
      <c r="G33">
        <f t="shared" si="0"/>
        <v>625</v>
      </c>
      <c r="H33">
        <f t="shared" si="1"/>
        <v>250</v>
      </c>
      <c r="I33">
        <f t="shared" si="2"/>
        <v>625</v>
      </c>
      <c r="J33">
        <f t="shared" si="3"/>
        <v>543.48</v>
      </c>
      <c r="K33">
        <f t="shared" si="4"/>
        <v>97.826400000000007</v>
      </c>
      <c r="L33">
        <f t="shared" si="5"/>
        <v>1146.03</v>
      </c>
      <c r="M33">
        <f t="shared" si="6"/>
        <v>1041.67</v>
      </c>
    </row>
    <row r="34" spans="1:13" ht="15" customHeight="1" x14ac:dyDescent="0.3">
      <c r="A34" s="16" t="s">
        <v>188</v>
      </c>
      <c r="B34" s="17" t="s">
        <v>451</v>
      </c>
      <c r="C34" s="18"/>
      <c r="D34" s="19" t="s">
        <v>87</v>
      </c>
      <c r="E34" s="1" t="s">
        <v>51</v>
      </c>
      <c r="F34" s="20" t="s">
        <v>452</v>
      </c>
      <c r="G34">
        <f t="shared" si="0"/>
        <v>250</v>
      </c>
      <c r="H34">
        <f t="shared" si="1"/>
        <v>625</v>
      </c>
      <c r="I34">
        <f t="shared" si="2"/>
        <v>250</v>
      </c>
      <c r="J34">
        <f t="shared" si="3"/>
        <v>1358.7</v>
      </c>
      <c r="K34">
        <f t="shared" si="4"/>
        <v>244.566</v>
      </c>
      <c r="L34">
        <f t="shared" si="5"/>
        <v>11.81</v>
      </c>
      <c r="M34">
        <f t="shared" si="6"/>
        <v>416.67</v>
      </c>
    </row>
    <row r="35" spans="1:13" ht="15" customHeight="1" x14ac:dyDescent="0.3">
      <c r="A35" s="21" t="s">
        <v>188</v>
      </c>
      <c r="B35" s="22" t="s">
        <v>193</v>
      </c>
      <c r="C35" s="23"/>
      <c r="D35" s="24" t="s">
        <v>87</v>
      </c>
      <c r="E35" s="1" t="s">
        <v>51</v>
      </c>
      <c r="F35" s="20" t="s">
        <v>194</v>
      </c>
      <c r="G35">
        <f t="shared" si="0"/>
        <v>125</v>
      </c>
      <c r="H35">
        <f t="shared" si="1"/>
        <v>125</v>
      </c>
      <c r="I35">
        <f t="shared" si="2"/>
        <v>125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208.33</v>
      </c>
    </row>
    <row r="36" spans="1:13" ht="15" customHeight="1" x14ac:dyDescent="0.3">
      <c r="A36" s="16" t="s">
        <v>188</v>
      </c>
      <c r="B36" s="17" t="s">
        <v>196</v>
      </c>
      <c r="C36" s="18"/>
      <c r="D36" s="19" t="s">
        <v>87</v>
      </c>
      <c r="E36" s="1" t="s">
        <v>51</v>
      </c>
      <c r="F36" s="20" t="s">
        <v>197</v>
      </c>
      <c r="G36">
        <f t="shared" si="0"/>
        <v>750</v>
      </c>
      <c r="H36">
        <f t="shared" si="1"/>
        <v>625</v>
      </c>
      <c r="I36">
        <f t="shared" si="2"/>
        <v>1500</v>
      </c>
      <c r="J36">
        <f t="shared" si="3"/>
        <v>1358.7</v>
      </c>
      <c r="K36">
        <f t="shared" si="4"/>
        <v>244.566</v>
      </c>
      <c r="L36">
        <f t="shared" si="5"/>
        <v>1098.77</v>
      </c>
      <c r="M36">
        <f t="shared" si="6"/>
        <v>2500</v>
      </c>
    </row>
    <row r="37" spans="1:13" ht="18" customHeight="1" x14ac:dyDescent="0.3">
      <c r="A37" s="25" t="s">
        <v>220</v>
      </c>
      <c r="B37" s="25"/>
      <c r="C37" s="25"/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  <c r="L37" t="str">
        <f t="shared" si="5"/>
        <v/>
      </c>
      <c r="M37" t="str">
        <f t="shared" si="6"/>
        <v/>
      </c>
    </row>
    <row r="38" spans="1:13" ht="15" customHeight="1" x14ac:dyDescent="0.3">
      <c r="A38" s="21" t="s">
        <v>221</v>
      </c>
      <c r="B38" s="22" t="s">
        <v>321</v>
      </c>
      <c r="C38" s="23"/>
      <c r="D38" s="24" t="s">
        <v>87</v>
      </c>
      <c r="E38" s="1" t="s">
        <v>51</v>
      </c>
      <c r="F38" s="20" t="s">
        <v>322</v>
      </c>
      <c r="G38">
        <f t="shared" si="0"/>
        <v>150</v>
      </c>
      <c r="H38">
        <f t="shared" si="1"/>
        <v>300</v>
      </c>
      <c r="I38">
        <f t="shared" si="2"/>
        <v>150</v>
      </c>
      <c r="J38">
        <f t="shared" si="3"/>
        <v>652.16999999999996</v>
      </c>
      <c r="K38">
        <f t="shared" si="4"/>
        <v>117.39059999999999</v>
      </c>
      <c r="L38">
        <f t="shared" si="5"/>
        <v>70.89</v>
      </c>
      <c r="M38">
        <f t="shared" si="6"/>
        <v>250</v>
      </c>
    </row>
    <row r="39" spans="1:13" ht="15" customHeight="1" x14ac:dyDescent="0.3">
      <c r="A39" s="16" t="s">
        <v>221</v>
      </c>
      <c r="B39" s="17" t="s">
        <v>222</v>
      </c>
      <c r="C39" s="18"/>
      <c r="D39" s="19" t="s">
        <v>87</v>
      </c>
      <c r="E39" s="1" t="s">
        <v>51</v>
      </c>
      <c r="F39" s="20" t="s">
        <v>223</v>
      </c>
      <c r="G39">
        <f t="shared" ref="G39:G66" si="7">IF($F39="","",IFERROR(VALUE(TRIM(LEFT($F39,FIND(":",$F39)-1)))*1.25,"N/A"))</f>
        <v>187.5</v>
      </c>
      <c r="H39">
        <f t="shared" ref="H39:H66" si="8">IF($F39="","",IFERROR(VALUE(TRIM(MID($F39,FIND(":",$F39)+1,FIND(":",$F39,FIND(":",$F39)+1)-FIND(":",$F39)-1)))*1.25,"N/A"))</f>
        <v>125</v>
      </c>
      <c r="I39">
        <f t="shared" ref="I39:I66" si="9">IF($F39="","",IFERROR(VALUE(TRIM(LEFT(MID($F39,FIND(":",$F39,FIND(":",$F39)+1)+1,LEN($F39)),FIND(" ",MID($F39,FIND(":",$F39,FIND(":",$F39)+1)+1,LEN($F39))&amp;" ")-1)))*1.25,"N/A"))</f>
        <v>62.5</v>
      </c>
      <c r="J39">
        <f t="shared" ref="J39:J66" si="10">IF(OR($F39="",$H39="N/A"),IF($F39="","","N/A"),ROUND($H39/0.46,2))</f>
        <v>271.74</v>
      </c>
      <c r="K39">
        <f t="shared" ref="K39:K66" si="11">IF(OR($F39="",$J39="N/A"),IF($F39="","","N/A"),$J39*0.18)</f>
        <v>48.913200000000003</v>
      </c>
      <c r="L39">
        <f t="shared" ref="L39:L66" si="12">IF(OR($F39="",$G39="N/A",$K39="N/A"),IF($F39="","","N/A"),ROUND(($G39-$K39)/0.46,2))</f>
        <v>301.27999999999997</v>
      </c>
      <c r="M39">
        <f t="shared" ref="M39:M66" si="13">IF(OR($F39="",$I39="N/A"),IF($F39="","","N/A"),ROUND($I39/0.6,2))</f>
        <v>104.17</v>
      </c>
    </row>
    <row r="40" spans="1:13" ht="15" customHeight="1" x14ac:dyDescent="0.3">
      <c r="A40" s="21" t="s">
        <v>221</v>
      </c>
      <c r="B40" s="22" t="s">
        <v>230</v>
      </c>
      <c r="C40" s="23"/>
      <c r="D40" s="24" t="s">
        <v>87</v>
      </c>
      <c r="E40" s="1" t="s">
        <v>51</v>
      </c>
      <c r="F40" s="20" t="s">
        <v>231</v>
      </c>
      <c r="G40">
        <f t="shared" si="7"/>
        <v>125</v>
      </c>
      <c r="H40">
        <f t="shared" si="8"/>
        <v>187.5</v>
      </c>
      <c r="I40">
        <f t="shared" si="9"/>
        <v>93.75</v>
      </c>
      <c r="J40">
        <f t="shared" si="10"/>
        <v>407.61</v>
      </c>
      <c r="K40">
        <f t="shared" si="11"/>
        <v>73.369799999999998</v>
      </c>
      <c r="L40">
        <f t="shared" si="12"/>
        <v>112.24</v>
      </c>
      <c r="M40">
        <f t="shared" si="13"/>
        <v>156.25</v>
      </c>
    </row>
    <row r="41" spans="1:13" ht="15" customHeight="1" x14ac:dyDescent="0.3">
      <c r="A41" s="16" t="s">
        <v>221</v>
      </c>
      <c r="B41" s="17" t="s">
        <v>331</v>
      </c>
      <c r="C41" s="18"/>
      <c r="D41" s="19" t="s">
        <v>87</v>
      </c>
      <c r="E41" s="1" t="s">
        <v>51</v>
      </c>
      <c r="F41" s="20" t="s">
        <v>332</v>
      </c>
      <c r="G41">
        <f t="shared" si="7"/>
        <v>168.75</v>
      </c>
      <c r="H41">
        <f t="shared" si="8"/>
        <v>168.75</v>
      </c>
      <c r="I41">
        <f t="shared" si="9"/>
        <v>168.75</v>
      </c>
      <c r="J41">
        <f t="shared" si="10"/>
        <v>366.85</v>
      </c>
      <c r="K41">
        <f t="shared" si="11"/>
        <v>66.033000000000001</v>
      </c>
      <c r="L41">
        <f t="shared" si="12"/>
        <v>223.3</v>
      </c>
      <c r="M41">
        <f t="shared" si="13"/>
        <v>281.25</v>
      </c>
    </row>
    <row r="42" spans="1:13" ht="15" customHeight="1" x14ac:dyDescent="0.3">
      <c r="A42" s="21" t="s">
        <v>221</v>
      </c>
      <c r="B42" s="22" t="s">
        <v>234</v>
      </c>
      <c r="C42" s="23"/>
      <c r="D42" s="24" t="s">
        <v>87</v>
      </c>
      <c r="E42" s="1" t="s">
        <v>51</v>
      </c>
      <c r="F42" s="20" t="s">
        <v>235</v>
      </c>
      <c r="G42">
        <f t="shared" si="7"/>
        <v>125</v>
      </c>
      <c r="H42">
        <f t="shared" si="8"/>
        <v>125</v>
      </c>
      <c r="I42">
        <f t="shared" si="9"/>
        <v>62.5</v>
      </c>
      <c r="J42">
        <f t="shared" si="10"/>
        <v>271.74</v>
      </c>
      <c r="K42">
        <f t="shared" si="11"/>
        <v>48.913200000000003</v>
      </c>
      <c r="L42">
        <f t="shared" si="12"/>
        <v>165.41</v>
      </c>
      <c r="M42">
        <f t="shared" si="13"/>
        <v>104.17</v>
      </c>
    </row>
    <row r="43" spans="1:13" ht="15" customHeight="1" x14ac:dyDescent="0.3">
      <c r="A43" s="16" t="s">
        <v>221</v>
      </c>
      <c r="B43" s="17" t="s">
        <v>232</v>
      </c>
      <c r="C43" s="18"/>
      <c r="D43" s="19" t="s">
        <v>87</v>
      </c>
      <c r="E43" s="1" t="s">
        <v>51</v>
      </c>
      <c r="F43" s="20" t="s">
        <v>233</v>
      </c>
      <c r="G43">
        <f t="shared" si="7"/>
        <v>125</v>
      </c>
      <c r="H43">
        <f t="shared" si="8"/>
        <v>156.25</v>
      </c>
      <c r="I43">
        <f t="shared" si="9"/>
        <v>31.25</v>
      </c>
      <c r="J43">
        <f t="shared" si="10"/>
        <v>339.67</v>
      </c>
      <c r="K43">
        <f t="shared" si="11"/>
        <v>61.140599999999999</v>
      </c>
      <c r="L43">
        <f t="shared" si="12"/>
        <v>138.82</v>
      </c>
      <c r="M43">
        <f t="shared" si="13"/>
        <v>52.08</v>
      </c>
    </row>
    <row r="44" spans="1:13" ht="15" customHeight="1" x14ac:dyDescent="0.3">
      <c r="A44" s="21" t="s">
        <v>221</v>
      </c>
      <c r="B44" s="22" t="s">
        <v>327</v>
      </c>
      <c r="C44" s="23"/>
      <c r="D44" s="24" t="s">
        <v>87</v>
      </c>
      <c r="E44" s="1" t="s">
        <v>51</v>
      </c>
      <c r="F44" s="20" t="s">
        <v>328</v>
      </c>
      <c r="G44">
        <f t="shared" si="7"/>
        <v>150</v>
      </c>
      <c r="H44">
        <f t="shared" si="8"/>
        <v>100</v>
      </c>
      <c r="I44">
        <f t="shared" si="9"/>
        <v>87.5</v>
      </c>
      <c r="J44">
        <f t="shared" si="10"/>
        <v>217.39</v>
      </c>
      <c r="K44">
        <f t="shared" si="11"/>
        <v>39.130199999999995</v>
      </c>
      <c r="L44">
        <f t="shared" si="12"/>
        <v>241.02</v>
      </c>
      <c r="M44">
        <f t="shared" si="13"/>
        <v>145.83000000000001</v>
      </c>
    </row>
    <row r="45" spans="1:13" ht="15" customHeight="1" x14ac:dyDescent="0.3">
      <c r="A45" s="16" t="s">
        <v>221</v>
      </c>
      <c r="B45" s="17" t="s">
        <v>389</v>
      </c>
      <c r="C45" s="18"/>
      <c r="D45" s="19" t="s">
        <v>87</v>
      </c>
      <c r="E45" s="1" t="s">
        <v>51</v>
      </c>
      <c r="F45" s="20" t="s">
        <v>390</v>
      </c>
      <c r="G45">
        <f t="shared" si="7"/>
        <v>156.25</v>
      </c>
      <c r="H45">
        <f t="shared" si="8"/>
        <v>112.5</v>
      </c>
      <c r="I45">
        <f t="shared" si="9"/>
        <v>62.5</v>
      </c>
      <c r="J45">
        <f t="shared" si="10"/>
        <v>244.57</v>
      </c>
      <c r="K45">
        <f t="shared" si="11"/>
        <v>44.022599999999997</v>
      </c>
      <c r="L45">
        <f t="shared" si="12"/>
        <v>243.97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329</v>
      </c>
      <c r="C46" s="23"/>
      <c r="D46" s="24" t="s">
        <v>87</v>
      </c>
      <c r="E46" s="1" t="s">
        <v>51</v>
      </c>
      <c r="F46" s="20" t="s">
        <v>330</v>
      </c>
      <c r="G46">
        <f t="shared" si="7"/>
        <v>62.5</v>
      </c>
      <c r="H46">
        <f t="shared" si="8"/>
        <v>125</v>
      </c>
      <c r="I46">
        <f t="shared" si="9"/>
        <v>62.5</v>
      </c>
      <c r="J46">
        <f t="shared" si="10"/>
        <v>271.74</v>
      </c>
      <c r="K46">
        <f t="shared" si="11"/>
        <v>48.913200000000003</v>
      </c>
      <c r="L46">
        <f t="shared" si="12"/>
        <v>29.54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365</v>
      </c>
      <c r="C47" s="18"/>
      <c r="D47" s="19" t="s">
        <v>87</v>
      </c>
      <c r="E47" s="1" t="s">
        <v>51</v>
      </c>
      <c r="F47" s="20" t="s">
        <v>366</v>
      </c>
      <c r="G47">
        <f t="shared" si="7"/>
        <v>93.75</v>
      </c>
      <c r="H47">
        <f t="shared" si="8"/>
        <v>93.75</v>
      </c>
      <c r="I47">
        <f t="shared" si="9"/>
        <v>93.75</v>
      </c>
      <c r="J47">
        <f t="shared" si="10"/>
        <v>203.8</v>
      </c>
      <c r="K47">
        <f t="shared" si="11"/>
        <v>36.683999999999997</v>
      </c>
      <c r="L47">
        <f t="shared" si="12"/>
        <v>124.06</v>
      </c>
      <c r="M47">
        <f t="shared" si="13"/>
        <v>156.25</v>
      </c>
    </row>
    <row r="48" spans="1:13" ht="15" customHeight="1" x14ac:dyDescent="0.3">
      <c r="A48" s="21" t="s">
        <v>221</v>
      </c>
      <c r="B48" s="22" t="s">
        <v>325</v>
      </c>
      <c r="C48" s="23"/>
      <c r="D48" s="24" t="s">
        <v>87</v>
      </c>
      <c r="E48" s="1" t="s">
        <v>51</v>
      </c>
      <c r="F48" s="20" t="s">
        <v>225</v>
      </c>
      <c r="G48">
        <f t="shared" si="7"/>
        <v>125</v>
      </c>
      <c r="H48">
        <f t="shared" si="8"/>
        <v>62.5</v>
      </c>
      <c r="I48">
        <f t="shared" si="9"/>
        <v>37.5</v>
      </c>
      <c r="J48">
        <f t="shared" si="10"/>
        <v>135.87</v>
      </c>
      <c r="K48">
        <f t="shared" si="11"/>
        <v>24.456600000000002</v>
      </c>
      <c r="L48">
        <f t="shared" si="12"/>
        <v>218.57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326</v>
      </c>
      <c r="C49" s="18"/>
      <c r="D49" s="19" t="s">
        <v>87</v>
      </c>
      <c r="E49" s="1" t="s">
        <v>51</v>
      </c>
      <c r="F49" s="20" t="s">
        <v>227</v>
      </c>
      <c r="G49">
        <f t="shared" si="7"/>
        <v>50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55.53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240</v>
      </c>
      <c r="C50" s="23"/>
      <c r="D50" s="24" t="s">
        <v>87</v>
      </c>
      <c r="E50" s="1" t="s">
        <v>51</v>
      </c>
      <c r="F50" s="20" t="s">
        <v>241</v>
      </c>
      <c r="G50">
        <f t="shared" si="7"/>
        <v>7.5</v>
      </c>
      <c r="H50">
        <f t="shared" si="8"/>
        <v>15</v>
      </c>
      <c r="I50">
        <f t="shared" si="9"/>
        <v>15</v>
      </c>
      <c r="J50">
        <f t="shared" si="10"/>
        <v>32.61</v>
      </c>
      <c r="K50">
        <f t="shared" si="11"/>
        <v>5.8697999999999997</v>
      </c>
      <c r="L50">
        <f t="shared" si="12"/>
        <v>3.54</v>
      </c>
      <c r="M50">
        <f t="shared" si="13"/>
        <v>25</v>
      </c>
    </row>
    <row r="51" spans="1:13" ht="15" customHeight="1" x14ac:dyDescent="0.3">
      <c r="A51" s="16" t="s">
        <v>221</v>
      </c>
      <c r="B51" s="17" t="s">
        <v>243</v>
      </c>
      <c r="C51" s="18"/>
      <c r="D51" s="19" t="s">
        <v>87</v>
      </c>
      <c r="E51" s="1" t="s">
        <v>51</v>
      </c>
      <c r="F51" s="20" t="s">
        <v>241</v>
      </c>
      <c r="G51">
        <f t="shared" si="7"/>
        <v>7.5</v>
      </c>
      <c r="H51">
        <f t="shared" si="8"/>
        <v>15</v>
      </c>
      <c r="I51">
        <f t="shared" si="9"/>
        <v>15</v>
      </c>
      <c r="J51">
        <f t="shared" si="10"/>
        <v>32.61</v>
      </c>
      <c r="K51">
        <f t="shared" si="11"/>
        <v>5.8697999999999997</v>
      </c>
      <c r="L51">
        <f t="shared" si="12"/>
        <v>3.54</v>
      </c>
      <c r="M51">
        <f t="shared" si="13"/>
        <v>25</v>
      </c>
    </row>
    <row r="52" spans="1:13" ht="15" customHeight="1" x14ac:dyDescent="0.3">
      <c r="A52" s="21" t="s">
        <v>221</v>
      </c>
      <c r="B52" s="22" t="s">
        <v>443</v>
      </c>
      <c r="C52" s="23"/>
      <c r="D52" s="24" t="s">
        <v>87</v>
      </c>
      <c r="E52" s="1" t="s">
        <v>51</v>
      </c>
      <c r="F52" s="20" t="s">
        <v>441</v>
      </c>
      <c r="G52">
        <f t="shared" si="7"/>
        <v>62.5</v>
      </c>
      <c r="H52">
        <f t="shared" si="8"/>
        <v>31.25</v>
      </c>
      <c r="I52">
        <f t="shared" si="9"/>
        <v>50</v>
      </c>
      <c r="J52">
        <f t="shared" si="10"/>
        <v>67.930000000000007</v>
      </c>
      <c r="K52">
        <f t="shared" si="11"/>
        <v>12.227400000000001</v>
      </c>
      <c r="L52">
        <f t="shared" si="12"/>
        <v>109.29</v>
      </c>
      <c r="M52">
        <f t="shared" si="13"/>
        <v>83.33</v>
      </c>
    </row>
    <row r="53" spans="1:13" ht="18" customHeight="1" x14ac:dyDescent="0.3">
      <c r="A53" s="25" t="s">
        <v>252</v>
      </c>
      <c r="B53" s="25"/>
      <c r="C53" s="25"/>
      <c r="G53" t="str">
        <f t="shared" si="7"/>
        <v/>
      </c>
      <c r="H53" t="str">
        <f t="shared" si="8"/>
        <v/>
      </c>
      <c r="I53" t="str">
        <f t="shared" si="9"/>
        <v/>
      </c>
      <c r="J53" t="str">
        <f t="shared" si="10"/>
        <v/>
      </c>
      <c r="K53" t="str">
        <f t="shared" si="11"/>
        <v/>
      </c>
      <c r="L53" t="str">
        <f t="shared" si="12"/>
        <v/>
      </c>
      <c r="M53" t="str">
        <f t="shared" si="13"/>
        <v/>
      </c>
    </row>
    <row r="54" spans="1:13" ht="15" customHeight="1" x14ac:dyDescent="0.3">
      <c r="A54" s="16" t="s">
        <v>253</v>
      </c>
      <c r="B54" s="17" t="s">
        <v>365</v>
      </c>
      <c r="C54" s="18"/>
      <c r="D54" s="19" t="s">
        <v>87</v>
      </c>
      <c r="E54" s="1" t="s">
        <v>51</v>
      </c>
      <c r="F54" s="20" t="s">
        <v>366</v>
      </c>
      <c r="G54">
        <f t="shared" si="7"/>
        <v>93.75</v>
      </c>
      <c r="H54">
        <f t="shared" si="8"/>
        <v>93.75</v>
      </c>
      <c r="I54">
        <f t="shared" si="9"/>
        <v>93.75</v>
      </c>
      <c r="J54">
        <f t="shared" si="10"/>
        <v>203.8</v>
      </c>
      <c r="K54">
        <f t="shared" si="11"/>
        <v>36.683999999999997</v>
      </c>
      <c r="L54">
        <f t="shared" si="12"/>
        <v>124.06</v>
      </c>
      <c r="M54">
        <f t="shared" si="13"/>
        <v>156.25</v>
      </c>
    </row>
    <row r="55" spans="1:13" ht="15" customHeight="1" x14ac:dyDescent="0.3">
      <c r="A55" s="21" t="s">
        <v>253</v>
      </c>
      <c r="B55" s="22" t="s">
        <v>257</v>
      </c>
      <c r="C55" s="23"/>
      <c r="D55" s="24" t="s">
        <v>87</v>
      </c>
      <c r="E55" s="1" t="s">
        <v>51</v>
      </c>
      <c r="F55" s="20" t="s">
        <v>160</v>
      </c>
      <c r="G55">
        <f t="shared" si="7"/>
        <v>25</v>
      </c>
      <c r="H55">
        <f t="shared" si="8"/>
        <v>50</v>
      </c>
      <c r="I55">
        <f t="shared" si="9"/>
        <v>25</v>
      </c>
      <c r="J55">
        <f t="shared" si="10"/>
        <v>108.7</v>
      </c>
      <c r="K55">
        <f t="shared" si="11"/>
        <v>19.565999999999999</v>
      </c>
      <c r="L55">
        <f t="shared" si="12"/>
        <v>11.81</v>
      </c>
      <c r="M55">
        <f t="shared" si="13"/>
        <v>41.67</v>
      </c>
    </row>
    <row r="56" spans="1:13" ht="15" customHeight="1" x14ac:dyDescent="0.3">
      <c r="A56" s="16" t="s">
        <v>253</v>
      </c>
      <c r="B56" s="17" t="s">
        <v>453</v>
      </c>
      <c r="C56" s="18"/>
      <c r="D56" s="19" t="s">
        <v>87</v>
      </c>
      <c r="E56" s="1" t="s">
        <v>51</v>
      </c>
      <c r="F56" s="20" t="s">
        <v>441</v>
      </c>
      <c r="G56">
        <f t="shared" si="7"/>
        <v>62.5</v>
      </c>
      <c r="H56">
        <f t="shared" si="8"/>
        <v>31.25</v>
      </c>
      <c r="I56">
        <f t="shared" si="9"/>
        <v>50</v>
      </c>
      <c r="J56">
        <f t="shared" si="10"/>
        <v>67.930000000000007</v>
      </c>
      <c r="K56">
        <f t="shared" si="11"/>
        <v>12.227400000000001</v>
      </c>
      <c r="L56">
        <f t="shared" si="12"/>
        <v>109.29</v>
      </c>
      <c r="M56">
        <f t="shared" si="13"/>
        <v>83.33</v>
      </c>
    </row>
    <row r="57" spans="1:13" ht="15" customHeight="1" x14ac:dyDescent="0.3">
      <c r="A57" s="21" t="s">
        <v>253</v>
      </c>
      <c r="B57" s="22" t="s">
        <v>228</v>
      </c>
      <c r="C57" s="23"/>
      <c r="D57" s="24" t="s">
        <v>87</v>
      </c>
      <c r="E57" s="1" t="s">
        <v>51</v>
      </c>
      <c r="F57" s="20" t="s">
        <v>229</v>
      </c>
      <c r="G57">
        <f t="shared" si="7"/>
        <v>150</v>
      </c>
      <c r="H57">
        <f t="shared" si="8"/>
        <v>75</v>
      </c>
      <c r="I57">
        <f t="shared" si="9"/>
        <v>37.5</v>
      </c>
      <c r="J57">
        <f t="shared" si="10"/>
        <v>163.04</v>
      </c>
      <c r="K57">
        <f t="shared" si="11"/>
        <v>29.347199999999997</v>
      </c>
      <c r="L57">
        <f t="shared" si="12"/>
        <v>262.29000000000002</v>
      </c>
      <c r="M57">
        <f t="shared" si="13"/>
        <v>62.5</v>
      </c>
    </row>
    <row r="58" spans="1:13" ht="15" customHeight="1" x14ac:dyDescent="0.3">
      <c r="A58" s="16" t="s">
        <v>253</v>
      </c>
      <c r="B58" s="17" t="s">
        <v>454</v>
      </c>
      <c r="C58" s="18"/>
      <c r="D58" s="19" t="s">
        <v>87</v>
      </c>
      <c r="E58" s="1" t="s">
        <v>51</v>
      </c>
      <c r="F58" s="20" t="s">
        <v>298</v>
      </c>
      <c r="G58">
        <f t="shared" si="7"/>
        <v>75</v>
      </c>
      <c r="H58">
        <f t="shared" si="8"/>
        <v>37.5</v>
      </c>
      <c r="I58">
        <f t="shared" si="9"/>
        <v>37.5</v>
      </c>
      <c r="J58">
        <f t="shared" si="10"/>
        <v>81.52</v>
      </c>
      <c r="K58">
        <f t="shared" si="11"/>
        <v>14.673599999999999</v>
      </c>
      <c r="L58">
        <f t="shared" si="12"/>
        <v>131.13999999999999</v>
      </c>
      <c r="M58">
        <f t="shared" si="13"/>
        <v>62.5</v>
      </c>
    </row>
    <row r="59" spans="1:13" ht="18" customHeight="1" x14ac:dyDescent="0.3">
      <c r="A59" s="25" t="s">
        <v>263</v>
      </c>
      <c r="B59" s="25"/>
      <c r="C59" s="25"/>
      <c r="G59" t="str">
        <f t="shared" si="7"/>
        <v/>
      </c>
      <c r="H59" t="str">
        <f t="shared" si="8"/>
        <v/>
      </c>
      <c r="I59" t="str">
        <f t="shared" si="9"/>
        <v/>
      </c>
      <c r="J59" t="str">
        <f t="shared" si="10"/>
        <v/>
      </c>
      <c r="K59" t="str">
        <f t="shared" si="11"/>
        <v/>
      </c>
      <c r="L59" t="str">
        <f t="shared" si="12"/>
        <v/>
      </c>
      <c r="M59" t="str">
        <f t="shared" si="13"/>
        <v/>
      </c>
    </row>
    <row r="60" spans="1:13" ht="15" customHeight="1" x14ac:dyDescent="0.3">
      <c r="A60" s="21" t="s">
        <v>264</v>
      </c>
      <c r="B60" s="22" t="s">
        <v>455</v>
      </c>
      <c r="C60" s="23"/>
      <c r="D60" s="24" t="s">
        <v>87</v>
      </c>
      <c r="E60" s="1" t="s">
        <v>51</v>
      </c>
      <c r="F60" s="20" t="s">
        <v>456</v>
      </c>
      <c r="G60" t="str">
        <f t="shared" si="7"/>
        <v>N/A</v>
      </c>
      <c r="H60" t="str">
        <f t="shared" si="8"/>
        <v>N/A</v>
      </c>
      <c r="I60" t="str">
        <f t="shared" si="9"/>
        <v>N/A</v>
      </c>
      <c r="J60" t="str">
        <f t="shared" si="10"/>
        <v>N/A</v>
      </c>
      <c r="K60" t="str">
        <f t="shared" si="11"/>
        <v>N/A</v>
      </c>
      <c r="L60" t="str">
        <f t="shared" si="12"/>
        <v>N/A</v>
      </c>
      <c r="M60" t="str">
        <f t="shared" si="13"/>
        <v>N/A</v>
      </c>
    </row>
    <row r="61" spans="1:13" ht="18" customHeight="1" x14ac:dyDescent="0.3">
      <c r="A61" s="25" t="s">
        <v>269</v>
      </c>
      <c r="B61" s="25"/>
      <c r="C61" s="25"/>
      <c r="G61" t="str">
        <f t="shared" si="7"/>
        <v/>
      </c>
      <c r="H61" t="str">
        <f t="shared" si="8"/>
        <v/>
      </c>
      <c r="I61" t="str">
        <f t="shared" si="9"/>
        <v/>
      </c>
      <c r="J61" t="str">
        <f t="shared" si="10"/>
        <v/>
      </c>
      <c r="K61" t="str">
        <f t="shared" si="11"/>
        <v/>
      </c>
      <c r="L61" t="str">
        <f t="shared" si="12"/>
        <v/>
      </c>
      <c r="M61" t="str">
        <f t="shared" si="13"/>
        <v/>
      </c>
    </row>
    <row r="62" spans="1:13" ht="15" customHeight="1" x14ac:dyDescent="0.3">
      <c r="A62" s="16" t="s">
        <v>270</v>
      </c>
      <c r="B62" s="17" t="s">
        <v>271</v>
      </c>
      <c r="C62" s="18"/>
      <c r="D62" s="19" t="s">
        <v>87</v>
      </c>
      <c r="E62" s="1" t="s">
        <v>51</v>
      </c>
      <c r="F62" s="20" t="s">
        <v>241</v>
      </c>
      <c r="G62">
        <f t="shared" si="7"/>
        <v>7.5</v>
      </c>
      <c r="H62">
        <f t="shared" si="8"/>
        <v>15</v>
      </c>
      <c r="I62">
        <f t="shared" si="9"/>
        <v>15</v>
      </c>
      <c r="J62">
        <f t="shared" si="10"/>
        <v>32.61</v>
      </c>
      <c r="K62">
        <f t="shared" si="11"/>
        <v>5.8697999999999997</v>
      </c>
      <c r="L62">
        <f t="shared" si="12"/>
        <v>3.54</v>
      </c>
      <c r="M62">
        <f t="shared" si="13"/>
        <v>25</v>
      </c>
    </row>
    <row r="63" spans="1:13" ht="15" customHeight="1" x14ac:dyDescent="0.3">
      <c r="A63" s="21" t="s">
        <v>270</v>
      </c>
      <c r="B63" s="22" t="s">
        <v>272</v>
      </c>
      <c r="C63" s="23"/>
      <c r="D63" s="24" t="s">
        <v>87</v>
      </c>
      <c r="E63" s="1" t="s">
        <v>51</v>
      </c>
      <c r="F63" s="20" t="s">
        <v>273</v>
      </c>
      <c r="G63">
        <f t="shared" si="7"/>
        <v>112.5</v>
      </c>
      <c r="H63">
        <f t="shared" si="8"/>
        <v>112.5</v>
      </c>
      <c r="I63">
        <f t="shared" si="9"/>
        <v>93.75</v>
      </c>
      <c r="J63">
        <f t="shared" si="10"/>
        <v>244.57</v>
      </c>
      <c r="K63">
        <f t="shared" si="11"/>
        <v>44.022599999999997</v>
      </c>
      <c r="L63">
        <f t="shared" si="12"/>
        <v>148.86000000000001</v>
      </c>
      <c r="M63">
        <f t="shared" si="13"/>
        <v>156.25</v>
      </c>
    </row>
    <row r="64" spans="1:13" ht="15" customHeight="1" x14ac:dyDescent="0.3">
      <c r="A64" s="16" t="s">
        <v>270</v>
      </c>
      <c r="B64" s="17" t="s">
        <v>445</v>
      </c>
      <c r="C64" s="18"/>
      <c r="D64" s="19" t="s">
        <v>87</v>
      </c>
      <c r="E64" s="1" t="s">
        <v>51</v>
      </c>
      <c r="F64" s="20" t="s">
        <v>446</v>
      </c>
      <c r="G64">
        <f t="shared" si="7"/>
        <v>150</v>
      </c>
      <c r="H64">
        <f t="shared" si="8"/>
        <v>187.5</v>
      </c>
      <c r="I64">
        <f t="shared" si="9"/>
        <v>187.5</v>
      </c>
      <c r="J64">
        <f t="shared" si="10"/>
        <v>407.61</v>
      </c>
      <c r="K64">
        <f t="shared" si="11"/>
        <v>73.369799999999998</v>
      </c>
      <c r="L64">
        <f t="shared" si="12"/>
        <v>166.59</v>
      </c>
      <c r="M64">
        <f t="shared" si="13"/>
        <v>312.5</v>
      </c>
    </row>
    <row r="65" spans="1:13" ht="15" customHeight="1" x14ac:dyDescent="0.3">
      <c r="A65" s="21" t="s">
        <v>270</v>
      </c>
      <c r="B65" s="22" t="s">
        <v>278</v>
      </c>
      <c r="C65" s="23"/>
      <c r="D65" s="24" t="s">
        <v>87</v>
      </c>
      <c r="E65" s="1" t="s">
        <v>51</v>
      </c>
      <c r="F65" s="20" t="s">
        <v>279</v>
      </c>
      <c r="G65">
        <f t="shared" si="7"/>
        <v>250</v>
      </c>
      <c r="H65">
        <f t="shared" si="8"/>
        <v>250</v>
      </c>
      <c r="I65">
        <f t="shared" si="9"/>
        <v>250</v>
      </c>
      <c r="J65">
        <f t="shared" si="10"/>
        <v>543.48</v>
      </c>
      <c r="K65">
        <f t="shared" si="11"/>
        <v>97.826400000000007</v>
      </c>
      <c r="L65">
        <f t="shared" si="12"/>
        <v>330.81</v>
      </c>
      <c r="M65">
        <f t="shared" si="13"/>
        <v>416.67</v>
      </c>
    </row>
    <row r="66" spans="1:13" ht="15" customHeight="1" x14ac:dyDescent="0.3">
      <c r="A66" s="16" t="s">
        <v>270</v>
      </c>
      <c r="B66" s="17" t="s">
        <v>276</v>
      </c>
      <c r="C66" s="18"/>
      <c r="D66" s="19" t="s">
        <v>87</v>
      </c>
      <c r="E66" s="1" t="s">
        <v>51</v>
      </c>
      <c r="F66" s="20" t="s">
        <v>277</v>
      </c>
      <c r="G66">
        <f t="shared" si="7"/>
        <v>156.25</v>
      </c>
      <c r="H66">
        <f t="shared" si="8"/>
        <v>150</v>
      </c>
      <c r="I66">
        <f t="shared" si="9"/>
        <v>31.25</v>
      </c>
      <c r="J66">
        <f t="shared" si="10"/>
        <v>326.08999999999997</v>
      </c>
      <c r="K66">
        <f t="shared" si="11"/>
        <v>58.69619999999999</v>
      </c>
      <c r="L66">
        <f t="shared" si="12"/>
        <v>212.07</v>
      </c>
      <c r="M66">
        <f t="shared" si="13"/>
        <v>52.08</v>
      </c>
    </row>
  </sheetData>
  <mergeCells count="13">
    <mergeCell ref="A1:C1"/>
    <mergeCell ref="A2:C2"/>
    <mergeCell ref="A3:C3"/>
    <mergeCell ref="A4:C4"/>
    <mergeCell ref="A7:C7"/>
    <mergeCell ref="A53:C53"/>
    <mergeCell ref="A59:C59"/>
    <mergeCell ref="A61:C61"/>
    <mergeCell ref="A14:C14"/>
    <mergeCell ref="A20:C20"/>
    <mergeCell ref="A26:C26"/>
    <mergeCell ref="A29:C29"/>
    <mergeCell ref="A37:C3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8E6C9"/>
  </sheetPr>
  <dimension ref="A1:M74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457</v>
      </c>
      <c r="B1" s="26"/>
      <c r="C1" s="26"/>
    </row>
    <row r="2" spans="1:13" ht="19.5" customHeight="1" x14ac:dyDescent="0.3">
      <c r="A2" s="27" t="s">
        <v>458</v>
      </c>
      <c r="B2" s="27"/>
      <c r="C2" s="27"/>
    </row>
    <row r="3" spans="1:13" ht="19.5" customHeight="1" x14ac:dyDescent="0.3">
      <c r="A3" s="27" t="s">
        <v>459</v>
      </c>
      <c r="B3" s="27"/>
      <c r="C3" s="27"/>
    </row>
    <row r="4" spans="1:13" ht="19.5" customHeight="1" x14ac:dyDescent="0.3">
      <c r="A4" s="27" t="s">
        <v>460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372</v>
      </c>
      <c r="C8" s="18"/>
      <c r="D8" s="19" t="s">
        <v>89</v>
      </c>
      <c r="E8" s="1" t="s">
        <v>41</v>
      </c>
      <c r="F8" s="20" t="s">
        <v>291</v>
      </c>
      <c r="G8">
        <f t="shared" si="0"/>
        <v>150</v>
      </c>
      <c r="H8">
        <f t="shared" si="1"/>
        <v>75</v>
      </c>
      <c r="I8">
        <f t="shared" si="2"/>
        <v>50</v>
      </c>
      <c r="J8">
        <f t="shared" si="3"/>
        <v>163.04</v>
      </c>
      <c r="K8">
        <f t="shared" si="4"/>
        <v>29.347199999999997</v>
      </c>
      <c r="L8">
        <f t="shared" si="5"/>
        <v>262.29000000000002</v>
      </c>
      <c r="M8">
        <f t="shared" si="6"/>
        <v>83.33</v>
      </c>
    </row>
    <row r="9" spans="1:13" ht="15" customHeight="1" x14ac:dyDescent="0.3">
      <c r="A9" s="21" t="s">
        <v>141</v>
      </c>
      <c r="B9" s="22" t="s">
        <v>461</v>
      </c>
      <c r="C9" s="23"/>
      <c r="D9" s="24" t="s">
        <v>89</v>
      </c>
      <c r="E9" s="1" t="s">
        <v>41</v>
      </c>
      <c r="F9" s="20" t="s">
        <v>143</v>
      </c>
      <c r="G9">
        <f t="shared" si="0"/>
        <v>187.5</v>
      </c>
      <c r="H9">
        <f t="shared" si="1"/>
        <v>62.5</v>
      </c>
      <c r="I9">
        <f t="shared" si="2"/>
        <v>62.5</v>
      </c>
      <c r="J9">
        <f t="shared" si="3"/>
        <v>135.87</v>
      </c>
      <c r="K9">
        <f t="shared" si="4"/>
        <v>24.456600000000002</v>
      </c>
      <c r="L9">
        <f t="shared" si="5"/>
        <v>354.44</v>
      </c>
      <c r="M9">
        <f t="shared" si="6"/>
        <v>104.17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89</v>
      </c>
      <c r="E10" s="1" t="s">
        <v>41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89</v>
      </c>
      <c r="E11" s="1" t="s">
        <v>41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287</v>
      </c>
      <c r="C12" s="18"/>
      <c r="D12" s="19" t="s">
        <v>89</v>
      </c>
      <c r="E12" s="1" t="s">
        <v>41</v>
      </c>
      <c r="F12" s="20" t="s">
        <v>288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462</v>
      </c>
      <c r="C13" s="23"/>
      <c r="D13" s="24" t="s">
        <v>89</v>
      </c>
      <c r="E13" s="1" t="s">
        <v>41</v>
      </c>
      <c r="F13" s="20" t="s">
        <v>463</v>
      </c>
      <c r="G13">
        <f t="shared" si="0"/>
        <v>106.25</v>
      </c>
      <c r="H13">
        <f t="shared" si="1"/>
        <v>43.75</v>
      </c>
      <c r="I13">
        <f t="shared" si="2"/>
        <v>50</v>
      </c>
      <c r="J13">
        <f t="shared" si="3"/>
        <v>95.11</v>
      </c>
      <c r="K13">
        <f t="shared" si="4"/>
        <v>17.119799999999998</v>
      </c>
      <c r="L13">
        <f t="shared" si="5"/>
        <v>193.76</v>
      </c>
      <c r="M13">
        <f t="shared" si="6"/>
        <v>83.33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464</v>
      </c>
      <c r="C15" s="18"/>
      <c r="D15" s="19" t="s">
        <v>89</v>
      </c>
      <c r="E15" s="1" t="s">
        <v>41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465</v>
      </c>
      <c r="C16" s="23"/>
      <c r="D16" s="24" t="s">
        <v>89</v>
      </c>
      <c r="E16" s="1" t="s">
        <v>41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357</v>
      </c>
      <c r="C17" s="18"/>
      <c r="D17" s="19" t="s">
        <v>89</v>
      </c>
      <c r="E17" s="1" t="s">
        <v>41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327</v>
      </c>
      <c r="C18" s="23"/>
      <c r="D18" s="24" t="s">
        <v>89</v>
      </c>
      <c r="E18" s="1" t="s">
        <v>41</v>
      </c>
      <c r="F18" s="20" t="s">
        <v>328</v>
      </c>
      <c r="G18">
        <f t="shared" si="0"/>
        <v>150</v>
      </c>
      <c r="H18">
        <f t="shared" si="1"/>
        <v>100</v>
      </c>
      <c r="I18">
        <f t="shared" si="2"/>
        <v>87.5</v>
      </c>
      <c r="J18">
        <f t="shared" si="3"/>
        <v>217.39</v>
      </c>
      <c r="K18">
        <f t="shared" si="4"/>
        <v>39.130199999999995</v>
      </c>
      <c r="L18">
        <f t="shared" si="5"/>
        <v>241.02</v>
      </c>
      <c r="M18">
        <f t="shared" si="6"/>
        <v>145.83000000000001</v>
      </c>
    </row>
    <row r="19" spans="1:13" ht="15" customHeight="1" x14ac:dyDescent="0.3">
      <c r="A19" s="16" t="s">
        <v>156</v>
      </c>
      <c r="B19" s="17" t="s">
        <v>165</v>
      </c>
      <c r="C19" s="18"/>
      <c r="D19" s="19" t="s">
        <v>89</v>
      </c>
      <c r="E19" s="1" t="s">
        <v>41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8" customHeight="1" x14ac:dyDescent="0.3">
      <c r="A20" s="25" t="s">
        <v>167</v>
      </c>
      <c r="B20" s="25"/>
      <c r="C20" s="25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5"/>
        <v/>
      </c>
      <c r="M20" t="str">
        <f t="shared" si="6"/>
        <v/>
      </c>
    </row>
    <row r="21" spans="1:13" ht="15" customHeight="1" x14ac:dyDescent="0.3">
      <c r="A21" s="21" t="s">
        <v>168</v>
      </c>
      <c r="B21" s="22" t="s">
        <v>175</v>
      </c>
      <c r="C21" s="23"/>
      <c r="D21" s="24" t="s">
        <v>89</v>
      </c>
      <c r="E21" s="1" t="s">
        <v>41</v>
      </c>
      <c r="F21" s="20" t="s">
        <v>147</v>
      </c>
      <c r="G21">
        <f t="shared" si="0"/>
        <v>100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174.86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295</v>
      </c>
      <c r="C22" s="18"/>
      <c r="D22" s="19" t="s">
        <v>89</v>
      </c>
      <c r="E22" s="1" t="s">
        <v>41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5" customHeight="1" x14ac:dyDescent="0.3">
      <c r="A23" s="21" t="s">
        <v>168</v>
      </c>
      <c r="B23" s="22" t="s">
        <v>294</v>
      </c>
      <c r="C23" s="23"/>
      <c r="D23" s="24" t="s">
        <v>89</v>
      </c>
      <c r="E23" s="1" t="s">
        <v>41</v>
      </c>
      <c r="F23" s="20" t="s">
        <v>149</v>
      </c>
      <c r="G23">
        <f t="shared" si="0"/>
        <v>50</v>
      </c>
      <c r="H23">
        <f t="shared" si="1"/>
        <v>25</v>
      </c>
      <c r="I23">
        <f t="shared" si="2"/>
        <v>25</v>
      </c>
      <c r="J23">
        <f t="shared" si="3"/>
        <v>54.35</v>
      </c>
      <c r="K23">
        <f t="shared" si="4"/>
        <v>9.7829999999999995</v>
      </c>
      <c r="L23">
        <f t="shared" si="5"/>
        <v>87.43</v>
      </c>
      <c r="M23">
        <f t="shared" si="6"/>
        <v>41.67</v>
      </c>
    </row>
    <row r="24" spans="1:13" ht="15" customHeight="1" x14ac:dyDescent="0.3">
      <c r="A24" s="16" t="s">
        <v>168</v>
      </c>
      <c r="B24" s="17" t="s">
        <v>466</v>
      </c>
      <c r="C24" s="18"/>
      <c r="D24" s="19" t="s">
        <v>89</v>
      </c>
      <c r="E24" s="1" t="s">
        <v>41</v>
      </c>
      <c r="F24" s="20" t="s">
        <v>173</v>
      </c>
      <c r="G24">
        <f t="shared" si="0"/>
        <v>75</v>
      </c>
      <c r="H24">
        <f t="shared" si="1"/>
        <v>112.5</v>
      </c>
      <c r="I24">
        <f t="shared" si="2"/>
        <v>75</v>
      </c>
      <c r="J24">
        <f t="shared" si="3"/>
        <v>244.57</v>
      </c>
      <c r="K24">
        <f t="shared" si="4"/>
        <v>44.022599999999997</v>
      </c>
      <c r="L24">
        <f t="shared" si="5"/>
        <v>67.34</v>
      </c>
      <c r="M24">
        <f t="shared" si="6"/>
        <v>125</v>
      </c>
    </row>
    <row r="25" spans="1:13" ht="18" customHeight="1" x14ac:dyDescent="0.3">
      <c r="A25" s="25" t="s">
        <v>180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21" t="s">
        <v>181</v>
      </c>
      <c r="B26" s="22" t="s">
        <v>301</v>
      </c>
      <c r="C26" s="23"/>
      <c r="D26" s="24" t="s">
        <v>89</v>
      </c>
      <c r="E26" s="1" t="s">
        <v>41</v>
      </c>
      <c r="F26" s="20" t="s">
        <v>302</v>
      </c>
      <c r="G26">
        <f t="shared" si="0"/>
        <v>625</v>
      </c>
      <c r="H26">
        <f t="shared" si="1"/>
        <v>1250</v>
      </c>
      <c r="I26">
        <f t="shared" si="2"/>
        <v>1250</v>
      </c>
      <c r="J26">
        <f t="shared" si="3"/>
        <v>2717.39</v>
      </c>
      <c r="K26">
        <f t="shared" si="4"/>
        <v>489.13019999999995</v>
      </c>
      <c r="L26">
        <f t="shared" si="5"/>
        <v>295.37</v>
      </c>
      <c r="M26">
        <f t="shared" si="6"/>
        <v>2083.33</v>
      </c>
    </row>
    <row r="27" spans="1:13" ht="15" customHeight="1" x14ac:dyDescent="0.3">
      <c r="A27" s="16" t="s">
        <v>181</v>
      </c>
      <c r="B27" s="17" t="s">
        <v>467</v>
      </c>
      <c r="C27" s="18"/>
      <c r="D27" s="19" t="s">
        <v>89</v>
      </c>
      <c r="E27" s="1" t="s">
        <v>41</v>
      </c>
      <c r="F27" s="20" t="s">
        <v>468</v>
      </c>
      <c r="G27">
        <f t="shared" si="0"/>
        <v>125</v>
      </c>
      <c r="H27">
        <f t="shared" si="1"/>
        <v>62.5</v>
      </c>
      <c r="I27">
        <f t="shared" si="2"/>
        <v>62.5</v>
      </c>
      <c r="J27">
        <f t="shared" si="3"/>
        <v>135.87</v>
      </c>
      <c r="K27">
        <f t="shared" si="4"/>
        <v>24.456600000000002</v>
      </c>
      <c r="L27">
        <f t="shared" si="5"/>
        <v>218.57</v>
      </c>
      <c r="M27">
        <f t="shared" si="6"/>
        <v>104.17</v>
      </c>
    </row>
    <row r="28" spans="1:13" ht="15" customHeight="1" x14ac:dyDescent="0.3">
      <c r="A28" s="21" t="s">
        <v>181</v>
      </c>
      <c r="B28" s="22" t="s">
        <v>469</v>
      </c>
      <c r="C28" s="23"/>
      <c r="D28" s="24" t="s">
        <v>89</v>
      </c>
      <c r="E28" s="1" t="s">
        <v>41</v>
      </c>
      <c r="F28" s="20" t="s">
        <v>470</v>
      </c>
      <c r="G28" t="str">
        <f t="shared" si="0"/>
        <v>N/A</v>
      </c>
      <c r="H28" t="str">
        <f t="shared" si="1"/>
        <v>N/A</v>
      </c>
      <c r="I28" t="str">
        <f t="shared" si="2"/>
        <v>N/A</v>
      </c>
      <c r="J28" t="str">
        <f t="shared" si="3"/>
        <v>N/A</v>
      </c>
      <c r="K28" t="str">
        <f t="shared" si="4"/>
        <v>N/A</v>
      </c>
      <c r="L28" t="str">
        <f t="shared" si="5"/>
        <v>N/A</v>
      </c>
      <c r="M28" t="str">
        <f t="shared" si="6"/>
        <v>N/A</v>
      </c>
    </row>
    <row r="29" spans="1:13" ht="15" customHeight="1" x14ac:dyDescent="0.3">
      <c r="A29" s="16" t="s">
        <v>181</v>
      </c>
      <c r="B29" s="17" t="s">
        <v>471</v>
      </c>
      <c r="C29" s="18"/>
      <c r="D29" s="19" t="s">
        <v>89</v>
      </c>
      <c r="E29" s="1" t="s">
        <v>41</v>
      </c>
      <c r="F29" s="20" t="s">
        <v>472</v>
      </c>
      <c r="G29" t="str">
        <f t="shared" si="0"/>
        <v>N/A</v>
      </c>
      <c r="H29" t="str">
        <f t="shared" si="1"/>
        <v>N/A</v>
      </c>
      <c r="I29" t="str">
        <f t="shared" si="2"/>
        <v>N/A</v>
      </c>
      <c r="J29" t="str">
        <f t="shared" si="3"/>
        <v>N/A</v>
      </c>
      <c r="K29" t="str">
        <f t="shared" si="4"/>
        <v>N/A</v>
      </c>
      <c r="L29" t="str">
        <f t="shared" si="5"/>
        <v>N/A</v>
      </c>
      <c r="M29" t="str">
        <f t="shared" si="6"/>
        <v>N/A</v>
      </c>
    </row>
    <row r="30" spans="1:13" ht="18" customHeight="1" x14ac:dyDescent="0.3">
      <c r="A30" s="25" t="s">
        <v>187</v>
      </c>
      <c r="B30" s="25"/>
      <c r="C30" s="25"/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  <c r="L30" t="str">
        <f t="shared" si="5"/>
        <v/>
      </c>
      <c r="M30" t="str">
        <f t="shared" si="6"/>
        <v/>
      </c>
    </row>
    <row r="31" spans="1:13" ht="15" customHeight="1" x14ac:dyDescent="0.3">
      <c r="A31" s="21" t="s">
        <v>188</v>
      </c>
      <c r="B31" s="22" t="s">
        <v>473</v>
      </c>
      <c r="C31" s="23"/>
      <c r="D31" s="24" t="s">
        <v>89</v>
      </c>
      <c r="E31" s="1" t="s">
        <v>41</v>
      </c>
      <c r="F31" s="20" t="s">
        <v>302</v>
      </c>
      <c r="G31">
        <f t="shared" si="0"/>
        <v>625</v>
      </c>
      <c r="H31">
        <f t="shared" si="1"/>
        <v>1250</v>
      </c>
      <c r="I31">
        <f t="shared" si="2"/>
        <v>1250</v>
      </c>
      <c r="J31">
        <f t="shared" si="3"/>
        <v>2717.39</v>
      </c>
      <c r="K31">
        <f t="shared" si="4"/>
        <v>489.13019999999995</v>
      </c>
      <c r="L31">
        <f t="shared" si="5"/>
        <v>295.37</v>
      </c>
      <c r="M31">
        <f t="shared" si="6"/>
        <v>2083.33</v>
      </c>
    </row>
    <row r="32" spans="1:13" ht="15" customHeight="1" x14ac:dyDescent="0.3">
      <c r="A32" s="16" t="s">
        <v>188</v>
      </c>
      <c r="B32" s="17" t="s">
        <v>309</v>
      </c>
      <c r="C32" s="18"/>
      <c r="D32" s="19" t="s">
        <v>89</v>
      </c>
      <c r="E32" s="1" t="s">
        <v>41</v>
      </c>
      <c r="F32" s="20" t="s">
        <v>302</v>
      </c>
      <c r="G32">
        <f t="shared" si="0"/>
        <v>625</v>
      </c>
      <c r="H32">
        <f t="shared" si="1"/>
        <v>1250</v>
      </c>
      <c r="I32">
        <f t="shared" si="2"/>
        <v>1250</v>
      </c>
      <c r="J32">
        <f t="shared" si="3"/>
        <v>2717.39</v>
      </c>
      <c r="K32">
        <f t="shared" si="4"/>
        <v>489.13019999999995</v>
      </c>
      <c r="L32">
        <f t="shared" si="5"/>
        <v>295.37</v>
      </c>
      <c r="M32">
        <f t="shared" si="6"/>
        <v>2083.33</v>
      </c>
    </row>
    <row r="33" spans="1:13" ht="15" customHeight="1" x14ac:dyDescent="0.3">
      <c r="A33" s="21" t="s">
        <v>188</v>
      </c>
      <c r="B33" s="22" t="s">
        <v>307</v>
      </c>
      <c r="C33" s="23"/>
      <c r="D33" s="24" t="s">
        <v>89</v>
      </c>
      <c r="E33" s="1" t="s">
        <v>41</v>
      </c>
      <c r="F33" s="20" t="s">
        <v>302</v>
      </c>
      <c r="G33">
        <f t="shared" si="0"/>
        <v>625</v>
      </c>
      <c r="H33">
        <f t="shared" si="1"/>
        <v>1250</v>
      </c>
      <c r="I33">
        <f t="shared" si="2"/>
        <v>1250</v>
      </c>
      <c r="J33">
        <f t="shared" si="3"/>
        <v>2717.39</v>
      </c>
      <c r="K33">
        <f t="shared" si="4"/>
        <v>489.13019999999995</v>
      </c>
      <c r="L33">
        <f t="shared" si="5"/>
        <v>295.37</v>
      </c>
      <c r="M33">
        <f t="shared" si="6"/>
        <v>2083.33</v>
      </c>
    </row>
    <row r="34" spans="1:13" ht="15" customHeight="1" x14ac:dyDescent="0.3">
      <c r="A34" s="16" t="s">
        <v>188</v>
      </c>
      <c r="B34" s="17" t="s">
        <v>308</v>
      </c>
      <c r="C34" s="18"/>
      <c r="D34" s="19" t="s">
        <v>89</v>
      </c>
      <c r="E34" s="1" t="s">
        <v>41</v>
      </c>
      <c r="F34" s="20" t="s">
        <v>302</v>
      </c>
      <c r="G34">
        <f t="shared" si="0"/>
        <v>625</v>
      </c>
      <c r="H34">
        <f t="shared" si="1"/>
        <v>1250</v>
      </c>
      <c r="I34">
        <f t="shared" si="2"/>
        <v>1250</v>
      </c>
      <c r="J34">
        <f t="shared" si="3"/>
        <v>2717.39</v>
      </c>
      <c r="K34">
        <f t="shared" si="4"/>
        <v>489.13019999999995</v>
      </c>
      <c r="L34">
        <f t="shared" si="5"/>
        <v>295.37</v>
      </c>
      <c r="M34">
        <f t="shared" si="6"/>
        <v>2083.33</v>
      </c>
    </row>
    <row r="35" spans="1:13" ht="15" customHeight="1" x14ac:dyDescent="0.3">
      <c r="A35" s="21" t="s">
        <v>188</v>
      </c>
      <c r="B35" s="22" t="s">
        <v>474</v>
      </c>
      <c r="C35" s="23"/>
      <c r="D35" s="24" t="s">
        <v>89</v>
      </c>
      <c r="E35" s="1" t="s">
        <v>41</v>
      </c>
      <c r="F35" s="20" t="s">
        <v>475</v>
      </c>
      <c r="G35">
        <f t="shared" si="0"/>
        <v>625</v>
      </c>
      <c r="H35">
        <f t="shared" si="1"/>
        <v>312.5</v>
      </c>
      <c r="I35">
        <f t="shared" si="2"/>
        <v>250</v>
      </c>
      <c r="J35">
        <f t="shared" si="3"/>
        <v>679.35</v>
      </c>
      <c r="K35">
        <f t="shared" si="4"/>
        <v>122.283</v>
      </c>
      <c r="L35">
        <f t="shared" si="5"/>
        <v>1092.8599999999999</v>
      </c>
      <c r="M35">
        <f t="shared" si="6"/>
        <v>416.67</v>
      </c>
    </row>
    <row r="36" spans="1:13" ht="15" customHeight="1" x14ac:dyDescent="0.3">
      <c r="A36" s="16" t="s">
        <v>188</v>
      </c>
      <c r="B36" s="17" t="s">
        <v>476</v>
      </c>
      <c r="C36" s="18"/>
      <c r="D36" s="19" t="s">
        <v>89</v>
      </c>
      <c r="E36" s="1" t="s">
        <v>41</v>
      </c>
      <c r="F36" s="20" t="s">
        <v>477</v>
      </c>
      <c r="G36">
        <f t="shared" si="0"/>
        <v>100</v>
      </c>
      <c r="H36">
        <f t="shared" si="1"/>
        <v>50</v>
      </c>
      <c r="I36">
        <f t="shared" si="2"/>
        <v>100</v>
      </c>
      <c r="J36">
        <f t="shared" si="3"/>
        <v>108.7</v>
      </c>
      <c r="K36">
        <f t="shared" si="4"/>
        <v>19.565999999999999</v>
      </c>
      <c r="L36">
        <f t="shared" si="5"/>
        <v>174.86</v>
      </c>
      <c r="M36">
        <f t="shared" si="6"/>
        <v>166.67</v>
      </c>
    </row>
    <row r="37" spans="1:13" ht="15" customHeight="1" x14ac:dyDescent="0.3">
      <c r="A37" s="21" t="s">
        <v>188</v>
      </c>
      <c r="B37" s="22" t="s">
        <v>318</v>
      </c>
      <c r="C37" s="23"/>
      <c r="D37" s="24" t="s">
        <v>89</v>
      </c>
      <c r="E37" s="1" t="s">
        <v>41</v>
      </c>
      <c r="F37" s="20" t="s">
        <v>319</v>
      </c>
      <c r="G37">
        <f t="shared" si="0"/>
        <v>112.5</v>
      </c>
      <c r="H37">
        <f t="shared" si="1"/>
        <v>75</v>
      </c>
      <c r="I37">
        <f t="shared" si="2"/>
        <v>100</v>
      </c>
      <c r="J37">
        <f t="shared" si="3"/>
        <v>163.04</v>
      </c>
      <c r="K37">
        <f t="shared" si="4"/>
        <v>29.347199999999997</v>
      </c>
      <c r="L37">
        <f t="shared" si="5"/>
        <v>180.77</v>
      </c>
      <c r="M37">
        <f t="shared" si="6"/>
        <v>166.67</v>
      </c>
    </row>
    <row r="38" spans="1:13" ht="15" customHeight="1" x14ac:dyDescent="0.3">
      <c r="A38" s="16" t="s">
        <v>188</v>
      </c>
      <c r="B38" s="17" t="s">
        <v>478</v>
      </c>
      <c r="C38" s="18"/>
      <c r="D38" s="19" t="s">
        <v>89</v>
      </c>
      <c r="E38" s="1" t="s">
        <v>41</v>
      </c>
      <c r="F38" s="20" t="s">
        <v>479</v>
      </c>
      <c r="G38">
        <f t="shared" si="0"/>
        <v>412.5</v>
      </c>
      <c r="H38">
        <f t="shared" si="1"/>
        <v>56.25</v>
      </c>
      <c r="I38">
        <f t="shared" si="2"/>
        <v>568.75</v>
      </c>
      <c r="J38">
        <f t="shared" si="3"/>
        <v>122.28</v>
      </c>
      <c r="K38">
        <f t="shared" si="4"/>
        <v>22.010400000000001</v>
      </c>
      <c r="L38">
        <f t="shared" si="5"/>
        <v>848.89</v>
      </c>
      <c r="M38">
        <f t="shared" si="6"/>
        <v>947.92</v>
      </c>
    </row>
    <row r="39" spans="1:13" ht="15" customHeight="1" x14ac:dyDescent="0.3">
      <c r="A39" s="21" t="s">
        <v>188</v>
      </c>
      <c r="B39" s="22" t="s">
        <v>480</v>
      </c>
      <c r="C39" s="23"/>
      <c r="D39" s="24" t="s">
        <v>89</v>
      </c>
      <c r="E39" s="1" t="s">
        <v>41</v>
      </c>
      <c r="F39" s="20" t="s">
        <v>481</v>
      </c>
      <c r="G39">
        <f t="shared" ref="G39:G74" si="7">IF($F39="","",IFERROR(VALUE(TRIM(LEFT($F39,FIND(":",$F39)-1)))*1.25,"N/A"))</f>
        <v>100</v>
      </c>
      <c r="H39">
        <f t="shared" ref="H39:H74" si="8">IF($F39="","",IFERROR(VALUE(TRIM(MID($F39,FIND(":",$F39)+1,FIND(":",$F39,FIND(":",$F39)+1)-FIND(":",$F39)-1)))*1.25,"N/A"))</f>
        <v>56.25</v>
      </c>
      <c r="I39">
        <f t="shared" ref="I39:I74" si="9">IF($F39="","",IFERROR(VALUE(TRIM(LEFT(MID($F39,FIND(":",$F39,FIND(":",$F39)+1)+1,LEN($F39)),FIND(" ",MID($F39,FIND(":",$F39,FIND(":",$F39)+1)+1,LEN($F39))&amp;" ")-1)))*1.25,"N/A"))</f>
        <v>106.25</v>
      </c>
      <c r="J39">
        <f t="shared" ref="J39:J74" si="10">IF(OR($F39="",$H39="N/A"),IF($F39="","","N/A"),ROUND($H39/0.46,2))</f>
        <v>122.28</v>
      </c>
      <c r="K39">
        <f t="shared" ref="K39:K74" si="11">IF(OR($F39="",$J39="N/A"),IF($F39="","","N/A"),$J39*0.18)</f>
        <v>22.010400000000001</v>
      </c>
      <c r="L39">
        <f t="shared" ref="L39:L74" si="12">IF(OR($F39="",$G39="N/A",$K39="N/A"),IF($F39="","","N/A"),ROUND(($G39-$K39)/0.46,2))</f>
        <v>169.54</v>
      </c>
      <c r="M39">
        <f t="shared" ref="M39:M74" si="13">IF(OR($F39="",$I39="N/A"),IF($F39="","","N/A"),ROUND($I39/0.6,2))</f>
        <v>177.08</v>
      </c>
    </row>
    <row r="40" spans="1:13" ht="15" customHeight="1" x14ac:dyDescent="0.3">
      <c r="A40" s="16" t="s">
        <v>188</v>
      </c>
      <c r="B40" s="17" t="s">
        <v>482</v>
      </c>
      <c r="C40" s="18"/>
      <c r="D40" s="19" t="s">
        <v>89</v>
      </c>
      <c r="E40" s="1" t="s">
        <v>41</v>
      </c>
      <c r="F40" s="20" t="s">
        <v>483</v>
      </c>
      <c r="G40">
        <f t="shared" si="7"/>
        <v>10</v>
      </c>
      <c r="H40">
        <f t="shared" si="8"/>
        <v>10</v>
      </c>
      <c r="I40">
        <f t="shared" si="9"/>
        <v>10</v>
      </c>
      <c r="J40">
        <f t="shared" si="10"/>
        <v>21.74</v>
      </c>
      <c r="K40">
        <f t="shared" si="11"/>
        <v>3.9131999999999998</v>
      </c>
      <c r="L40">
        <f t="shared" si="12"/>
        <v>13.23</v>
      </c>
      <c r="M40">
        <f t="shared" si="13"/>
        <v>16.670000000000002</v>
      </c>
    </row>
    <row r="41" spans="1:13" ht="15" customHeight="1" x14ac:dyDescent="0.3">
      <c r="A41" s="21" t="s">
        <v>188</v>
      </c>
      <c r="B41" s="22" t="s">
        <v>303</v>
      </c>
      <c r="C41" s="23"/>
      <c r="D41" s="24" t="s">
        <v>89</v>
      </c>
      <c r="E41" s="1" t="s">
        <v>41</v>
      </c>
      <c r="F41" s="20" t="s">
        <v>304</v>
      </c>
      <c r="G41">
        <f t="shared" si="7"/>
        <v>1093.75</v>
      </c>
      <c r="H41">
        <f t="shared" si="8"/>
        <v>687.5</v>
      </c>
      <c r="I41">
        <f t="shared" si="9"/>
        <v>1062.5</v>
      </c>
      <c r="J41">
        <f t="shared" si="10"/>
        <v>1494.57</v>
      </c>
      <c r="K41">
        <f t="shared" si="11"/>
        <v>269.02259999999995</v>
      </c>
      <c r="L41">
        <f t="shared" si="12"/>
        <v>1792.89</v>
      </c>
      <c r="M41">
        <f t="shared" si="13"/>
        <v>1770.83</v>
      </c>
    </row>
    <row r="42" spans="1:13" ht="15" customHeight="1" x14ac:dyDescent="0.3">
      <c r="A42" s="16" t="s">
        <v>188</v>
      </c>
      <c r="B42" s="17" t="s">
        <v>484</v>
      </c>
      <c r="C42" s="18"/>
      <c r="D42" s="19" t="s">
        <v>89</v>
      </c>
      <c r="E42" s="1" t="s">
        <v>41</v>
      </c>
      <c r="F42" s="20" t="s">
        <v>201</v>
      </c>
      <c r="G42">
        <f t="shared" si="7"/>
        <v>50</v>
      </c>
      <c r="H42">
        <f t="shared" si="8"/>
        <v>30</v>
      </c>
      <c r="I42">
        <f t="shared" si="9"/>
        <v>100</v>
      </c>
      <c r="J42">
        <f t="shared" si="10"/>
        <v>65.22</v>
      </c>
      <c r="K42">
        <f t="shared" si="11"/>
        <v>11.739599999999999</v>
      </c>
      <c r="L42">
        <f t="shared" si="12"/>
        <v>83.17</v>
      </c>
      <c r="M42">
        <f t="shared" si="13"/>
        <v>166.67</v>
      </c>
    </row>
    <row r="43" spans="1:13" ht="15" customHeight="1" x14ac:dyDescent="0.3">
      <c r="A43" s="21" t="s">
        <v>188</v>
      </c>
      <c r="B43" s="22" t="s">
        <v>196</v>
      </c>
      <c r="C43" s="23"/>
      <c r="D43" s="24" t="s">
        <v>89</v>
      </c>
      <c r="E43" s="1" t="s">
        <v>41</v>
      </c>
      <c r="F43" s="20" t="s">
        <v>197</v>
      </c>
      <c r="G43">
        <f t="shared" si="7"/>
        <v>750</v>
      </c>
      <c r="H43">
        <f t="shared" si="8"/>
        <v>625</v>
      </c>
      <c r="I43">
        <f t="shared" si="9"/>
        <v>1500</v>
      </c>
      <c r="J43">
        <f t="shared" si="10"/>
        <v>1358.7</v>
      </c>
      <c r="K43">
        <f t="shared" si="11"/>
        <v>244.566</v>
      </c>
      <c r="L43">
        <f t="shared" si="12"/>
        <v>1098.77</v>
      </c>
      <c r="M43">
        <f t="shared" si="13"/>
        <v>2500</v>
      </c>
    </row>
    <row r="44" spans="1:13" ht="18" customHeight="1" x14ac:dyDescent="0.3">
      <c r="A44" s="25" t="s">
        <v>220</v>
      </c>
      <c r="B44" s="25"/>
      <c r="C44" s="25"/>
      <c r="G44" t="str">
        <f t="shared" si="7"/>
        <v/>
      </c>
      <c r="H44" t="str">
        <f t="shared" si="8"/>
        <v/>
      </c>
      <c r="I44" t="str">
        <f t="shared" si="9"/>
        <v/>
      </c>
      <c r="J44" t="str">
        <f t="shared" si="10"/>
        <v/>
      </c>
      <c r="K44" t="str">
        <f t="shared" si="11"/>
        <v/>
      </c>
      <c r="L44" t="str">
        <f t="shared" si="12"/>
        <v/>
      </c>
      <c r="M44" t="str">
        <f t="shared" si="13"/>
        <v/>
      </c>
    </row>
    <row r="45" spans="1:13" ht="15" customHeight="1" x14ac:dyDescent="0.3">
      <c r="A45" s="16" t="s">
        <v>221</v>
      </c>
      <c r="B45" s="17" t="s">
        <v>485</v>
      </c>
      <c r="C45" s="18"/>
      <c r="D45" s="19" t="s">
        <v>89</v>
      </c>
      <c r="E45" s="1" t="s">
        <v>41</v>
      </c>
      <c r="F45" s="20" t="s">
        <v>322</v>
      </c>
      <c r="G45">
        <f t="shared" si="7"/>
        <v>150</v>
      </c>
      <c r="H45">
        <f t="shared" si="8"/>
        <v>300</v>
      </c>
      <c r="I45">
        <f t="shared" si="9"/>
        <v>150</v>
      </c>
      <c r="J45">
        <f t="shared" si="10"/>
        <v>652.16999999999996</v>
      </c>
      <c r="K45">
        <f t="shared" si="11"/>
        <v>117.39059999999999</v>
      </c>
      <c r="L45">
        <f t="shared" si="12"/>
        <v>70.89</v>
      </c>
      <c r="M45">
        <f t="shared" si="13"/>
        <v>250</v>
      </c>
    </row>
    <row r="46" spans="1:13" ht="15" customHeight="1" x14ac:dyDescent="0.3">
      <c r="A46" s="21" t="s">
        <v>221</v>
      </c>
      <c r="B46" s="22" t="s">
        <v>327</v>
      </c>
      <c r="C46" s="23"/>
      <c r="D46" s="24" t="s">
        <v>89</v>
      </c>
      <c r="E46" s="1" t="s">
        <v>41</v>
      </c>
      <c r="F46" s="20" t="s">
        <v>328</v>
      </c>
      <c r="G46">
        <f t="shared" si="7"/>
        <v>150</v>
      </c>
      <c r="H46">
        <f t="shared" si="8"/>
        <v>100</v>
      </c>
      <c r="I46">
        <f t="shared" si="9"/>
        <v>87.5</v>
      </c>
      <c r="J46">
        <f t="shared" si="10"/>
        <v>217.39</v>
      </c>
      <c r="K46">
        <f t="shared" si="11"/>
        <v>39.130199999999995</v>
      </c>
      <c r="L46">
        <f t="shared" si="12"/>
        <v>241.02</v>
      </c>
      <c r="M46">
        <f t="shared" si="13"/>
        <v>145.83000000000001</v>
      </c>
    </row>
    <row r="47" spans="1:13" ht="15" customHeight="1" x14ac:dyDescent="0.3">
      <c r="A47" s="16" t="s">
        <v>221</v>
      </c>
      <c r="B47" s="17" t="s">
        <v>246</v>
      </c>
      <c r="C47" s="18"/>
      <c r="D47" s="19" t="s">
        <v>89</v>
      </c>
      <c r="E47" s="1" t="s">
        <v>41</v>
      </c>
      <c r="F47" s="20" t="s">
        <v>247</v>
      </c>
      <c r="G47">
        <f t="shared" si="7"/>
        <v>200</v>
      </c>
      <c r="H47">
        <f t="shared" si="8"/>
        <v>75</v>
      </c>
      <c r="I47">
        <f t="shared" si="9"/>
        <v>37.5</v>
      </c>
      <c r="J47">
        <f t="shared" si="10"/>
        <v>163.04</v>
      </c>
      <c r="K47">
        <f t="shared" si="11"/>
        <v>29.347199999999997</v>
      </c>
      <c r="L47">
        <f t="shared" si="12"/>
        <v>370.98</v>
      </c>
      <c r="M47">
        <f t="shared" si="13"/>
        <v>62.5</v>
      </c>
    </row>
    <row r="48" spans="1:13" ht="15" customHeight="1" x14ac:dyDescent="0.3">
      <c r="A48" s="21" t="s">
        <v>221</v>
      </c>
      <c r="B48" s="22" t="s">
        <v>222</v>
      </c>
      <c r="C48" s="23"/>
      <c r="D48" s="24" t="s">
        <v>89</v>
      </c>
      <c r="E48" s="1" t="s">
        <v>41</v>
      </c>
      <c r="F48" s="20" t="s">
        <v>223</v>
      </c>
      <c r="G48">
        <f t="shared" si="7"/>
        <v>187.5</v>
      </c>
      <c r="H48">
        <f t="shared" si="8"/>
        <v>125</v>
      </c>
      <c r="I48">
        <f t="shared" si="9"/>
        <v>62.5</v>
      </c>
      <c r="J48">
        <f t="shared" si="10"/>
        <v>271.74</v>
      </c>
      <c r="K48">
        <f t="shared" si="11"/>
        <v>48.913200000000003</v>
      </c>
      <c r="L48">
        <f t="shared" si="12"/>
        <v>301.27999999999997</v>
      </c>
      <c r="M48">
        <f t="shared" si="13"/>
        <v>104.17</v>
      </c>
    </row>
    <row r="49" spans="1:13" ht="15" customHeight="1" x14ac:dyDescent="0.3">
      <c r="A49" s="16" t="s">
        <v>221</v>
      </c>
      <c r="B49" s="17" t="s">
        <v>234</v>
      </c>
      <c r="C49" s="18"/>
      <c r="D49" s="19" t="s">
        <v>89</v>
      </c>
      <c r="E49" s="1" t="s">
        <v>41</v>
      </c>
      <c r="F49" s="20" t="s">
        <v>235</v>
      </c>
      <c r="G49">
        <f t="shared" si="7"/>
        <v>125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165.41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232</v>
      </c>
      <c r="C50" s="23"/>
      <c r="D50" s="24" t="s">
        <v>89</v>
      </c>
      <c r="E50" s="1" t="s">
        <v>41</v>
      </c>
      <c r="F50" s="20" t="s">
        <v>233</v>
      </c>
      <c r="G50">
        <f t="shared" si="7"/>
        <v>125</v>
      </c>
      <c r="H50">
        <f t="shared" si="8"/>
        <v>156.25</v>
      </c>
      <c r="I50">
        <f t="shared" si="9"/>
        <v>31.25</v>
      </c>
      <c r="J50">
        <f t="shared" si="10"/>
        <v>339.67</v>
      </c>
      <c r="K50">
        <f t="shared" si="11"/>
        <v>61.140599999999999</v>
      </c>
      <c r="L50">
        <f t="shared" si="12"/>
        <v>138.82</v>
      </c>
      <c r="M50">
        <f t="shared" si="13"/>
        <v>52.08</v>
      </c>
    </row>
    <row r="51" spans="1:13" ht="15" customHeight="1" x14ac:dyDescent="0.3">
      <c r="A51" s="16" t="s">
        <v>221</v>
      </c>
      <c r="B51" s="17" t="s">
        <v>236</v>
      </c>
      <c r="C51" s="18"/>
      <c r="D51" s="19" t="s">
        <v>89</v>
      </c>
      <c r="E51" s="1" t="s">
        <v>41</v>
      </c>
      <c r="F51" s="20" t="s">
        <v>237</v>
      </c>
      <c r="G51">
        <f t="shared" si="7"/>
        <v>62.5</v>
      </c>
      <c r="H51">
        <f t="shared" si="8"/>
        <v>62.5</v>
      </c>
      <c r="I51">
        <f t="shared" si="9"/>
        <v>62.5</v>
      </c>
      <c r="J51">
        <f t="shared" si="10"/>
        <v>135.87</v>
      </c>
      <c r="K51">
        <f t="shared" si="11"/>
        <v>24.456600000000002</v>
      </c>
      <c r="L51">
        <f t="shared" si="12"/>
        <v>82.7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389</v>
      </c>
      <c r="C52" s="23"/>
      <c r="D52" s="24" t="s">
        <v>89</v>
      </c>
      <c r="E52" s="1" t="s">
        <v>41</v>
      </c>
      <c r="F52" s="20" t="s">
        <v>390</v>
      </c>
      <c r="G52">
        <f t="shared" si="7"/>
        <v>156.25</v>
      </c>
      <c r="H52">
        <f t="shared" si="8"/>
        <v>112.5</v>
      </c>
      <c r="I52">
        <f t="shared" si="9"/>
        <v>62.5</v>
      </c>
      <c r="J52">
        <f t="shared" si="10"/>
        <v>244.57</v>
      </c>
      <c r="K52">
        <f t="shared" si="11"/>
        <v>44.022599999999997</v>
      </c>
      <c r="L52">
        <f t="shared" si="12"/>
        <v>243.97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329</v>
      </c>
      <c r="C53" s="18"/>
      <c r="D53" s="19" t="s">
        <v>89</v>
      </c>
      <c r="E53" s="1" t="s">
        <v>41</v>
      </c>
      <c r="F53" s="20" t="s">
        <v>330</v>
      </c>
      <c r="G53">
        <f t="shared" si="7"/>
        <v>62.5</v>
      </c>
      <c r="H53">
        <f t="shared" si="8"/>
        <v>125</v>
      </c>
      <c r="I53">
        <f t="shared" si="9"/>
        <v>62.5</v>
      </c>
      <c r="J53">
        <f t="shared" si="10"/>
        <v>271.74</v>
      </c>
      <c r="K53">
        <f t="shared" si="11"/>
        <v>48.913200000000003</v>
      </c>
      <c r="L53">
        <f t="shared" si="12"/>
        <v>29.54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331</v>
      </c>
      <c r="C54" s="23"/>
      <c r="D54" s="24" t="s">
        <v>89</v>
      </c>
      <c r="E54" s="1" t="s">
        <v>41</v>
      </c>
      <c r="F54" s="20" t="s">
        <v>332</v>
      </c>
      <c r="G54">
        <f t="shared" si="7"/>
        <v>168.75</v>
      </c>
      <c r="H54">
        <f t="shared" si="8"/>
        <v>168.75</v>
      </c>
      <c r="I54">
        <f t="shared" si="9"/>
        <v>168.75</v>
      </c>
      <c r="J54">
        <f t="shared" si="10"/>
        <v>366.85</v>
      </c>
      <c r="K54">
        <f t="shared" si="11"/>
        <v>66.033000000000001</v>
      </c>
      <c r="L54">
        <f t="shared" si="12"/>
        <v>223.3</v>
      </c>
      <c r="M54">
        <f t="shared" si="13"/>
        <v>281.25</v>
      </c>
    </row>
    <row r="55" spans="1:13" ht="15" customHeight="1" x14ac:dyDescent="0.3">
      <c r="A55" s="16" t="s">
        <v>221</v>
      </c>
      <c r="B55" s="17" t="s">
        <v>486</v>
      </c>
      <c r="C55" s="18"/>
      <c r="D55" s="19" t="s">
        <v>89</v>
      </c>
      <c r="E55" s="1" t="s">
        <v>41</v>
      </c>
      <c r="F55" s="20" t="s">
        <v>487</v>
      </c>
      <c r="G55">
        <f t="shared" si="7"/>
        <v>225</v>
      </c>
      <c r="H55">
        <f t="shared" si="8"/>
        <v>156.25</v>
      </c>
      <c r="I55">
        <f t="shared" si="9"/>
        <v>125</v>
      </c>
      <c r="J55">
        <f t="shared" si="10"/>
        <v>339.67</v>
      </c>
      <c r="K55">
        <f t="shared" si="11"/>
        <v>61.140599999999999</v>
      </c>
      <c r="L55">
        <f t="shared" si="12"/>
        <v>356.22</v>
      </c>
      <c r="M55">
        <f t="shared" si="13"/>
        <v>208.33</v>
      </c>
    </row>
    <row r="56" spans="1:13" ht="15" customHeight="1" x14ac:dyDescent="0.3">
      <c r="A56" s="21" t="s">
        <v>221</v>
      </c>
      <c r="B56" s="22" t="s">
        <v>323</v>
      </c>
      <c r="C56" s="23"/>
      <c r="D56" s="24" t="s">
        <v>89</v>
      </c>
      <c r="E56" s="1" t="s">
        <v>41</v>
      </c>
      <c r="F56" s="20" t="s">
        <v>324</v>
      </c>
      <c r="G56">
        <f t="shared" si="7"/>
        <v>93.75</v>
      </c>
      <c r="H56">
        <f t="shared" si="8"/>
        <v>62.5</v>
      </c>
      <c r="I56">
        <f t="shared" si="9"/>
        <v>62.5</v>
      </c>
      <c r="J56">
        <f t="shared" si="10"/>
        <v>135.87</v>
      </c>
      <c r="K56">
        <f t="shared" si="11"/>
        <v>24.456600000000002</v>
      </c>
      <c r="L56">
        <f t="shared" si="12"/>
        <v>150.63999999999999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365</v>
      </c>
      <c r="C57" s="18"/>
      <c r="D57" s="19" t="s">
        <v>89</v>
      </c>
      <c r="E57" s="1" t="s">
        <v>41</v>
      </c>
      <c r="F57" s="20" t="s">
        <v>366</v>
      </c>
      <c r="G57">
        <f t="shared" si="7"/>
        <v>93.75</v>
      </c>
      <c r="H57">
        <f t="shared" si="8"/>
        <v>93.75</v>
      </c>
      <c r="I57">
        <f t="shared" si="9"/>
        <v>93.75</v>
      </c>
      <c r="J57">
        <f t="shared" si="10"/>
        <v>203.8</v>
      </c>
      <c r="K57">
        <f t="shared" si="11"/>
        <v>36.683999999999997</v>
      </c>
      <c r="L57">
        <f t="shared" si="12"/>
        <v>124.06</v>
      </c>
      <c r="M57">
        <f t="shared" si="13"/>
        <v>156.25</v>
      </c>
    </row>
    <row r="58" spans="1:13" ht="18" customHeight="1" x14ac:dyDescent="0.3">
      <c r="A58" s="25" t="s">
        <v>252</v>
      </c>
      <c r="B58" s="25"/>
      <c r="C58" s="25"/>
      <c r="G58" t="str">
        <f t="shared" si="7"/>
        <v/>
      </c>
      <c r="H58" t="str">
        <f t="shared" si="8"/>
        <v/>
      </c>
      <c r="I58" t="str">
        <f t="shared" si="9"/>
        <v/>
      </c>
      <c r="J58" t="str">
        <f t="shared" si="10"/>
        <v/>
      </c>
      <c r="K58" t="str">
        <f t="shared" si="11"/>
        <v/>
      </c>
      <c r="L58" t="str">
        <f t="shared" si="12"/>
        <v/>
      </c>
      <c r="M58" t="str">
        <f t="shared" si="13"/>
        <v/>
      </c>
    </row>
    <row r="59" spans="1:13" ht="15" customHeight="1" x14ac:dyDescent="0.3">
      <c r="A59" s="21" t="s">
        <v>253</v>
      </c>
      <c r="B59" s="22" t="s">
        <v>323</v>
      </c>
      <c r="C59" s="23"/>
      <c r="D59" s="24" t="s">
        <v>89</v>
      </c>
      <c r="E59" s="1" t="s">
        <v>41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16" t="s">
        <v>253</v>
      </c>
      <c r="B60" s="17" t="s">
        <v>365</v>
      </c>
      <c r="C60" s="18"/>
      <c r="D60" s="19" t="s">
        <v>89</v>
      </c>
      <c r="E60" s="1" t="s">
        <v>41</v>
      </c>
      <c r="F60" s="20" t="s">
        <v>366</v>
      </c>
      <c r="G60">
        <f t="shared" si="7"/>
        <v>93.75</v>
      </c>
      <c r="H60">
        <f t="shared" si="8"/>
        <v>93.75</v>
      </c>
      <c r="I60">
        <f t="shared" si="9"/>
        <v>93.75</v>
      </c>
      <c r="J60">
        <f t="shared" si="10"/>
        <v>203.8</v>
      </c>
      <c r="K60">
        <f t="shared" si="11"/>
        <v>36.683999999999997</v>
      </c>
      <c r="L60">
        <f t="shared" si="12"/>
        <v>124.06</v>
      </c>
      <c r="M60">
        <f t="shared" si="13"/>
        <v>156.25</v>
      </c>
    </row>
    <row r="61" spans="1:13" ht="15" customHeight="1" x14ac:dyDescent="0.3">
      <c r="A61" s="21" t="s">
        <v>253</v>
      </c>
      <c r="B61" s="22" t="s">
        <v>488</v>
      </c>
      <c r="C61" s="23"/>
      <c r="D61" s="24" t="s">
        <v>89</v>
      </c>
      <c r="E61" s="1" t="s">
        <v>41</v>
      </c>
      <c r="F61" s="20" t="s">
        <v>338</v>
      </c>
      <c r="G61">
        <f t="shared" si="7"/>
        <v>93.75</v>
      </c>
      <c r="H61">
        <f t="shared" si="8"/>
        <v>93.75</v>
      </c>
      <c r="I61">
        <f t="shared" si="9"/>
        <v>187.5</v>
      </c>
      <c r="J61">
        <f t="shared" si="10"/>
        <v>203.8</v>
      </c>
      <c r="K61">
        <f t="shared" si="11"/>
        <v>36.683999999999997</v>
      </c>
      <c r="L61">
        <f t="shared" si="12"/>
        <v>124.06</v>
      </c>
      <c r="M61">
        <f t="shared" si="13"/>
        <v>312.5</v>
      </c>
    </row>
    <row r="62" spans="1:13" ht="15" customHeight="1" x14ac:dyDescent="0.3">
      <c r="A62" s="16" t="s">
        <v>253</v>
      </c>
      <c r="B62" s="17" t="s">
        <v>257</v>
      </c>
      <c r="C62" s="18"/>
      <c r="D62" s="19" t="s">
        <v>89</v>
      </c>
      <c r="E62" s="1" t="s">
        <v>41</v>
      </c>
      <c r="F62" s="20" t="s">
        <v>160</v>
      </c>
      <c r="G62">
        <f t="shared" si="7"/>
        <v>25</v>
      </c>
      <c r="H62">
        <f t="shared" si="8"/>
        <v>50</v>
      </c>
      <c r="I62">
        <f t="shared" si="9"/>
        <v>25</v>
      </c>
      <c r="J62">
        <f t="shared" si="10"/>
        <v>108.7</v>
      </c>
      <c r="K62">
        <f t="shared" si="11"/>
        <v>19.565999999999999</v>
      </c>
      <c r="L62">
        <f t="shared" si="12"/>
        <v>11.81</v>
      </c>
      <c r="M62">
        <f t="shared" si="13"/>
        <v>41.67</v>
      </c>
    </row>
    <row r="63" spans="1:13" ht="15" customHeight="1" x14ac:dyDescent="0.3">
      <c r="A63" s="21" t="s">
        <v>253</v>
      </c>
      <c r="B63" s="22" t="s">
        <v>228</v>
      </c>
      <c r="C63" s="23"/>
      <c r="D63" s="24" t="s">
        <v>89</v>
      </c>
      <c r="E63" s="1" t="s">
        <v>41</v>
      </c>
      <c r="F63" s="20" t="s">
        <v>229</v>
      </c>
      <c r="G63">
        <f t="shared" si="7"/>
        <v>150</v>
      </c>
      <c r="H63">
        <f t="shared" si="8"/>
        <v>75</v>
      </c>
      <c r="I63">
        <f t="shared" si="9"/>
        <v>37.5</v>
      </c>
      <c r="J63">
        <f t="shared" si="10"/>
        <v>163.04</v>
      </c>
      <c r="K63">
        <f t="shared" si="11"/>
        <v>29.347199999999997</v>
      </c>
      <c r="L63">
        <f t="shared" si="12"/>
        <v>262.29000000000002</v>
      </c>
      <c r="M63">
        <f t="shared" si="13"/>
        <v>62.5</v>
      </c>
    </row>
    <row r="64" spans="1:13" ht="15" customHeight="1" x14ac:dyDescent="0.3">
      <c r="A64" s="16" t="s">
        <v>253</v>
      </c>
      <c r="B64" s="17" t="s">
        <v>489</v>
      </c>
      <c r="C64" s="18"/>
      <c r="D64" s="19" t="s">
        <v>89</v>
      </c>
      <c r="E64" s="1" t="s">
        <v>41</v>
      </c>
      <c r="F64" s="20" t="s">
        <v>256</v>
      </c>
      <c r="G64">
        <f t="shared" si="7"/>
        <v>31.25</v>
      </c>
      <c r="H64">
        <f t="shared" si="8"/>
        <v>75</v>
      </c>
      <c r="I64">
        <f t="shared" si="9"/>
        <v>22.5</v>
      </c>
      <c r="J64">
        <f t="shared" si="10"/>
        <v>163.04</v>
      </c>
      <c r="K64">
        <f t="shared" si="11"/>
        <v>29.347199999999997</v>
      </c>
      <c r="L64">
        <f t="shared" si="12"/>
        <v>4.1399999999999997</v>
      </c>
      <c r="M64">
        <f t="shared" si="13"/>
        <v>37.5</v>
      </c>
    </row>
    <row r="65" spans="1:13" ht="18" customHeight="1" x14ac:dyDescent="0.3">
      <c r="A65" s="25" t="s">
        <v>263</v>
      </c>
      <c r="B65" s="25"/>
      <c r="C65" s="25"/>
      <c r="G65" t="str">
        <f t="shared" si="7"/>
        <v/>
      </c>
      <c r="H65" t="str">
        <f t="shared" si="8"/>
        <v/>
      </c>
      <c r="I65" t="str">
        <f t="shared" si="9"/>
        <v/>
      </c>
      <c r="J65" t="str">
        <f t="shared" si="10"/>
        <v/>
      </c>
      <c r="K65" t="str">
        <f t="shared" si="11"/>
        <v/>
      </c>
      <c r="L65" t="str">
        <f t="shared" si="12"/>
        <v/>
      </c>
      <c r="M65" t="str">
        <f t="shared" si="13"/>
        <v/>
      </c>
    </row>
    <row r="66" spans="1:13" ht="15" customHeight="1" x14ac:dyDescent="0.3">
      <c r="A66" s="21" t="s">
        <v>264</v>
      </c>
      <c r="B66" s="22" t="s">
        <v>490</v>
      </c>
      <c r="C66" s="23"/>
      <c r="D66" s="24" t="s">
        <v>89</v>
      </c>
      <c r="E66" s="1" t="s">
        <v>41</v>
      </c>
      <c r="F66" s="20" t="s">
        <v>343</v>
      </c>
      <c r="G66">
        <f t="shared" si="7"/>
        <v>275</v>
      </c>
      <c r="H66">
        <f t="shared" si="8"/>
        <v>56.25</v>
      </c>
      <c r="I66">
        <f t="shared" si="9"/>
        <v>225</v>
      </c>
      <c r="J66">
        <f t="shared" si="10"/>
        <v>122.28</v>
      </c>
      <c r="K66">
        <f t="shared" si="11"/>
        <v>22.010400000000001</v>
      </c>
      <c r="L66">
        <f t="shared" si="12"/>
        <v>549.98</v>
      </c>
      <c r="M66">
        <f t="shared" si="13"/>
        <v>375</v>
      </c>
    </row>
    <row r="67" spans="1:13" ht="18" customHeight="1" x14ac:dyDescent="0.3">
      <c r="A67" s="25" t="s">
        <v>269</v>
      </c>
      <c r="B67" s="25"/>
      <c r="C67" s="25"/>
      <c r="G67" t="str">
        <f t="shared" si="7"/>
        <v/>
      </c>
      <c r="H67" t="str">
        <f t="shared" si="8"/>
        <v/>
      </c>
      <c r="I67" t="str">
        <f t="shared" si="9"/>
        <v/>
      </c>
      <c r="J67" t="str">
        <f t="shared" si="10"/>
        <v/>
      </c>
      <c r="K67" t="str">
        <f t="shared" si="11"/>
        <v/>
      </c>
      <c r="L67" t="str">
        <f t="shared" si="12"/>
        <v/>
      </c>
      <c r="M67" t="str">
        <f t="shared" si="13"/>
        <v/>
      </c>
    </row>
    <row r="68" spans="1:13" ht="15" customHeight="1" x14ac:dyDescent="0.3">
      <c r="A68" s="16" t="s">
        <v>270</v>
      </c>
      <c r="B68" s="17" t="s">
        <v>491</v>
      </c>
      <c r="C68" s="18"/>
      <c r="D68" s="19" t="s">
        <v>89</v>
      </c>
      <c r="E68" s="1" t="s">
        <v>41</v>
      </c>
      <c r="F68" s="20" t="s">
        <v>492</v>
      </c>
      <c r="G68">
        <f t="shared" si="7"/>
        <v>125</v>
      </c>
      <c r="H68">
        <f t="shared" si="8"/>
        <v>75</v>
      </c>
      <c r="I68">
        <f t="shared" si="9"/>
        <v>93.75</v>
      </c>
      <c r="J68">
        <f t="shared" si="10"/>
        <v>163.04</v>
      </c>
      <c r="K68">
        <f t="shared" si="11"/>
        <v>29.347199999999997</v>
      </c>
      <c r="L68">
        <f t="shared" si="12"/>
        <v>207.94</v>
      </c>
      <c r="M68">
        <f t="shared" si="13"/>
        <v>156.25</v>
      </c>
    </row>
    <row r="69" spans="1:13" ht="15" customHeight="1" x14ac:dyDescent="0.3">
      <c r="A69" s="21" t="s">
        <v>270</v>
      </c>
      <c r="B69" s="22" t="s">
        <v>271</v>
      </c>
      <c r="C69" s="23"/>
      <c r="D69" s="24" t="s">
        <v>89</v>
      </c>
      <c r="E69" s="1" t="s">
        <v>41</v>
      </c>
      <c r="F69" s="20" t="s">
        <v>241</v>
      </c>
      <c r="G69">
        <f t="shared" si="7"/>
        <v>7.5</v>
      </c>
      <c r="H69">
        <f t="shared" si="8"/>
        <v>15</v>
      </c>
      <c r="I69">
        <f t="shared" si="9"/>
        <v>15</v>
      </c>
      <c r="J69">
        <f t="shared" si="10"/>
        <v>32.61</v>
      </c>
      <c r="K69">
        <f t="shared" si="11"/>
        <v>5.8697999999999997</v>
      </c>
      <c r="L69">
        <f t="shared" si="12"/>
        <v>3.54</v>
      </c>
      <c r="M69">
        <f t="shared" si="13"/>
        <v>25</v>
      </c>
    </row>
    <row r="70" spans="1:13" ht="15" customHeight="1" x14ac:dyDescent="0.3">
      <c r="A70" s="16" t="s">
        <v>270</v>
      </c>
      <c r="B70" s="17" t="s">
        <v>276</v>
      </c>
      <c r="C70" s="18"/>
      <c r="D70" s="19" t="s">
        <v>89</v>
      </c>
      <c r="E70" s="1" t="s">
        <v>41</v>
      </c>
      <c r="F70" s="20" t="s">
        <v>277</v>
      </c>
      <c r="G70">
        <f t="shared" si="7"/>
        <v>156.25</v>
      </c>
      <c r="H70">
        <f t="shared" si="8"/>
        <v>150</v>
      </c>
      <c r="I70">
        <f t="shared" si="9"/>
        <v>31.25</v>
      </c>
      <c r="J70">
        <f t="shared" si="10"/>
        <v>326.08999999999997</v>
      </c>
      <c r="K70">
        <f t="shared" si="11"/>
        <v>58.69619999999999</v>
      </c>
      <c r="L70">
        <f t="shared" si="12"/>
        <v>212.07</v>
      </c>
      <c r="M70">
        <f t="shared" si="13"/>
        <v>52.08</v>
      </c>
    </row>
    <row r="71" spans="1:13" ht="15" customHeight="1" x14ac:dyDescent="0.3">
      <c r="A71" s="21" t="s">
        <v>270</v>
      </c>
      <c r="B71" s="22" t="s">
        <v>445</v>
      </c>
      <c r="C71" s="23"/>
      <c r="D71" s="24" t="s">
        <v>89</v>
      </c>
      <c r="E71" s="1" t="s">
        <v>41</v>
      </c>
      <c r="F71" s="20" t="s">
        <v>446</v>
      </c>
      <c r="G71">
        <f t="shared" si="7"/>
        <v>150</v>
      </c>
      <c r="H71">
        <f t="shared" si="8"/>
        <v>187.5</v>
      </c>
      <c r="I71">
        <f t="shared" si="9"/>
        <v>187.5</v>
      </c>
      <c r="J71">
        <f t="shared" si="10"/>
        <v>407.61</v>
      </c>
      <c r="K71">
        <f t="shared" si="11"/>
        <v>73.369799999999998</v>
      </c>
      <c r="L71">
        <f t="shared" si="12"/>
        <v>166.59</v>
      </c>
      <c r="M71">
        <f t="shared" si="13"/>
        <v>312.5</v>
      </c>
    </row>
    <row r="72" spans="1:13" ht="15" customHeight="1" x14ac:dyDescent="0.3">
      <c r="A72" s="16" t="s">
        <v>270</v>
      </c>
      <c r="B72" s="17" t="s">
        <v>493</v>
      </c>
      <c r="C72" s="18"/>
      <c r="D72" s="19" t="s">
        <v>89</v>
      </c>
      <c r="E72" s="1" t="s">
        <v>41</v>
      </c>
      <c r="F72" s="20" t="s">
        <v>494</v>
      </c>
      <c r="G72">
        <f t="shared" si="7"/>
        <v>187.5</v>
      </c>
      <c r="H72">
        <f t="shared" si="8"/>
        <v>125</v>
      </c>
      <c r="I72">
        <f t="shared" si="9"/>
        <v>125</v>
      </c>
      <c r="J72">
        <f t="shared" si="10"/>
        <v>271.74</v>
      </c>
      <c r="K72">
        <f t="shared" si="11"/>
        <v>48.913200000000003</v>
      </c>
      <c r="L72">
        <f t="shared" si="12"/>
        <v>301.27999999999997</v>
      </c>
      <c r="M72">
        <f t="shared" si="13"/>
        <v>208.33</v>
      </c>
    </row>
    <row r="73" spans="1:13" ht="15" customHeight="1" x14ac:dyDescent="0.3">
      <c r="A73" s="21" t="s">
        <v>270</v>
      </c>
      <c r="B73" s="22" t="s">
        <v>495</v>
      </c>
      <c r="C73" s="23"/>
      <c r="D73" s="24" t="s">
        <v>89</v>
      </c>
      <c r="E73" s="1" t="s">
        <v>41</v>
      </c>
      <c r="F73" s="20" t="s">
        <v>492</v>
      </c>
      <c r="G73">
        <f t="shared" si="7"/>
        <v>125</v>
      </c>
      <c r="H73">
        <f t="shared" si="8"/>
        <v>75</v>
      </c>
      <c r="I73">
        <f t="shared" si="9"/>
        <v>93.75</v>
      </c>
      <c r="J73">
        <f t="shared" si="10"/>
        <v>163.04</v>
      </c>
      <c r="K73">
        <f t="shared" si="11"/>
        <v>29.347199999999997</v>
      </c>
      <c r="L73">
        <f t="shared" si="12"/>
        <v>207.94</v>
      </c>
      <c r="M73">
        <f t="shared" si="13"/>
        <v>156.25</v>
      </c>
    </row>
    <row r="74" spans="1:13" ht="15" customHeight="1" x14ac:dyDescent="0.3">
      <c r="A74" s="16" t="s">
        <v>270</v>
      </c>
      <c r="B74" s="17" t="s">
        <v>346</v>
      </c>
      <c r="C74" s="18"/>
      <c r="D74" s="19" t="s">
        <v>89</v>
      </c>
      <c r="E74" s="1" t="s">
        <v>41</v>
      </c>
      <c r="F74" s="20" t="s">
        <v>347</v>
      </c>
      <c r="G74">
        <f t="shared" si="7"/>
        <v>25</v>
      </c>
      <c r="H74">
        <f t="shared" si="8"/>
        <v>12.5</v>
      </c>
      <c r="I74">
        <f t="shared" si="9"/>
        <v>12.5</v>
      </c>
      <c r="J74">
        <f t="shared" si="10"/>
        <v>27.17</v>
      </c>
      <c r="K74">
        <f t="shared" si="11"/>
        <v>4.8906000000000001</v>
      </c>
      <c r="L74">
        <f t="shared" si="12"/>
        <v>43.72</v>
      </c>
      <c r="M74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8:C58"/>
    <mergeCell ref="A65:C65"/>
    <mergeCell ref="A67:C67"/>
    <mergeCell ref="A14:C14"/>
    <mergeCell ref="A20:C20"/>
    <mergeCell ref="A25:C25"/>
    <mergeCell ref="A30:C30"/>
    <mergeCell ref="A44:C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5E20"/>
  </sheetPr>
  <dimension ref="A1:M70"/>
  <sheetViews>
    <sheetView zoomScaleNormal="100" workbookViewId="0">
      <pane ySplit="6" topLeftCell="A7" activePane="bottomLeft" state="frozen"/>
      <selection pane="bottomLeft" sqref="A1:C1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496</v>
      </c>
      <c r="B1" s="26"/>
      <c r="C1" s="26"/>
    </row>
    <row r="2" spans="1:13" ht="19.5" customHeight="1" x14ac:dyDescent="0.3">
      <c r="A2" s="27" t="s">
        <v>497</v>
      </c>
      <c r="B2" s="27"/>
      <c r="C2" s="27"/>
    </row>
    <row r="3" spans="1:13" ht="19.5" customHeight="1" x14ac:dyDescent="0.3">
      <c r="A3" s="27" t="s">
        <v>498</v>
      </c>
      <c r="B3" s="27"/>
      <c r="C3" s="27"/>
    </row>
    <row r="4" spans="1:13" ht="19.5" customHeight="1" x14ac:dyDescent="0.3">
      <c r="A4" s="27" t="s">
        <v>499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500</v>
      </c>
      <c r="C8" s="18"/>
      <c r="D8" s="19" t="s">
        <v>124</v>
      </c>
      <c r="E8" s="1" t="s">
        <v>41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124</v>
      </c>
      <c r="E9" s="1" t="s">
        <v>41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124</v>
      </c>
      <c r="E10" s="1" t="s">
        <v>41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124</v>
      </c>
      <c r="E11" s="1" t="s">
        <v>41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8" customHeight="1" x14ac:dyDescent="0.3">
      <c r="A12" s="25" t="s">
        <v>155</v>
      </c>
      <c r="B12" s="25"/>
      <c r="C12" s="25"/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5"/>
        <v/>
      </c>
      <c r="M12" t="str">
        <f t="shared" si="6"/>
        <v/>
      </c>
    </row>
    <row r="13" spans="1:13" ht="15" customHeight="1" x14ac:dyDescent="0.3">
      <c r="A13" s="16" t="s">
        <v>156</v>
      </c>
      <c r="B13" s="17" t="s">
        <v>501</v>
      </c>
      <c r="C13" s="18"/>
      <c r="D13" s="19" t="s">
        <v>124</v>
      </c>
      <c r="E13" s="1" t="s">
        <v>41</v>
      </c>
      <c r="F13" s="20" t="s">
        <v>160</v>
      </c>
      <c r="G13">
        <f t="shared" si="0"/>
        <v>25</v>
      </c>
      <c r="H13">
        <f t="shared" si="1"/>
        <v>50</v>
      </c>
      <c r="I13">
        <f t="shared" si="2"/>
        <v>25</v>
      </c>
      <c r="J13">
        <f t="shared" si="3"/>
        <v>108.7</v>
      </c>
      <c r="K13">
        <f t="shared" si="4"/>
        <v>19.565999999999999</v>
      </c>
      <c r="L13">
        <f t="shared" si="5"/>
        <v>11.81</v>
      </c>
      <c r="M13">
        <f t="shared" si="6"/>
        <v>41.67</v>
      </c>
    </row>
    <row r="14" spans="1:13" ht="15" customHeight="1" x14ac:dyDescent="0.3">
      <c r="A14" s="21" t="s">
        <v>156</v>
      </c>
      <c r="B14" s="22" t="s">
        <v>379</v>
      </c>
      <c r="C14" s="23"/>
      <c r="D14" s="24" t="s">
        <v>124</v>
      </c>
      <c r="E14" s="1" t="s">
        <v>41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465</v>
      </c>
      <c r="C15" s="18"/>
      <c r="D15" s="19" t="s">
        <v>124</v>
      </c>
      <c r="E15" s="1" t="s">
        <v>41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163</v>
      </c>
      <c r="C16" s="23"/>
      <c r="D16" s="24" t="s">
        <v>124</v>
      </c>
      <c r="E16" s="1" t="s">
        <v>41</v>
      </c>
      <c r="F16" s="20" t="s">
        <v>164</v>
      </c>
      <c r="G16">
        <f t="shared" si="0"/>
        <v>12.5</v>
      </c>
      <c r="H16">
        <f t="shared" si="1"/>
        <v>25</v>
      </c>
      <c r="I16">
        <f t="shared" si="2"/>
        <v>12.5</v>
      </c>
      <c r="J16">
        <f t="shared" si="3"/>
        <v>54.35</v>
      </c>
      <c r="K16">
        <f t="shared" si="4"/>
        <v>9.7829999999999995</v>
      </c>
      <c r="L16">
        <f t="shared" si="5"/>
        <v>5.91</v>
      </c>
      <c r="M16">
        <f t="shared" si="6"/>
        <v>20.83</v>
      </c>
    </row>
    <row r="17" spans="1:13" ht="15" customHeight="1" x14ac:dyDescent="0.3">
      <c r="A17" s="16" t="s">
        <v>156</v>
      </c>
      <c r="B17" s="17" t="s">
        <v>357</v>
      </c>
      <c r="C17" s="18"/>
      <c r="D17" s="19" t="s">
        <v>124</v>
      </c>
      <c r="E17" s="1" t="s">
        <v>41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327</v>
      </c>
      <c r="C18" s="23"/>
      <c r="D18" s="24" t="s">
        <v>124</v>
      </c>
      <c r="E18" s="1" t="s">
        <v>41</v>
      </c>
      <c r="F18" s="20" t="s">
        <v>328</v>
      </c>
      <c r="G18">
        <f t="shared" si="0"/>
        <v>150</v>
      </c>
      <c r="H18">
        <f t="shared" si="1"/>
        <v>100</v>
      </c>
      <c r="I18">
        <f t="shared" si="2"/>
        <v>87.5</v>
      </c>
      <c r="J18">
        <f t="shared" si="3"/>
        <v>217.39</v>
      </c>
      <c r="K18">
        <f t="shared" si="4"/>
        <v>39.130199999999995</v>
      </c>
      <c r="L18">
        <f t="shared" si="5"/>
        <v>241.02</v>
      </c>
      <c r="M18">
        <f t="shared" si="6"/>
        <v>145.83000000000001</v>
      </c>
    </row>
    <row r="19" spans="1:13" ht="18" customHeight="1" x14ac:dyDescent="0.3">
      <c r="A19" s="25" t="s">
        <v>167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16" t="s">
        <v>168</v>
      </c>
      <c r="B20" s="17" t="s">
        <v>175</v>
      </c>
      <c r="C20" s="18"/>
      <c r="D20" s="19" t="s">
        <v>124</v>
      </c>
      <c r="E20" s="1" t="s">
        <v>41</v>
      </c>
      <c r="F20" s="20" t="s">
        <v>147</v>
      </c>
      <c r="G20">
        <f t="shared" si="0"/>
        <v>100</v>
      </c>
      <c r="H20">
        <f t="shared" si="1"/>
        <v>50</v>
      </c>
      <c r="I20">
        <f t="shared" si="2"/>
        <v>50</v>
      </c>
      <c r="J20">
        <f t="shared" si="3"/>
        <v>108.7</v>
      </c>
      <c r="K20">
        <f t="shared" si="4"/>
        <v>19.565999999999999</v>
      </c>
      <c r="L20">
        <f t="shared" si="5"/>
        <v>174.86</v>
      </c>
      <c r="M20">
        <f t="shared" si="6"/>
        <v>83.33</v>
      </c>
    </row>
    <row r="21" spans="1:13" ht="15" customHeight="1" x14ac:dyDescent="0.3">
      <c r="A21" s="21" t="s">
        <v>168</v>
      </c>
      <c r="B21" s="22" t="s">
        <v>295</v>
      </c>
      <c r="C21" s="23"/>
      <c r="D21" s="24" t="s">
        <v>124</v>
      </c>
      <c r="E21" s="1" t="s">
        <v>41</v>
      </c>
      <c r="F21" s="20" t="s">
        <v>149</v>
      </c>
      <c r="G21">
        <f t="shared" si="0"/>
        <v>50</v>
      </c>
      <c r="H21">
        <f t="shared" si="1"/>
        <v>25</v>
      </c>
      <c r="I21">
        <f t="shared" si="2"/>
        <v>25</v>
      </c>
      <c r="J21">
        <f t="shared" si="3"/>
        <v>54.35</v>
      </c>
      <c r="K21">
        <f t="shared" si="4"/>
        <v>9.7829999999999995</v>
      </c>
      <c r="L21">
        <f t="shared" si="5"/>
        <v>87.43</v>
      </c>
      <c r="M21">
        <f t="shared" si="6"/>
        <v>41.67</v>
      </c>
    </row>
    <row r="22" spans="1:13" ht="15" customHeight="1" x14ac:dyDescent="0.3">
      <c r="A22" s="16" t="s">
        <v>168</v>
      </c>
      <c r="B22" s="17" t="s">
        <v>502</v>
      </c>
      <c r="C22" s="18"/>
      <c r="D22" s="19" t="s">
        <v>124</v>
      </c>
      <c r="E22" s="1" t="s">
        <v>41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8" customHeight="1" x14ac:dyDescent="0.3">
      <c r="A23" s="25" t="s">
        <v>180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21" t="s">
        <v>181</v>
      </c>
      <c r="B24" s="22" t="s">
        <v>503</v>
      </c>
      <c r="C24" s="23"/>
      <c r="D24" s="24" t="s">
        <v>124</v>
      </c>
      <c r="E24" s="1" t="s">
        <v>41</v>
      </c>
      <c r="F24" s="20" t="s">
        <v>504</v>
      </c>
      <c r="G24">
        <f t="shared" si="0"/>
        <v>112.5</v>
      </c>
      <c r="H24">
        <f t="shared" si="1"/>
        <v>75</v>
      </c>
      <c r="I24">
        <f t="shared" si="2"/>
        <v>75</v>
      </c>
      <c r="J24">
        <f t="shared" si="3"/>
        <v>163.04</v>
      </c>
      <c r="K24">
        <f t="shared" si="4"/>
        <v>29.347199999999997</v>
      </c>
      <c r="L24">
        <f t="shared" si="5"/>
        <v>180.77</v>
      </c>
      <c r="M24">
        <f t="shared" si="6"/>
        <v>125</v>
      </c>
    </row>
    <row r="25" spans="1:13" ht="18" customHeight="1" x14ac:dyDescent="0.3">
      <c r="A25" s="25" t="s">
        <v>187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16" t="s">
        <v>188</v>
      </c>
      <c r="B26" s="17" t="s">
        <v>505</v>
      </c>
      <c r="C26" s="18"/>
      <c r="D26" s="19" t="s">
        <v>124</v>
      </c>
      <c r="E26" s="1" t="s">
        <v>41</v>
      </c>
      <c r="F26" s="20" t="s">
        <v>302</v>
      </c>
      <c r="G26">
        <f t="shared" si="0"/>
        <v>625</v>
      </c>
      <c r="H26">
        <f t="shared" si="1"/>
        <v>1250</v>
      </c>
      <c r="I26">
        <f t="shared" si="2"/>
        <v>1250</v>
      </c>
      <c r="J26">
        <f t="shared" si="3"/>
        <v>2717.39</v>
      </c>
      <c r="K26">
        <f t="shared" si="4"/>
        <v>489.13019999999995</v>
      </c>
      <c r="L26">
        <f t="shared" si="5"/>
        <v>295.37</v>
      </c>
      <c r="M26">
        <f t="shared" si="6"/>
        <v>2083.33</v>
      </c>
    </row>
    <row r="27" spans="1:13" ht="15" customHeight="1" x14ac:dyDescent="0.3">
      <c r="A27" s="21" t="s">
        <v>188</v>
      </c>
      <c r="B27" s="22" t="s">
        <v>309</v>
      </c>
      <c r="C27" s="23"/>
      <c r="D27" s="24" t="s">
        <v>124</v>
      </c>
      <c r="E27" s="1" t="s">
        <v>41</v>
      </c>
      <c r="F27" s="20" t="s">
        <v>302</v>
      </c>
      <c r="G27">
        <f t="shared" si="0"/>
        <v>625</v>
      </c>
      <c r="H27">
        <f t="shared" si="1"/>
        <v>1250</v>
      </c>
      <c r="I27">
        <f t="shared" si="2"/>
        <v>1250</v>
      </c>
      <c r="J27">
        <f t="shared" si="3"/>
        <v>2717.39</v>
      </c>
      <c r="K27">
        <f t="shared" si="4"/>
        <v>489.13019999999995</v>
      </c>
      <c r="L27">
        <f t="shared" si="5"/>
        <v>295.37</v>
      </c>
      <c r="M27">
        <f t="shared" si="6"/>
        <v>2083.33</v>
      </c>
    </row>
    <row r="28" spans="1:13" ht="15" customHeight="1" x14ac:dyDescent="0.3">
      <c r="A28" s="16" t="s">
        <v>188</v>
      </c>
      <c r="B28" s="17" t="s">
        <v>307</v>
      </c>
      <c r="C28" s="18"/>
      <c r="D28" s="19" t="s">
        <v>124</v>
      </c>
      <c r="E28" s="1" t="s">
        <v>41</v>
      </c>
      <c r="F28" s="20" t="s">
        <v>302</v>
      </c>
      <c r="G28">
        <f t="shared" si="0"/>
        <v>625</v>
      </c>
      <c r="H28">
        <f t="shared" si="1"/>
        <v>1250</v>
      </c>
      <c r="I28">
        <f t="shared" si="2"/>
        <v>1250</v>
      </c>
      <c r="J28">
        <f t="shared" si="3"/>
        <v>2717.39</v>
      </c>
      <c r="K28">
        <f t="shared" si="4"/>
        <v>489.13019999999995</v>
      </c>
      <c r="L28">
        <f t="shared" si="5"/>
        <v>295.37</v>
      </c>
      <c r="M28">
        <f t="shared" si="6"/>
        <v>2083.33</v>
      </c>
    </row>
    <row r="29" spans="1:13" ht="15" customHeight="1" x14ac:dyDescent="0.3">
      <c r="A29" s="21" t="s">
        <v>188</v>
      </c>
      <c r="B29" s="22" t="s">
        <v>308</v>
      </c>
      <c r="C29" s="23"/>
      <c r="D29" s="24" t="s">
        <v>124</v>
      </c>
      <c r="E29" s="1" t="s">
        <v>41</v>
      </c>
      <c r="F29" s="20" t="s">
        <v>302</v>
      </c>
      <c r="G29">
        <f t="shared" si="0"/>
        <v>625</v>
      </c>
      <c r="H29">
        <f t="shared" si="1"/>
        <v>1250</v>
      </c>
      <c r="I29">
        <f t="shared" si="2"/>
        <v>1250</v>
      </c>
      <c r="J29">
        <f t="shared" si="3"/>
        <v>2717.39</v>
      </c>
      <c r="K29">
        <f t="shared" si="4"/>
        <v>489.13019999999995</v>
      </c>
      <c r="L29">
        <f t="shared" si="5"/>
        <v>295.37</v>
      </c>
      <c r="M29">
        <f t="shared" si="6"/>
        <v>2083.33</v>
      </c>
    </row>
    <row r="30" spans="1:13" ht="15" customHeight="1" x14ac:dyDescent="0.3">
      <c r="A30" s="16" t="s">
        <v>188</v>
      </c>
      <c r="B30" s="17" t="s">
        <v>474</v>
      </c>
      <c r="C30" s="18"/>
      <c r="D30" s="19" t="s">
        <v>124</v>
      </c>
      <c r="E30" s="1" t="s">
        <v>41</v>
      </c>
      <c r="F30" s="20" t="s">
        <v>475</v>
      </c>
      <c r="G30">
        <f t="shared" si="0"/>
        <v>625</v>
      </c>
      <c r="H30">
        <f t="shared" si="1"/>
        <v>312.5</v>
      </c>
      <c r="I30">
        <f t="shared" si="2"/>
        <v>250</v>
      </c>
      <c r="J30">
        <f t="shared" si="3"/>
        <v>679.35</v>
      </c>
      <c r="K30">
        <f t="shared" si="4"/>
        <v>122.283</v>
      </c>
      <c r="L30">
        <f t="shared" si="5"/>
        <v>1092.8599999999999</v>
      </c>
      <c r="M30">
        <f t="shared" si="6"/>
        <v>416.67</v>
      </c>
    </row>
    <row r="31" spans="1:13" ht="15" customHeight="1" x14ac:dyDescent="0.3">
      <c r="A31" s="21" t="s">
        <v>188</v>
      </c>
      <c r="B31" s="22" t="s">
        <v>506</v>
      </c>
      <c r="C31" s="23"/>
      <c r="D31" s="24" t="s">
        <v>124</v>
      </c>
      <c r="E31" s="1" t="s">
        <v>41</v>
      </c>
      <c r="F31" s="20" t="s">
        <v>477</v>
      </c>
      <c r="G31">
        <f t="shared" si="0"/>
        <v>100</v>
      </c>
      <c r="H31">
        <f t="shared" si="1"/>
        <v>50</v>
      </c>
      <c r="I31">
        <f t="shared" si="2"/>
        <v>100</v>
      </c>
      <c r="J31">
        <f t="shared" si="3"/>
        <v>108.7</v>
      </c>
      <c r="K31">
        <f t="shared" si="4"/>
        <v>19.565999999999999</v>
      </c>
      <c r="L31">
        <f t="shared" si="5"/>
        <v>174.86</v>
      </c>
      <c r="M31">
        <f t="shared" si="6"/>
        <v>166.67</v>
      </c>
    </row>
    <row r="32" spans="1:13" ht="15" customHeight="1" x14ac:dyDescent="0.3">
      <c r="A32" s="16" t="s">
        <v>188</v>
      </c>
      <c r="B32" s="17" t="s">
        <v>507</v>
      </c>
      <c r="C32" s="18"/>
      <c r="D32" s="19" t="s">
        <v>124</v>
      </c>
      <c r="E32" s="1" t="s">
        <v>41</v>
      </c>
      <c r="F32" s="20" t="s">
        <v>319</v>
      </c>
      <c r="G32">
        <f t="shared" si="0"/>
        <v>112.5</v>
      </c>
      <c r="H32">
        <f t="shared" si="1"/>
        <v>75</v>
      </c>
      <c r="I32">
        <f t="shared" si="2"/>
        <v>100</v>
      </c>
      <c r="J32">
        <f t="shared" si="3"/>
        <v>163.04</v>
      </c>
      <c r="K32">
        <f t="shared" si="4"/>
        <v>29.347199999999997</v>
      </c>
      <c r="L32">
        <f t="shared" si="5"/>
        <v>180.77</v>
      </c>
      <c r="M32">
        <f t="shared" si="6"/>
        <v>166.67</v>
      </c>
    </row>
    <row r="33" spans="1:13" ht="15" customHeight="1" x14ac:dyDescent="0.3">
      <c r="A33" s="21" t="s">
        <v>188</v>
      </c>
      <c r="B33" s="22" t="s">
        <v>478</v>
      </c>
      <c r="C33" s="23"/>
      <c r="D33" s="24" t="s">
        <v>124</v>
      </c>
      <c r="E33" s="1" t="s">
        <v>41</v>
      </c>
      <c r="F33" s="20" t="s">
        <v>479</v>
      </c>
      <c r="G33">
        <f t="shared" si="0"/>
        <v>412.5</v>
      </c>
      <c r="H33">
        <f t="shared" si="1"/>
        <v>56.25</v>
      </c>
      <c r="I33">
        <f t="shared" si="2"/>
        <v>568.75</v>
      </c>
      <c r="J33">
        <f t="shared" si="3"/>
        <v>122.28</v>
      </c>
      <c r="K33">
        <f t="shared" si="4"/>
        <v>22.010400000000001</v>
      </c>
      <c r="L33">
        <f t="shared" si="5"/>
        <v>848.89</v>
      </c>
      <c r="M33">
        <f t="shared" si="6"/>
        <v>947.92</v>
      </c>
    </row>
    <row r="34" spans="1:13" ht="15" customHeight="1" x14ac:dyDescent="0.3">
      <c r="A34" s="16" t="s">
        <v>188</v>
      </c>
      <c r="B34" s="17" t="s">
        <v>508</v>
      </c>
      <c r="C34" s="18"/>
      <c r="D34" s="19" t="s">
        <v>124</v>
      </c>
      <c r="E34" s="1" t="s">
        <v>41</v>
      </c>
      <c r="F34" s="20" t="s">
        <v>509</v>
      </c>
      <c r="G34">
        <f t="shared" si="0"/>
        <v>93.75</v>
      </c>
      <c r="H34">
        <f t="shared" si="1"/>
        <v>50</v>
      </c>
      <c r="I34">
        <f t="shared" si="2"/>
        <v>93.75</v>
      </c>
      <c r="J34">
        <f t="shared" si="3"/>
        <v>108.7</v>
      </c>
      <c r="K34">
        <f t="shared" si="4"/>
        <v>19.565999999999999</v>
      </c>
      <c r="L34">
        <f t="shared" si="5"/>
        <v>161.27000000000001</v>
      </c>
      <c r="M34">
        <f t="shared" si="6"/>
        <v>156.25</v>
      </c>
    </row>
    <row r="35" spans="1:13" ht="15" customHeight="1" x14ac:dyDescent="0.3">
      <c r="A35" s="21" t="s">
        <v>188</v>
      </c>
      <c r="B35" s="22" t="s">
        <v>510</v>
      </c>
      <c r="C35" s="23"/>
      <c r="D35" s="24" t="s">
        <v>124</v>
      </c>
      <c r="E35" s="1" t="s">
        <v>41</v>
      </c>
      <c r="F35" s="20" t="s">
        <v>481</v>
      </c>
      <c r="G35">
        <f t="shared" si="0"/>
        <v>100</v>
      </c>
      <c r="H35">
        <f t="shared" si="1"/>
        <v>56.25</v>
      </c>
      <c r="I35">
        <f t="shared" si="2"/>
        <v>106.25</v>
      </c>
      <c r="J35">
        <f t="shared" si="3"/>
        <v>122.28</v>
      </c>
      <c r="K35">
        <f t="shared" si="4"/>
        <v>22.010400000000001</v>
      </c>
      <c r="L35">
        <f t="shared" si="5"/>
        <v>169.54</v>
      </c>
      <c r="M35">
        <f t="shared" si="6"/>
        <v>177.08</v>
      </c>
    </row>
    <row r="36" spans="1:13" ht="15" customHeight="1" x14ac:dyDescent="0.3">
      <c r="A36" s="16" t="s">
        <v>188</v>
      </c>
      <c r="B36" s="17" t="s">
        <v>511</v>
      </c>
      <c r="C36" s="18"/>
      <c r="D36" s="19" t="s">
        <v>124</v>
      </c>
      <c r="E36" s="1" t="s">
        <v>41</v>
      </c>
      <c r="F36" s="20" t="s">
        <v>197</v>
      </c>
      <c r="G36">
        <f t="shared" si="0"/>
        <v>750</v>
      </c>
      <c r="H36">
        <f t="shared" si="1"/>
        <v>625</v>
      </c>
      <c r="I36">
        <f t="shared" si="2"/>
        <v>1500</v>
      </c>
      <c r="J36">
        <f t="shared" si="3"/>
        <v>1358.7</v>
      </c>
      <c r="K36">
        <f t="shared" si="4"/>
        <v>244.566</v>
      </c>
      <c r="L36">
        <f t="shared" si="5"/>
        <v>1098.77</v>
      </c>
      <c r="M36">
        <f t="shared" si="6"/>
        <v>2500</v>
      </c>
    </row>
    <row r="37" spans="1:13" ht="15" customHeight="1" x14ac:dyDescent="0.3">
      <c r="A37" s="21" t="s">
        <v>188</v>
      </c>
      <c r="B37" s="22" t="s">
        <v>512</v>
      </c>
      <c r="C37" s="23"/>
      <c r="D37" s="24" t="s">
        <v>124</v>
      </c>
      <c r="E37" s="1" t="s">
        <v>41</v>
      </c>
      <c r="F37" s="20" t="s">
        <v>513</v>
      </c>
      <c r="G37">
        <f t="shared" si="0"/>
        <v>375</v>
      </c>
      <c r="H37">
        <f t="shared" si="1"/>
        <v>150</v>
      </c>
      <c r="I37">
        <f t="shared" si="2"/>
        <v>150</v>
      </c>
      <c r="J37">
        <f t="shared" si="3"/>
        <v>326.08999999999997</v>
      </c>
      <c r="K37">
        <f t="shared" si="4"/>
        <v>58.69619999999999</v>
      </c>
      <c r="L37">
        <f t="shared" si="5"/>
        <v>687.62</v>
      </c>
      <c r="M37">
        <f t="shared" si="6"/>
        <v>250</v>
      </c>
    </row>
    <row r="38" spans="1:13" ht="15" customHeight="1" x14ac:dyDescent="0.3">
      <c r="A38" s="16" t="s">
        <v>188</v>
      </c>
      <c r="B38" s="17" t="s">
        <v>482</v>
      </c>
      <c r="C38" s="18"/>
      <c r="D38" s="19" t="s">
        <v>124</v>
      </c>
      <c r="E38" s="1" t="s">
        <v>41</v>
      </c>
      <c r="F38" s="20" t="s">
        <v>483</v>
      </c>
      <c r="G38">
        <f t="shared" si="0"/>
        <v>10</v>
      </c>
      <c r="H38">
        <f t="shared" si="1"/>
        <v>10</v>
      </c>
      <c r="I38">
        <f t="shared" si="2"/>
        <v>10</v>
      </c>
      <c r="J38">
        <f t="shared" si="3"/>
        <v>21.74</v>
      </c>
      <c r="K38">
        <f t="shared" si="4"/>
        <v>3.9131999999999998</v>
      </c>
      <c r="L38">
        <f t="shared" si="5"/>
        <v>13.23</v>
      </c>
      <c r="M38">
        <f t="shared" si="6"/>
        <v>16.670000000000002</v>
      </c>
    </row>
    <row r="39" spans="1:13" ht="15" customHeight="1" x14ac:dyDescent="0.3">
      <c r="A39" s="21" t="s">
        <v>188</v>
      </c>
      <c r="B39" s="22" t="s">
        <v>303</v>
      </c>
      <c r="C39" s="23"/>
      <c r="D39" s="24" t="s">
        <v>124</v>
      </c>
      <c r="E39" s="1" t="s">
        <v>41</v>
      </c>
      <c r="F39" s="20" t="s">
        <v>304</v>
      </c>
      <c r="G39">
        <f t="shared" ref="G39:G70" si="7">IF($F39="","",IFERROR(VALUE(TRIM(LEFT($F39,FIND(":",$F39)-1)))*1.25,"N/A"))</f>
        <v>1093.75</v>
      </c>
      <c r="H39">
        <f t="shared" ref="H39:H70" si="8">IF($F39="","",IFERROR(VALUE(TRIM(MID($F39,FIND(":",$F39)+1,FIND(":",$F39,FIND(":",$F39)+1)-FIND(":",$F39)-1)))*1.25,"N/A"))</f>
        <v>687.5</v>
      </c>
      <c r="I39">
        <f t="shared" ref="I39:I70" si="9">IF($F39="","",IFERROR(VALUE(TRIM(LEFT(MID($F39,FIND(":",$F39,FIND(":",$F39)+1)+1,LEN($F39)),FIND(" ",MID($F39,FIND(":",$F39,FIND(":",$F39)+1)+1,LEN($F39))&amp;" ")-1)))*1.25,"N/A"))</f>
        <v>1062.5</v>
      </c>
      <c r="J39">
        <f t="shared" ref="J39:J70" si="10">IF(OR($F39="",$H39="N/A"),IF($F39="","","N/A"),ROUND($H39/0.46,2))</f>
        <v>1494.57</v>
      </c>
      <c r="K39">
        <f t="shared" ref="K39:K70" si="11">IF(OR($F39="",$J39="N/A"),IF($F39="","","N/A"),$J39*0.18)</f>
        <v>269.02259999999995</v>
      </c>
      <c r="L39">
        <f t="shared" ref="L39:L70" si="12">IF(OR($F39="",$G39="N/A",$K39="N/A"),IF($F39="","","N/A"),ROUND(($G39-$K39)/0.46,2))</f>
        <v>1792.89</v>
      </c>
      <c r="M39">
        <f t="shared" ref="M39:M70" si="13">IF(OR($F39="",$I39="N/A"),IF($F39="","","N/A"),ROUND($I39/0.6,2))</f>
        <v>1770.83</v>
      </c>
    </row>
    <row r="40" spans="1:13" ht="18" customHeight="1" x14ac:dyDescent="0.3">
      <c r="A40" s="25" t="s">
        <v>220</v>
      </c>
      <c r="B40" s="25"/>
      <c r="C40" s="25"/>
      <c r="G40" t="str">
        <f t="shared" si="7"/>
        <v/>
      </c>
      <c r="H40" t="str">
        <f t="shared" si="8"/>
        <v/>
      </c>
      <c r="I40" t="str">
        <f t="shared" si="9"/>
        <v/>
      </c>
      <c r="J40" t="str">
        <f t="shared" si="10"/>
        <v/>
      </c>
      <c r="K40" t="str">
        <f t="shared" si="11"/>
        <v/>
      </c>
      <c r="L40" t="str">
        <f t="shared" si="12"/>
        <v/>
      </c>
      <c r="M40" t="str">
        <f t="shared" si="13"/>
        <v/>
      </c>
    </row>
    <row r="41" spans="1:13" ht="15" customHeight="1" x14ac:dyDescent="0.3">
      <c r="A41" s="16" t="s">
        <v>221</v>
      </c>
      <c r="B41" s="17" t="s">
        <v>321</v>
      </c>
      <c r="C41" s="18"/>
      <c r="D41" s="19" t="s">
        <v>124</v>
      </c>
      <c r="E41" s="1" t="s">
        <v>41</v>
      </c>
      <c r="F41" s="20" t="s">
        <v>322</v>
      </c>
      <c r="G41">
        <f t="shared" si="7"/>
        <v>150</v>
      </c>
      <c r="H41">
        <f t="shared" si="8"/>
        <v>300</v>
      </c>
      <c r="I41">
        <f t="shared" si="9"/>
        <v>150</v>
      </c>
      <c r="J41">
        <f t="shared" si="10"/>
        <v>652.16999999999996</v>
      </c>
      <c r="K41">
        <f t="shared" si="11"/>
        <v>117.39059999999999</v>
      </c>
      <c r="L41">
        <f t="shared" si="12"/>
        <v>70.89</v>
      </c>
      <c r="M41">
        <f t="shared" si="13"/>
        <v>250</v>
      </c>
    </row>
    <row r="42" spans="1:13" ht="15" customHeight="1" x14ac:dyDescent="0.3">
      <c r="A42" s="21" t="s">
        <v>221</v>
      </c>
      <c r="B42" s="22" t="s">
        <v>222</v>
      </c>
      <c r="C42" s="23"/>
      <c r="D42" s="24" t="s">
        <v>124</v>
      </c>
      <c r="E42" s="1" t="s">
        <v>41</v>
      </c>
      <c r="F42" s="20" t="s">
        <v>223</v>
      </c>
      <c r="G42">
        <f t="shared" si="7"/>
        <v>187.5</v>
      </c>
      <c r="H42">
        <f t="shared" si="8"/>
        <v>125</v>
      </c>
      <c r="I42">
        <f t="shared" si="9"/>
        <v>62.5</v>
      </c>
      <c r="J42">
        <f t="shared" si="10"/>
        <v>271.74</v>
      </c>
      <c r="K42">
        <f t="shared" si="11"/>
        <v>48.913200000000003</v>
      </c>
      <c r="L42">
        <f t="shared" si="12"/>
        <v>301.27999999999997</v>
      </c>
      <c r="M42">
        <f t="shared" si="13"/>
        <v>104.17</v>
      </c>
    </row>
    <row r="43" spans="1:13" ht="15" customHeight="1" x14ac:dyDescent="0.3">
      <c r="A43" s="16" t="s">
        <v>221</v>
      </c>
      <c r="B43" s="17" t="s">
        <v>234</v>
      </c>
      <c r="C43" s="18"/>
      <c r="D43" s="19" t="s">
        <v>124</v>
      </c>
      <c r="E43" s="1" t="s">
        <v>41</v>
      </c>
      <c r="F43" s="20" t="s">
        <v>235</v>
      </c>
      <c r="G43">
        <f t="shared" si="7"/>
        <v>125</v>
      </c>
      <c r="H43">
        <f t="shared" si="8"/>
        <v>125</v>
      </c>
      <c r="I43">
        <f t="shared" si="9"/>
        <v>62.5</v>
      </c>
      <c r="J43">
        <f t="shared" si="10"/>
        <v>271.74</v>
      </c>
      <c r="K43">
        <f t="shared" si="11"/>
        <v>48.913200000000003</v>
      </c>
      <c r="L43">
        <f t="shared" si="12"/>
        <v>165.41</v>
      </c>
      <c r="M43">
        <f t="shared" si="13"/>
        <v>104.17</v>
      </c>
    </row>
    <row r="44" spans="1:13" ht="15" customHeight="1" x14ac:dyDescent="0.3">
      <c r="A44" s="21" t="s">
        <v>221</v>
      </c>
      <c r="B44" s="22" t="s">
        <v>232</v>
      </c>
      <c r="C44" s="23"/>
      <c r="D44" s="24" t="s">
        <v>124</v>
      </c>
      <c r="E44" s="1" t="s">
        <v>41</v>
      </c>
      <c r="F44" s="20" t="s">
        <v>233</v>
      </c>
      <c r="G44">
        <f t="shared" si="7"/>
        <v>125</v>
      </c>
      <c r="H44">
        <f t="shared" si="8"/>
        <v>156.25</v>
      </c>
      <c r="I44">
        <f t="shared" si="9"/>
        <v>31.25</v>
      </c>
      <c r="J44">
        <f t="shared" si="10"/>
        <v>339.67</v>
      </c>
      <c r="K44">
        <f t="shared" si="11"/>
        <v>61.140599999999999</v>
      </c>
      <c r="L44">
        <f t="shared" si="12"/>
        <v>138.82</v>
      </c>
      <c r="M44">
        <f t="shared" si="13"/>
        <v>52.08</v>
      </c>
    </row>
    <row r="45" spans="1:13" ht="15" customHeight="1" x14ac:dyDescent="0.3">
      <c r="A45" s="16" t="s">
        <v>221</v>
      </c>
      <c r="B45" s="17" t="s">
        <v>327</v>
      </c>
      <c r="C45" s="18"/>
      <c r="D45" s="19" t="s">
        <v>124</v>
      </c>
      <c r="E45" s="1" t="s">
        <v>41</v>
      </c>
      <c r="F45" s="20" t="s">
        <v>328</v>
      </c>
      <c r="G45">
        <f t="shared" si="7"/>
        <v>150</v>
      </c>
      <c r="H45">
        <f t="shared" si="8"/>
        <v>100</v>
      </c>
      <c r="I45">
        <f t="shared" si="9"/>
        <v>87.5</v>
      </c>
      <c r="J45">
        <f t="shared" si="10"/>
        <v>217.39</v>
      </c>
      <c r="K45">
        <f t="shared" si="11"/>
        <v>39.130199999999995</v>
      </c>
      <c r="L45">
        <f t="shared" si="12"/>
        <v>241.02</v>
      </c>
      <c r="M45">
        <f t="shared" si="13"/>
        <v>145.83000000000001</v>
      </c>
    </row>
    <row r="46" spans="1:13" ht="15" customHeight="1" x14ac:dyDescent="0.3">
      <c r="A46" s="21" t="s">
        <v>221</v>
      </c>
      <c r="B46" s="22" t="s">
        <v>329</v>
      </c>
      <c r="C46" s="23"/>
      <c r="D46" s="24" t="s">
        <v>124</v>
      </c>
      <c r="E46" s="1" t="s">
        <v>41</v>
      </c>
      <c r="F46" s="20" t="s">
        <v>330</v>
      </c>
      <c r="G46">
        <f t="shared" si="7"/>
        <v>62.5</v>
      </c>
      <c r="H46">
        <f t="shared" si="8"/>
        <v>125</v>
      </c>
      <c r="I46">
        <f t="shared" si="9"/>
        <v>62.5</v>
      </c>
      <c r="J46">
        <f t="shared" si="10"/>
        <v>271.74</v>
      </c>
      <c r="K46">
        <f t="shared" si="11"/>
        <v>48.913200000000003</v>
      </c>
      <c r="L46">
        <f t="shared" si="12"/>
        <v>29.54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486</v>
      </c>
      <c r="C47" s="18"/>
      <c r="D47" s="19" t="s">
        <v>124</v>
      </c>
      <c r="E47" s="1" t="s">
        <v>41</v>
      </c>
      <c r="F47" s="20" t="s">
        <v>487</v>
      </c>
      <c r="G47">
        <f t="shared" si="7"/>
        <v>225</v>
      </c>
      <c r="H47">
        <f t="shared" si="8"/>
        <v>156.25</v>
      </c>
      <c r="I47">
        <f t="shared" si="9"/>
        <v>125</v>
      </c>
      <c r="J47">
        <f t="shared" si="10"/>
        <v>339.67</v>
      </c>
      <c r="K47">
        <f t="shared" si="11"/>
        <v>61.140599999999999</v>
      </c>
      <c r="L47">
        <f t="shared" si="12"/>
        <v>356.22</v>
      </c>
      <c r="M47">
        <f t="shared" si="13"/>
        <v>208.33</v>
      </c>
    </row>
    <row r="48" spans="1:13" ht="15" customHeight="1" x14ac:dyDescent="0.3">
      <c r="A48" s="21" t="s">
        <v>221</v>
      </c>
      <c r="B48" s="22" t="s">
        <v>331</v>
      </c>
      <c r="C48" s="23"/>
      <c r="D48" s="24" t="s">
        <v>124</v>
      </c>
      <c r="E48" s="1" t="s">
        <v>41</v>
      </c>
      <c r="F48" s="20" t="s">
        <v>332</v>
      </c>
      <c r="G48">
        <f t="shared" si="7"/>
        <v>168.75</v>
      </c>
      <c r="H48">
        <f t="shared" si="8"/>
        <v>168.75</v>
      </c>
      <c r="I48">
        <f t="shared" si="9"/>
        <v>168.75</v>
      </c>
      <c r="J48">
        <f t="shared" si="10"/>
        <v>366.85</v>
      </c>
      <c r="K48">
        <f t="shared" si="11"/>
        <v>66.033000000000001</v>
      </c>
      <c r="L48">
        <f t="shared" si="12"/>
        <v>223.3</v>
      </c>
      <c r="M48">
        <f t="shared" si="13"/>
        <v>281.25</v>
      </c>
    </row>
    <row r="49" spans="1:13" ht="15" customHeight="1" x14ac:dyDescent="0.3">
      <c r="A49" s="16" t="s">
        <v>221</v>
      </c>
      <c r="B49" s="17" t="s">
        <v>230</v>
      </c>
      <c r="C49" s="18"/>
      <c r="D49" s="19" t="s">
        <v>124</v>
      </c>
      <c r="E49" s="1" t="s">
        <v>41</v>
      </c>
      <c r="F49" s="20" t="s">
        <v>231</v>
      </c>
      <c r="G49">
        <f t="shared" si="7"/>
        <v>125</v>
      </c>
      <c r="H49">
        <f t="shared" si="8"/>
        <v>187.5</v>
      </c>
      <c r="I49">
        <f t="shared" si="9"/>
        <v>93.75</v>
      </c>
      <c r="J49">
        <f t="shared" si="10"/>
        <v>407.61</v>
      </c>
      <c r="K49">
        <f t="shared" si="11"/>
        <v>73.369799999999998</v>
      </c>
      <c r="L49">
        <f t="shared" si="12"/>
        <v>112.24</v>
      </c>
      <c r="M49">
        <f t="shared" si="13"/>
        <v>156.25</v>
      </c>
    </row>
    <row r="50" spans="1:13" ht="15" customHeight="1" x14ac:dyDescent="0.3">
      <c r="A50" s="21" t="s">
        <v>221</v>
      </c>
      <c r="B50" s="22" t="s">
        <v>365</v>
      </c>
      <c r="C50" s="23"/>
      <c r="D50" s="24" t="s">
        <v>124</v>
      </c>
      <c r="E50" s="1" t="s">
        <v>41</v>
      </c>
      <c r="F50" s="20" t="s">
        <v>366</v>
      </c>
      <c r="G50">
        <f t="shared" si="7"/>
        <v>93.75</v>
      </c>
      <c r="H50">
        <f t="shared" si="8"/>
        <v>93.75</v>
      </c>
      <c r="I50">
        <f t="shared" si="9"/>
        <v>93.75</v>
      </c>
      <c r="J50">
        <f t="shared" si="10"/>
        <v>203.8</v>
      </c>
      <c r="K50">
        <f t="shared" si="11"/>
        <v>36.683999999999997</v>
      </c>
      <c r="L50">
        <f t="shared" si="12"/>
        <v>124.06</v>
      </c>
      <c r="M50">
        <f t="shared" si="13"/>
        <v>156.25</v>
      </c>
    </row>
    <row r="51" spans="1:13" ht="15" customHeight="1" x14ac:dyDescent="0.3">
      <c r="A51" s="16" t="s">
        <v>221</v>
      </c>
      <c r="B51" s="17" t="s">
        <v>325</v>
      </c>
      <c r="C51" s="18"/>
      <c r="D51" s="19" t="s">
        <v>124</v>
      </c>
      <c r="E51" s="1" t="s">
        <v>41</v>
      </c>
      <c r="F51" s="20" t="s">
        <v>225</v>
      </c>
      <c r="G51">
        <f t="shared" si="7"/>
        <v>125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218.57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228</v>
      </c>
      <c r="C52" s="23"/>
      <c r="D52" s="24" t="s">
        <v>124</v>
      </c>
      <c r="E52" s="1" t="s">
        <v>41</v>
      </c>
      <c r="F52" s="20" t="s">
        <v>229</v>
      </c>
      <c r="G52">
        <f t="shared" si="7"/>
        <v>150</v>
      </c>
      <c r="H52">
        <f t="shared" si="8"/>
        <v>75</v>
      </c>
      <c r="I52">
        <f t="shared" si="9"/>
        <v>37.5</v>
      </c>
      <c r="J52">
        <f t="shared" si="10"/>
        <v>163.04</v>
      </c>
      <c r="K52">
        <f t="shared" si="11"/>
        <v>29.347199999999997</v>
      </c>
      <c r="L52">
        <f t="shared" si="12"/>
        <v>262.29000000000002</v>
      </c>
      <c r="M52">
        <f t="shared" si="13"/>
        <v>62.5</v>
      </c>
    </row>
    <row r="53" spans="1:13" ht="15" customHeight="1" x14ac:dyDescent="0.3">
      <c r="A53" s="16" t="s">
        <v>221</v>
      </c>
      <c r="B53" s="17" t="s">
        <v>250</v>
      </c>
      <c r="C53" s="18"/>
      <c r="D53" s="19" t="s">
        <v>124</v>
      </c>
      <c r="E53" s="1" t="s">
        <v>41</v>
      </c>
      <c r="F53" s="20" t="s">
        <v>251</v>
      </c>
      <c r="G53">
        <f t="shared" si="7"/>
        <v>75</v>
      </c>
      <c r="H53">
        <f t="shared" si="8"/>
        <v>75</v>
      </c>
      <c r="I53">
        <f t="shared" si="9"/>
        <v>75</v>
      </c>
      <c r="J53">
        <f t="shared" si="10"/>
        <v>163.04</v>
      </c>
      <c r="K53">
        <f t="shared" si="11"/>
        <v>29.347199999999997</v>
      </c>
      <c r="L53">
        <f t="shared" si="12"/>
        <v>99.25</v>
      </c>
      <c r="M53">
        <f t="shared" si="13"/>
        <v>125</v>
      </c>
    </row>
    <row r="54" spans="1:13" ht="18" customHeight="1" x14ac:dyDescent="0.3">
      <c r="A54" s="25" t="s">
        <v>252</v>
      </c>
      <c r="B54" s="25"/>
      <c r="C54" s="25"/>
      <c r="G54" t="str">
        <f t="shared" si="7"/>
        <v/>
      </c>
      <c r="H54" t="str">
        <f t="shared" si="8"/>
        <v/>
      </c>
      <c r="I54" t="str">
        <f t="shared" si="9"/>
        <v/>
      </c>
      <c r="J54" t="str">
        <f t="shared" si="10"/>
        <v/>
      </c>
      <c r="K54" t="str">
        <f t="shared" si="11"/>
        <v/>
      </c>
      <c r="L54" t="str">
        <f t="shared" si="12"/>
        <v/>
      </c>
      <c r="M54" t="str">
        <f t="shared" si="13"/>
        <v/>
      </c>
    </row>
    <row r="55" spans="1:13" ht="15" customHeight="1" x14ac:dyDescent="0.3">
      <c r="A55" s="21" t="s">
        <v>253</v>
      </c>
      <c r="B55" s="22" t="s">
        <v>514</v>
      </c>
      <c r="C55" s="23"/>
      <c r="D55" s="24" t="s">
        <v>124</v>
      </c>
      <c r="E55" s="1" t="s">
        <v>41</v>
      </c>
      <c r="F55" s="20" t="s">
        <v>504</v>
      </c>
      <c r="G55">
        <f t="shared" si="7"/>
        <v>112.5</v>
      </c>
      <c r="H55">
        <f t="shared" si="8"/>
        <v>75</v>
      </c>
      <c r="I55">
        <f t="shared" si="9"/>
        <v>75</v>
      </c>
      <c r="J55">
        <f t="shared" si="10"/>
        <v>163.04</v>
      </c>
      <c r="K55">
        <f t="shared" si="11"/>
        <v>29.347199999999997</v>
      </c>
      <c r="L55">
        <f t="shared" si="12"/>
        <v>180.77</v>
      </c>
      <c r="M55">
        <f t="shared" si="13"/>
        <v>125</v>
      </c>
    </row>
    <row r="56" spans="1:13" ht="15" customHeight="1" x14ac:dyDescent="0.3">
      <c r="A56" s="16" t="s">
        <v>253</v>
      </c>
      <c r="B56" s="17" t="s">
        <v>365</v>
      </c>
      <c r="C56" s="18"/>
      <c r="D56" s="19" t="s">
        <v>124</v>
      </c>
      <c r="E56" s="1" t="s">
        <v>41</v>
      </c>
      <c r="F56" s="20" t="s">
        <v>366</v>
      </c>
      <c r="G56">
        <f t="shared" si="7"/>
        <v>93.75</v>
      </c>
      <c r="H56">
        <f t="shared" si="8"/>
        <v>93.75</v>
      </c>
      <c r="I56">
        <f t="shared" si="9"/>
        <v>93.75</v>
      </c>
      <c r="J56">
        <f t="shared" si="10"/>
        <v>203.8</v>
      </c>
      <c r="K56">
        <f t="shared" si="11"/>
        <v>36.683999999999997</v>
      </c>
      <c r="L56">
        <f t="shared" si="12"/>
        <v>124.06</v>
      </c>
      <c r="M56">
        <f t="shared" si="13"/>
        <v>156.25</v>
      </c>
    </row>
    <row r="57" spans="1:13" ht="15" customHeight="1" x14ac:dyDescent="0.3">
      <c r="A57" s="21" t="s">
        <v>253</v>
      </c>
      <c r="B57" s="22" t="s">
        <v>230</v>
      </c>
      <c r="C57" s="23"/>
      <c r="D57" s="24" t="s">
        <v>124</v>
      </c>
      <c r="E57" s="1" t="s">
        <v>41</v>
      </c>
      <c r="F57" s="20" t="s">
        <v>231</v>
      </c>
      <c r="G57">
        <f t="shared" si="7"/>
        <v>125</v>
      </c>
      <c r="H57">
        <f t="shared" si="8"/>
        <v>187.5</v>
      </c>
      <c r="I57">
        <f t="shared" si="9"/>
        <v>93.75</v>
      </c>
      <c r="J57">
        <f t="shared" si="10"/>
        <v>407.61</v>
      </c>
      <c r="K57">
        <f t="shared" si="11"/>
        <v>73.369799999999998</v>
      </c>
      <c r="L57">
        <f t="shared" si="12"/>
        <v>112.24</v>
      </c>
      <c r="M57">
        <f t="shared" si="13"/>
        <v>156.25</v>
      </c>
    </row>
    <row r="58" spans="1:13" ht="15" customHeight="1" x14ac:dyDescent="0.3">
      <c r="A58" s="16" t="s">
        <v>253</v>
      </c>
      <c r="B58" s="17" t="s">
        <v>257</v>
      </c>
      <c r="C58" s="18"/>
      <c r="D58" s="19" t="s">
        <v>124</v>
      </c>
      <c r="E58" s="1" t="s">
        <v>41</v>
      </c>
      <c r="F58" s="20" t="s">
        <v>160</v>
      </c>
      <c r="G58">
        <f t="shared" si="7"/>
        <v>25</v>
      </c>
      <c r="H58">
        <f t="shared" si="8"/>
        <v>50</v>
      </c>
      <c r="I58">
        <f t="shared" si="9"/>
        <v>25</v>
      </c>
      <c r="J58">
        <f t="shared" si="10"/>
        <v>108.7</v>
      </c>
      <c r="K58">
        <f t="shared" si="11"/>
        <v>19.565999999999999</v>
      </c>
      <c r="L58">
        <f t="shared" si="12"/>
        <v>11.81</v>
      </c>
      <c r="M58">
        <f t="shared" si="13"/>
        <v>41.67</v>
      </c>
    </row>
    <row r="59" spans="1:13" ht="15" customHeight="1" x14ac:dyDescent="0.3">
      <c r="A59" s="21" t="s">
        <v>253</v>
      </c>
      <c r="B59" s="22" t="s">
        <v>323</v>
      </c>
      <c r="C59" s="23"/>
      <c r="D59" s="24" t="s">
        <v>124</v>
      </c>
      <c r="E59" s="1" t="s">
        <v>41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16" t="s">
        <v>253</v>
      </c>
      <c r="B60" s="17" t="s">
        <v>443</v>
      </c>
      <c r="C60" s="18"/>
      <c r="D60" s="19" t="s">
        <v>124</v>
      </c>
      <c r="E60" s="1" t="s">
        <v>41</v>
      </c>
      <c r="F60" s="20" t="s">
        <v>441</v>
      </c>
      <c r="G60">
        <f t="shared" si="7"/>
        <v>62.5</v>
      </c>
      <c r="H60">
        <f t="shared" si="8"/>
        <v>31.25</v>
      </c>
      <c r="I60">
        <f t="shared" si="9"/>
        <v>50</v>
      </c>
      <c r="J60">
        <f t="shared" si="10"/>
        <v>67.930000000000007</v>
      </c>
      <c r="K60">
        <f t="shared" si="11"/>
        <v>12.227400000000001</v>
      </c>
      <c r="L60">
        <f t="shared" si="12"/>
        <v>109.29</v>
      </c>
      <c r="M60">
        <f t="shared" si="13"/>
        <v>83.33</v>
      </c>
    </row>
    <row r="61" spans="1:13" ht="15" customHeight="1" x14ac:dyDescent="0.3">
      <c r="A61" s="21" t="s">
        <v>253</v>
      </c>
      <c r="B61" s="22" t="s">
        <v>515</v>
      </c>
      <c r="C61" s="23"/>
      <c r="D61" s="24" t="s">
        <v>124</v>
      </c>
      <c r="E61" s="1" t="s">
        <v>41</v>
      </c>
      <c r="F61" s="20" t="s">
        <v>256</v>
      </c>
      <c r="G61">
        <f t="shared" si="7"/>
        <v>31.25</v>
      </c>
      <c r="H61">
        <f t="shared" si="8"/>
        <v>75</v>
      </c>
      <c r="I61">
        <f t="shared" si="9"/>
        <v>22.5</v>
      </c>
      <c r="J61">
        <f t="shared" si="10"/>
        <v>163.04</v>
      </c>
      <c r="K61">
        <f t="shared" si="11"/>
        <v>29.347199999999997</v>
      </c>
      <c r="L61">
        <f t="shared" si="12"/>
        <v>4.1399999999999997</v>
      </c>
      <c r="M61">
        <f t="shared" si="13"/>
        <v>37.5</v>
      </c>
    </row>
    <row r="62" spans="1:13" ht="18" customHeight="1" x14ac:dyDescent="0.3">
      <c r="A62" s="25" t="s">
        <v>263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16" t="s">
        <v>264</v>
      </c>
      <c r="B63" s="17" t="s">
        <v>318</v>
      </c>
      <c r="C63" s="18"/>
      <c r="D63" s="19" t="s">
        <v>124</v>
      </c>
      <c r="E63" s="1" t="s">
        <v>41</v>
      </c>
      <c r="F63" s="20" t="s">
        <v>319</v>
      </c>
      <c r="G63">
        <f t="shared" si="7"/>
        <v>112.5</v>
      </c>
      <c r="H63">
        <f t="shared" si="8"/>
        <v>75</v>
      </c>
      <c r="I63">
        <f t="shared" si="9"/>
        <v>100</v>
      </c>
      <c r="J63">
        <f t="shared" si="10"/>
        <v>163.04</v>
      </c>
      <c r="K63">
        <f t="shared" si="11"/>
        <v>29.347199999999997</v>
      </c>
      <c r="L63">
        <f t="shared" si="12"/>
        <v>180.77</v>
      </c>
      <c r="M63">
        <f t="shared" si="13"/>
        <v>166.67</v>
      </c>
    </row>
    <row r="64" spans="1:13" ht="15" customHeight="1" x14ac:dyDescent="0.3">
      <c r="A64" s="21" t="s">
        <v>264</v>
      </c>
      <c r="B64" s="22" t="s">
        <v>478</v>
      </c>
      <c r="C64" s="23"/>
      <c r="D64" s="24" t="s">
        <v>124</v>
      </c>
      <c r="E64" s="1" t="s">
        <v>41</v>
      </c>
      <c r="F64" s="20" t="s">
        <v>479</v>
      </c>
      <c r="G64">
        <f t="shared" si="7"/>
        <v>412.5</v>
      </c>
      <c r="H64">
        <f t="shared" si="8"/>
        <v>56.25</v>
      </c>
      <c r="I64">
        <f t="shared" si="9"/>
        <v>568.75</v>
      </c>
      <c r="J64">
        <f t="shared" si="10"/>
        <v>122.28</v>
      </c>
      <c r="K64">
        <f t="shared" si="11"/>
        <v>22.010400000000001</v>
      </c>
      <c r="L64">
        <f t="shared" si="12"/>
        <v>848.89</v>
      </c>
      <c r="M64">
        <f t="shared" si="13"/>
        <v>947.92</v>
      </c>
    </row>
    <row r="65" spans="1:13" ht="15" customHeight="1" x14ac:dyDescent="0.3">
      <c r="A65" s="16" t="s">
        <v>264</v>
      </c>
      <c r="B65" s="17" t="s">
        <v>480</v>
      </c>
      <c r="C65" s="18"/>
      <c r="D65" s="19" t="s">
        <v>124</v>
      </c>
      <c r="E65" s="1" t="s">
        <v>41</v>
      </c>
      <c r="F65" s="20" t="s">
        <v>481</v>
      </c>
      <c r="G65">
        <f t="shared" si="7"/>
        <v>100</v>
      </c>
      <c r="H65">
        <f t="shared" si="8"/>
        <v>56.25</v>
      </c>
      <c r="I65">
        <f t="shared" si="9"/>
        <v>106.25</v>
      </c>
      <c r="J65">
        <f t="shared" si="10"/>
        <v>122.28</v>
      </c>
      <c r="K65">
        <f t="shared" si="11"/>
        <v>22.010400000000001</v>
      </c>
      <c r="L65">
        <f t="shared" si="12"/>
        <v>169.54</v>
      </c>
      <c r="M65">
        <f t="shared" si="13"/>
        <v>177.08</v>
      </c>
    </row>
    <row r="66" spans="1:13" ht="18" customHeight="1" x14ac:dyDescent="0.3">
      <c r="A66" s="25" t="s">
        <v>269</v>
      </c>
      <c r="B66" s="25"/>
      <c r="C66" s="25"/>
      <c r="G66" t="str">
        <f t="shared" si="7"/>
        <v/>
      </c>
      <c r="H66" t="str">
        <f t="shared" si="8"/>
        <v/>
      </c>
      <c r="I66" t="str">
        <f t="shared" si="9"/>
        <v/>
      </c>
      <c r="J66" t="str">
        <f t="shared" si="10"/>
        <v/>
      </c>
      <c r="K66" t="str">
        <f t="shared" si="11"/>
        <v/>
      </c>
      <c r="L66" t="str">
        <f t="shared" si="12"/>
        <v/>
      </c>
      <c r="M66" t="str">
        <f t="shared" si="13"/>
        <v/>
      </c>
    </row>
    <row r="67" spans="1:13" ht="15" customHeight="1" x14ac:dyDescent="0.3">
      <c r="A67" s="21" t="s">
        <v>270</v>
      </c>
      <c r="B67" s="22" t="s">
        <v>271</v>
      </c>
      <c r="C67" s="23"/>
      <c r="D67" s="24" t="s">
        <v>124</v>
      </c>
      <c r="E67" s="1" t="s">
        <v>41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  <row r="68" spans="1:13" ht="15" customHeight="1" x14ac:dyDescent="0.3">
      <c r="A68" s="16" t="s">
        <v>270</v>
      </c>
      <c r="B68" s="17" t="s">
        <v>516</v>
      </c>
      <c r="C68" s="18"/>
      <c r="D68" s="19" t="s">
        <v>124</v>
      </c>
      <c r="E68" s="1" t="s">
        <v>41</v>
      </c>
      <c r="F68" s="20" t="s">
        <v>494</v>
      </c>
      <c r="G68">
        <f t="shared" si="7"/>
        <v>187.5</v>
      </c>
      <c r="H68">
        <f t="shared" si="8"/>
        <v>125</v>
      </c>
      <c r="I68">
        <f t="shared" si="9"/>
        <v>125</v>
      </c>
      <c r="J68">
        <f t="shared" si="10"/>
        <v>271.74</v>
      </c>
      <c r="K68">
        <f t="shared" si="11"/>
        <v>48.913200000000003</v>
      </c>
      <c r="L68">
        <f t="shared" si="12"/>
        <v>301.27999999999997</v>
      </c>
      <c r="M68">
        <f t="shared" si="13"/>
        <v>208.33</v>
      </c>
    </row>
    <row r="69" spans="1:13" ht="15" customHeight="1" x14ac:dyDescent="0.3">
      <c r="A69" s="21" t="s">
        <v>270</v>
      </c>
      <c r="B69" s="22" t="s">
        <v>517</v>
      </c>
      <c r="C69" s="23"/>
      <c r="D69" s="24" t="s">
        <v>124</v>
      </c>
      <c r="E69" s="1" t="s">
        <v>41</v>
      </c>
      <c r="F69" s="20" t="s">
        <v>518</v>
      </c>
      <c r="G69">
        <f t="shared" si="7"/>
        <v>100</v>
      </c>
      <c r="H69">
        <f t="shared" si="8"/>
        <v>50</v>
      </c>
      <c r="I69">
        <f t="shared" si="9"/>
        <v>50</v>
      </c>
      <c r="J69">
        <f t="shared" si="10"/>
        <v>108.7</v>
      </c>
      <c r="K69">
        <f t="shared" si="11"/>
        <v>19.565999999999999</v>
      </c>
      <c r="L69">
        <f t="shared" si="12"/>
        <v>174.86</v>
      </c>
      <c r="M69">
        <f t="shared" si="13"/>
        <v>83.33</v>
      </c>
    </row>
    <row r="70" spans="1:13" ht="15" customHeight="1" x14ac:dyDescent="0.3">
      <c r="A70" s="16" t="s">
        <v>270</v>
      </c>
      <c r="B70" s="17" t="s">
        <v>519</v>
      </c>
      <c r="C70" s="18"/>
      <c r="D70" s="19" t="s">
        <v>124</v>
      </c>
      <c r="E70" s="1" t="s">
        <v>41</v>
      </c>
      <c r="F70" s="20" t="s">
        <v>504</v>
      </c>
      <c r="G70">
        <f t="shared" si="7"/>
        <v>112.5</v>
      </c>
      <c r="H70">
        <f t="shared" si="8"/>
        <v>75</v>
      </c>
      <c r="I70">
        <f t="shared" si="9"/>
        <v>75</v>
      </c>
      <c r="J70">
        <f t="shared" si="10"/>
        <v>163.04</v>
      </c>
      <c r="K70">
        <f t="shared" si="11"/>
        <v>29.347199999999997</v>
      </c>
      <c r="L70">
        <f t="shared" si="12"/>
        <v>180.77</v>
      </c>
      <c r="M70">
        <f t="shared" si="13"/>
        <v>125</v>
      </c>
    </row>
  </sheetData>
  <mergeCells count="13">
    <mergeCell ref="A1:C1"/>
    <mergeCell ref="A2:C2"/>
    <mergeCell ref="A3:C3"/>
    <mergeCell ref="A4:C4"/>
    <mergeCell ref="A7:C7"/>
    <mergeCell ref="A54:C54"/>
    <mergeCell ref="A62:C62"/>
    <mergeCell ref="A66:C66"/>
    <mergeCell ref="A12:C12"/>
    <mergeCell ref="A19:C19"/>
    <mergeCell ref="A23:C23"/>
    <mergeCell ref="A25:C25"/>
    <mergeCell ref="A40:C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CEDC8"/>
  </sheetPr>
  <dimension ref="A1:M74"/>
  <sheetViews>
    <sheetView topLeftCell="B1" zoomScaleNormal="100" workbookViewId="0">
      <pane ySplit="6" topLeftCell="A25" activePane="bottomLeft" state="frozen"/>
      <selection pane="bottomLeft" sqref="A1:C1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520</v>
      </c>
      <c r="B1" s="26"/>
      <c r="C1" s="26"/>
    </row>
    <row r="2" spans="1:13" ht="19.5" customHeight="1" x14ac:dyDescent="0.3">
      <c r="A2" s="27" t="s">
        <v>521</v>
      </c>
      <c r="B2" s="27"/>
      <c r="C2" s="27"/>
    </row>
    <row r="3" spans="1:13" ht="19.5" customHeight="1" x14ac:dyDescent="0.3">
      <c r="A3" s="27" t="s">
        <v>522</v>
      </c>
      <c r="B3" s="27"/>
      <c r="C3" s="27"/>
    </row>
    <row r="4" spans="1:13" ht="19.5" customHeight="1" x14ac:dyDescent="0.3">
      <c r="A4" s="27" t="s">
        <v>523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91</v>
      </c>
      <c r="E8" s="1" t="s">
        <v>53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91</v>
      </c>
      <c r="E9" s="1" t="s">
        <v>53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372</v>
      </c>
      <c r="C10" s="18"/>
      <c r="D10" s="19" t="s">
        <v>91</v>
      </c>
      <c r="E10" s="1" t="s">
        <v>53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150</v>
      </c>
      <c r="C11" s="23"/>
      <c r="D11" s="24" t="s">
        <v>91</v>
      </c>
      <c r="E11" s="1" t="s">
        <v>53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376</v>
      </c>
      <c r="C12" s="18"/>
      <c r="D12" s="19" t="s">
        <v>91</v>
      </c>
      <c r="E12" s="1" t="s">
        <v>53</v>
      </c>
      <c r="F12" s="20" t="s">
        <v>147</v>
      </c>
      <c r="G12">
        <f t="shared" si="0"/>
        <v>100</v>
      </c>
      <c r="H12">
        <f t="shared" si="1"/>
        <v>50</v>
      </c>
      <c r="I12">
        <f t="shared" si="2"/>
        <v>50</v>
      </c>
      <c r="J12">
        <f t="shared" si="3"/>
        <v>108.7</v>
      </c>
      <c r="K12">
        <f t="shared" si="4"/>
        <v>19.565999999999999</v>
      </c>
      <c r="L12">
        <f t="shared" si="5"/>
        <v>174.86</v>
      </c>
      <c r="M12">
        <f t="shared" si="6"/>
        <v>83.33</v>
      </c>
    </row>
    <row r="13" spans="1:13" ht="15" customHeight="1" x14ac:dyDescent="0.3">
      <c r="A13" s="21" t="s">
        <v>141</v>
      </c>
      <c r="B13" s="22" t="s">
        <v>375</v>
      </c>
      <c r="C13" s="23"/>
      <c r="D13" s="24" t="s">
        <v>91</v>
      </c>
      <c r="E13" s="1" t="s">
        <v>53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355</v>
      </c>
      <c r="C14" s="18"/>
      <c r="D14" s="19" t="s">
        <v>91</v>
      </c>
      <c r="E14" s="1" t="s">
        <v>53</v>
      </c>
      <c r="F14" s="20" t="s">
        <v>153</v>
      </c>
      <c r="G14">
        <f t="shared" si="0"/>
        <v>25</v>
      </c>
      <c r="H14">
        <f t="shared" si="1"/>
        <v>25</v>
      </c>
      <c r="I14">
        <f t="shared" si="2"/>
        <v>12.5</v>
      </c>
      <c r="J14">
        <f t="shared" si="3"/>
        <v>54.35</v>
      </c>
      <c r="K14">
        <f t="shared" si="4"/>
        <v>9.7829999999999995</v>
      </c>
      <c r="L14">
        <f t="shared" si="5"/>
        <v>33.08</v>
      </c>
      <c r="M14">
        <f t="shared" si="6"/>
        <v>20.83</v>
      </c>
    </row>
    <row r="15" spans="1:13" ht="18" customHeight="1" x14ac:dyDescent="0.3">
      <c r="A15" s="25" t="s">
        <v>155</v>
      </c>
      <c r="B15" s="25"/>
      <c r="C15" s="25"/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  <c r="L15" t="str">
        <f t="shared" si="5"/>
        <v/>
      </c>
      <c r="M15" t="str">
        <f t="shared" si="6"/>
        <v/>
      </c>
    </row>
    <row r="16" spans="1:13" ht="15" customHeight="1" x14ac:dyDescent="0.3">
      <c r="A16" s="21" t="s">
        <v>156</v>
      </c>
      <c r="B16" s="22" t="s">
        <v>356</v>
      </c>
      <c r="C16" s="23"/>
      <c r="D16" s="24" t="s">
        <v>91</v>
      </c>
      <c r="E16" s="1" t="s">
        <v>53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379</v>
      </c>
      <c r="C17" s="18"/>
      <c r="D17" s="19" t="s">
        <v>91</v>
      </c>
      <c r="E17" s="1" t="s">
        <v>53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380</v>
      </c>
      <c r="C18" s="23"/>
      <c r="D18" s="24" t="s">
        <v>91</v>
      </c>
      <c r="E18" s="1" t="s">
        <v>53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163</v>
      </c>
      <c r="C19" s="18"/>
      <c r="D19" s="19" t="s">
        <v>91</v>
      </c>
      <c r="E19" s="1" t="s">
        <v>53</v>
      </c>
      <c r="F19" s="20" t="s">
        <v>164</v>
      </c>
      <c r="G19">
        <f t="shared" si="0"/>
        <v>12.5</v>
      </c>
      <c r="H19">
        <f t="shared" si="1"/>
        <v>25</v>
      </c>
      <c r="I19">
        <f t="shared" si="2"/>
        <v>12.5</v>
      </c>
      <c r="J19">
        <f t="shared" si="3"/>
        <v>54.35</v>
      </c>
      <c r="K19">
        <f t="shared" si="4"/>
        <v>9.7829999999999995</v>
      </c>
      <c r="L19">
        <f t="shared" si="5"/>
        <v>5.91</v>
      </c>
      <c r="M19">
        <f t="shared" si="6"/>
        <v>20.83</v>
      </c>
    </row>
    <row r="20" spans="1:13" ht="15" customHeight="1" x14ac:dyDescent="0.3">
      <c r="A20" s="21" t="s">
        <v>156</v>
      </c>
      <c r="B20" s="22" t="s">
        <v>165</v>
      </c>
      <c r="C20" s="23"/>
      <c r="D20" s="24" t="s">
        <v>91</v>
      </c>
      <c r="E20" s="1" t="s">
        <v>53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465</v>
      </c>
      <c r="C21" s="18"/>
      <c r="D21" s="19" t="s">
        <v>91</v>
      </c>
      <c r="E21" s="1" t="s">
        <v>53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402</v>
      </c>
      <c r="C22" s="23"/>
      <c r="D22" s="24" t="s">
        <v>91</v>
      </c>
      <c r="E22" s="1" t="s">
        <v>53</v>
      </c>
      <c r="F22" s="20" t="s">
        <v>164</v>
      </c>
      <c r="G22">
        <f t="shared" si="0"/>
        <v>12.5</v>
      </c>
      <c r="H22">
        <f t="shared" si="1"/>
        <v>25</v>
      </c>
      <c r="I22">
        <f t="shared" si="2"/>
        <v>12.5</v>
      </c>
      <c r="J22">
        <f t="shared" si="3"/>
        <v>54.35</v>
      </c>
      <c r="K22">
        <f t="shared" si="4"/>
        <v>9.7829999999999995</v>
      </c>
      <c r="L22">
        <f t="shared" si="5"/>
        <v>5.91</v>
      </c>
      <c r="M22">
        <f t="shared" si="6"/>
        <v>20.83</v>
      </c>
    </row>
    <row r="23" spans="1:13" ht="18" customHeight="1" x14ac:dyDescent="0.3">
      <c r="A23" s="25" t="s">
        <v>167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16" t="s">
        <v>168</v>
      </c>
      <c r="B24" s="17" t="s">
        <v>175</v>
      </c>
      <c r="C24" s="18"/>
      <c r="D24" s="19" t="s">
        <v>91</v>
      </c>
      <c r="E24" s="1" t="s">
        <v>53</v>
      </c>
      <c r="F24" s="20" t="s">
        <v>147</v>
      </c>
      <c r="G24">
        <f t="shared" si="0"/>
        <v>100</v>
      </c>
      <c r="H24">
        <f t="shared" si="1"/>
        <v>50</v>
      </c>
      <c r="I24">
        <f t="shared" si="2"/>
        <v>50</v>
      </c>
      <c r="J24">
        <f t="shared" si="3"/>
        <v>108.7</v>
      </c>
      <c r="K24">
        <f t="shared" si="4"/>
        <v>19.565999999999999</v>
      </c>
      <c r="L24">
        <f t="shared" si="5"/>
        <v>174.86</v>
      </c>
      <c r="M24">
        <f t="shared" si="6"/>
        <v>83.33</v>
      </c>
    </row>
    <row r="25" spans="1:13" ht="15" customHeight="1" x14ac:dyDescent="0.3">
      <c r="A25" s="21" t="s">
        <v>168</v>
      </c>
      <c r="B25" s="22" t="s">
        <v>169</v>
      </c>
      <c r="C25" s="23"/>
      <c r="D25" s="24" t="s">
        <v>91</v>
      </c>
      <c r="E25" s="1" t="s">
        <v>53</v>
      </c>
      <c r="F25" s="20" t="s">
        <v>170</v>
      </c>
      <c r="G25">
        <f t="shared" si="0"/>
        <v>25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294</v>
      </c>
      <c r="C26" s="18"/>
      <c r="D26" s="19" t="s">
        <v>91</v>
      </c>
      <c r="E26" s="1" t="s">
        <v>53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295</v>
      </c>
      <c r="C27" s="23"/>
      <c r="D27" s="24" t="s">
        <v>91</v>
      </c>
      <c r="E27" s="1" t="s">
        <v>53</v>
      </c>
      <c r="F27" s="20" t="s">
        <v>149</v>
      </c>
      <c r="G27">
        <f t="shared" si="0"/>
        <v>50</v>
      </c>
      <c r="H27">
        <f t="shared" si="1"/>
        <v>25</v>
      </c>
      <c r="I27">
        <f t="shared" si="2"/>
        <v>25</v>
      </c>
      <c r="J27">
        <f t="shared" si="3"/>
        <v>54.35</v>
      </c>
      <c r="K27">
        <f t="shared" si="4"/>
        <v>9.7829999999999995</v>
      </c>
      <c r="L27">
        <f t="shared" si="5"/>
        <v>87.43</v>
      </c>
      <c r="M27">
        <f t="shared" si="6"/>
        <v>41.67</v>
      </c>
    </row>
    <row r="28" spans="1:13" ht="15" customHeight="1" x14ac:dyDescent="0.3">
      <c r="A28" s="16" t="s">
        <v>168</v>
      </c>
      <c r="B28" s="17" t="s">
        <v>171</v>
      </c>
      <c r="C28" s="18"/>
      <c r="D28" s="19" t="s">
        <v>91</v>
      </c>
      <c r="E28" s="1" t="s">
        <v>53</v>
      </c>
      <c r="F28" s="20" t="s">
        <v>147</v>
      </c>
      <c r="G28">
        <f t="shared" si="0"/>
        <v>100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174.86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172</v>
      </c>
      <c r="C29" s="23"/>
      <c r="D29" s="24" t="s">
        <v>91</v>
      </c>
      <c r="E29" s="1" t="s">
        <v>53</v>
      </c>
      <c r="F29" s="20" t="s">
        <v>173</v>
      </c>
      <c r="G29">
        <f t="shared" si="0"/>
        <v>75</v>
      </c>
      <c r="H29">
        <f t="shared" si="1"/>
        <v>112.5</v>
      </c>
      <c r="I29">
        <f t="shared" si="2"/>
        <v>75</v>
      </c>
      <c r="J29">
        <f t="shared" si="3"/>
        <v>244.57</v>
      </c>
      <c r="K29">
        <f t="shared" si="4"/>
        <v>44.022599999999997</v>
      </c>
      <c r="L29">
        <f t="shared" si="5"/>
        <v>67.34</v>
      </c>
      <c r="M29">
        <f t="shared" si="6"/>
        <v>125</v>
      </c>
    </row>
    <row r="30" spans="1:13" ht="18" customHeight="1" x14ac:dyDescent="0.3">
      <c r="A30" s="25" t="s">
        <v>180</v>
      </c>
      <c r="B30" s="25"/>
      <c r="C30" s="25"/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  <c r="L30" t="str">
        <f t="shared" si="5"/>
        <v/>
      </c>
      <c r="M30" t="str">
        <f t="shared" si="6"/>
        <v/>
      </c>
    </row>
    <row r="31" spans="1:13" ht="15" customHeight="1" x14ac:dyDescent="0.3">
      <c r="A31" s="16" t="s">
        <v>181</v>
      </c>
      <c r="B31" s="17" t="s">
        <v>524</v>
      </c>
      <c r="C31" s="18"/>
      <c r="D31" s="19" t="s">
        <v>91</v>
      </c>
      <c r="E31" s="1" t="s">
        <v>53</v>
      </c>
      <c r="F31" s="20" t="s">
        <v>525</v>
      </c>
      <c r="G31" t="str">
        <f t="shared" si="0"/>
        <v>N/A</v>
      </c>
      <c r="H31" t="str">
        <f t="shared" si="1"/>
        <v>N/A</v>
      </c>
      <c r="I31" t="str">
        <f t="shared" si="2"/>
        <v>N/A</v>
      </c>
      <c r="J31" t="str">
        <f t="shared" si="3"/>
        <v>N/A</v>
      </c>
      <c r="K31" t="str">
        <f t="shared" si="4"/>
        <v>N/A</v>
      </c>
      <c r="L31" t="str">
        <f t="shared" si="5"/>
        <v>N/A</v>
      </c>
      <c r="M31" t="str">
        <f t="shared" si="6"/>
        <v>N/A</v>
      </c>
    </row>
    <row r="32" spans="1:13" ht="15" customHeight="1" x14ac:dyDescent="0.3">
      <c r="A32" s="21" t="s">
        <v>181</v>
      </c>
      <c r="B32" s="22" t="s">
        <v>526</v>
      </c>
      <c r="C32" s="23"/>
      <c r="D32" s="24" t="s">
        <v>91</v>
      </c>
      <c r="E32" s="1" t="s">
        <v>53</v>
      </c>
      <c r="F32" s="20" t="s">
        <v>361</v>
      </c>
      <c r="G32" t="str">
        <f t="shared" si="0"/>
        <v>N/A</v>
      </c>
      <c r="H32" t="str">
        <f t="shared" si="1"/>
        <v>N/A</v>
      </c>
      <c r="I32" t="str">
        <f t="shared" si="2"/>
        <v>N/A</v>
      </c>
      <c r="J32" t="str">
        <f t="shared" si="3"/>
        <v>N/A</v>
      </c>
      <c r="K32" t="str">
        <f t="shared" si="4"/>
        <v>N/A</v>
      </c>
      <c r="L32" t="str">
        <f t="shared" si="5"/>
        <v>N/A</v>
      </c>
      <c r="M32" t="str">
        <f t="shared" si="6"/>
        <v>N/A</v>
      </c>
    </row>
    <row r="33" spans="1:13" ht="15" customHeight="1" x14ac:dyDescent="0.3">
      <c r="A33" s="16" t="s">
        <v>181</v>
      </c>
      <c r="B33" s="17" t="s">
        <v>321</v>
      </c>
      <c r="C33" s="18"/>
      <c r="D33" s="19" t="s">
        <v>91</v>
      </c>
      <c r="E33" s="1" t="s">
        <v>53</v>
      </c>
      <c r="F33" s="20" t="s">
        <v>322</v>
      </c>
      <c r="G33">
        <f t="shared" si="0"/>
        <v>150</v>
      </c>
      <c r="H33">
        <f t="shared" si="1"/>
        <v>300</v>
      </c>
      <c r="I33">
        <f t="shared" si="2"/>
        <v>150</v>
      </c>
      <c r="J33">
        <f t="shared" si="3"/>
        <v>652.16999999999996</v>
      </c>
      <c r="K33">
        <f t="shared" si="4"/>
        <v>117.39059999999999</v>
      </c>
      <c r="L33">
        <f t="shared" si="5"/>
        <v>70.89</v>
      </c>
      <c r="M33">
        <f t="shared" si="6"/>
        <v>250</v>
      </c>
    </row>
    <row r="34" spans="1:13" ht="15" customHeight="1" x14ac:dyDescent="0.3">
      <c r="A34" s="21" t="s">
        <v>181</v>
      </c>
      <c r="B34" s="22" t="s">
        <v>230</v>
      </c>
      <c r="C34" s="23"/>
      <c r="D34" s="24" t="s">
        <v>91</v>
      </c>
      <c r="E34" s="1" t="s">
        <v>53</v>
      </c>
      <c r="F34" s="20" t="s">
        <v>231</v>
      </c>
      <c r="G34">
        <f t="shared" si="0"/>
        <v>125</v>
      </c>
      <c r="H34">
        <f t="shared" si="1"/>
        <v>187.5</v>
      </c>
      <c r="I34">
        <f t="shared" si="2"/>
        <v>93.75</v>
      </c>
      <c r="J34">
        <f t="shared" si="3"/>
        <v>407.61</v>
      </c>
      <c r="K34">
        <f t="shared" si="4"/>
        <v>73.369799999999998</v>
      </c>
      <c r="L34">
        <f t="shared" si="5"/>
        <v>112.24</v>
      </c>
      <c r="M34">
        <f t="shared" si="6"/>
        <v>156.25</v>
      </c>
    </row>
    <row r="35" spans="1:13" ht="18" customHeight="1" x14ac:dyDescent="0.3">
      <c r="A35" s="25" t="s">
        <v>187</v>
      </c>
      <c r="B35" s="25"/>
      <c r="C35" s="25"/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  <c r="L35" t="str">
        <f t="shared" si="5"/>
        <v/>
      </c>
      <c r="M35" t="str">
        <f t="shared" si="6"/>
        <v/>
      </c>
    </row>
    <row r="36" spans="1:13" ht="15" customHeight="1" x14ac:dyDescent="0.3">
      <c r="A36" s="16" t="s">
        <v>188</v>
      </c>
      <c r="B36" s="17" t="s">
        <v>312</v>
      </c>
      <c r="C36" s="18"/>
      <c r="D36" s="19" t="s">
        <v>91</v>
      </c>
      <c r="E36" s="1" t="s">
        <v>53</v>
      </c>
      <c r="F36" s="20" t="s">
        <v>190</v>
      </c>
      <c r="G36">
        <f t="shared" si="0"/>
        <v>125</v>
      </c>
      <c r="H36">
        <f t="shared" si="1"/>
        <v>125</v>
      </c>
      <c r="I36">
        <f t="shared" si="2"/>
        <v>187.5</v>
      </c>
      <c r="J36">
        <f t="shared" si="3"/>
        <v>271.74</v>
      </c>
      <c r="K36">
        <f t="shared" si="4"/>
        <v>48.913200000000003</v>
      </c>
      <c r="L36">
        <f t="shared" si="5"/>
        <v>165.41</v>
      </c>
      <c r="M36">
        <f t="shared" si="6"/>
        <v>312.5</v>
      </c>
    </row>
    <row r="37" spans="1:13" ht="15" customHeight="1" x14ac:dyDescent="0.3">
      <c r="A37" s="21" t="s">
        <v>188</v>
      </c>
      <c r="B37" s="22" t="s">
        <v>195</v>
      </c>
      <c r="C37" s="23"/>
      <c r="D37" s="24" t="s">
        <v>91</v>
      </c>
      <c r="E37" s="1" t="s">
        <v>53</v>
      </c>
      <c r="F37" s="20" t="s">
        <v>194</v>
      </c>
      <c r="G37">
        <f t="shared" si="0"/>
        <v>125</v>
      </c>
      <c r="H37">
        <f t="shared" si="1"/>
        <v>125</v>
      </c>
      <c r="I37">
        <f t="shared" si="2"/>
        <v>125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208.33</v>
      </c>
    </row>
    <row r="38" spans="1:13" ht="15" customHeight="1" x14ac:dyDescent="0.3">
      <c r="A38" s="16" t="s">
        <v>188</v>
      </c>
      <c r="B38" s="17" t="s">
        <v>214</v>
      </c>
      <c r="C38" s="18"/>
      <c r="D38" s="19" t="s">
        <v>91</v>
      </c>
      <c r="E38" s="1" t="s">
        <v>53</v>
      </c>
      <c r="F38" s="20" t="s">
        <v>215</v>
      </c>
      <c r="G38">
        <f t="shared" si="0"/>
        <v>93.75</v>
      </c>
      <c r="H38">
        <f t="shared" si="1"/>
        <v>50</v>
      </c>
      <c r="I38">
        <f t="shared" si="2"/>
        <v>62.5</v>
      </c>
      <c r="J38">
        <f t="shared" si="3"/>
        <v>108.7</v>
      </c>
      <c r="K38">
        <f t="shared" si="4"/>
        <v>19.565999999999999</v>
      </c>
      <c r="L38">
        <f t="shared" si="5"/>
        <v>161.27000000000001</v>
      </c>
      <c r="M38">
        <f t="shared" si="6"/>
        <v>104.17</v>
      </c>
    </row>
    <row r="39" spans="1:13" ht="15" customHeight="1" x14ac:dyDescent="0.3">
      <c r="A39" s="21" t="s">
        <v>188</v>
      </c>
      <c r="B39" s="22" t="s">
        <v>191</v>
      </c>
      <c r="C39" s="23"/>
      <c r="D39" s="24" t="s">
        <v>91</v>
      </c>
      <c r="E39" s="1" t="s">
        <v>53</v>
      </c>
      <c r="F39" s="20" t="s">
        <v>192</v>
      </c>
      <c r="G39">
        <f t="shared" ref="G39:G74" si="7">IF($F39="","",IFERROR(VALUE(TRIM(LEFT($F39,FIND(":",$F39)-1)))*1.25,"N/A"))</f>
        <v>137.5</v>
      </c>
      <c r="H39">
        <f t="shared" ref="H39:H74" si="8">IF($F39="","",IFERROR(VALUE(TRIM(MID($F39,FIND(":",$F39)+1,FIND(":",$F39,FIND(":",$F39)+1)-FIND(":",$F39)-1)))*1.25,"N/A"))</f>
        <v>43.75</v>
      </c>
      <c r="I39">
        <f t="shared" ref="I39:I74" si="9">IF($F39="","",IFERROR(VALUE(TRIM(LEFT(MID($F39,FIND(":",$F39,FIND(":",$F39)+1)+1,LEN($F39)),FIND(" ",MID($F39,FIND(":",$F39,FIND(":",$F39)+1)+1,LEN($F39))&amp;" ")-1)))*1.25,"N/A"))</f>
        <v>412.5</v>
      </c>
      <c r="J39">
        <f t="shared" ref="J39:J74" si="10">IF(OR($F39="",$H39="N/A"),IF($F39="","","N/A"),ROUND($H39/0.46,2))</f>
        <v>95.11</v>
      </c>
      <c r="K39">
        <f t="shared" ref="K39:K74" si="11">IF(OR($F39="",$J39="N/A"),IF($F39="","","N/A"),$J39*0.18)</f>
        <v>17.119799999999998</v>
      </c>
      <c r="L39">
        <f t="shared" ref="L39:L74" si="12">IF(OR($F39="",$G39="N/A",$K39="N/A"),IF($F39="","","N/A"),ROUND(($G39-$K39)/0.46,2))</f>
        <v>261.7</v>
      </c>
      <c r="M39">
        <f t="shared" ref="M39:M74" si="13">IF(OR($F39="",$I39="N/A"),IF($F39="","","N/A"),ROUND($I39/0.6,2))</f>
        <v>687.5</v>
      </c>
    </row>
    <row r="40" spans="1:13" ht="15" customHeight="1" x14ac:dyDescent="0.3">
      <c r="A40" s="16" t="s">
        <v>188</v>
      </c>
      <c r="B40" s="17" t="s">
        <v>193</v>
      </c>
      <c r="C40" s="18"/>
      <c r="D40" s="19" t="s">
        <v>91</v>
      </c>
      <c r="E40" s="1" t="s">
        <v>53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310</v>
      </c>
      <c r="C41" s="23"/>
      <c r="D41" s="24" t="s">
        <v>91</v>
      </c>
      <c r="E41" s="1" t="s">
        <v>53</v>
      </c>
      <c r="F41" s="20" t="s">
        <v>311</v>
      </c>
      <c r="G41">
        <f t="shared" si="7"/>
        <v>125</v>
      </c>
      <c r="H41">
        <f t="shared" si="8"/>
        <v>50</v>
      </c>
      <c r="I41">
        <f t="shared" si="9"/>
        <v>500</v>
      </c>
      <c r="J41">
        <f t="shared" si="10"/>
        <v>108.7</v>
      </c>
      <c r="K41">
        <f t="shared" si="11"/>
        <v>19.565999999999999</v>
      </c>
      <c r="L41">
        <f t="shared" si="12"/>
        <v>229.2</v>
      </c>
      <c r="M41">
        <f t="shared" si="13"/>
        <v>833.33</v>
      </c>
    </row>
    <row r="42" spans="1:13" ht="15" customHeight="1" x14ac:dyDescent="0.3">
      <c r="A42" s="16" t="s">
        <v>188</v>
      </c>
      <c r="B42" s="17" t="s">
        <v>386</v>
      </c>
      <c r="C42" s="18"/>
      <c r="D42" s="19" t="s">
        <v>91</v>
      </c>
      <c r="E42" s="1" t="s">
        <v>53</v>
      </c>
      <c r="F42" s="20" t="s">
        <v>211</v>
      </c>
      <c r="G42">
        <f t="shared" si="7"/>
        <v>93.75</v>
      </c>
      <c r="H42">
        <f t="shared" si="8"/>
        <v>75</v>
      </c>
      <c r="I42">
        <f t="shared" si="9"/>
        <v>62.5</v>
      </c>
      <c r="J42">
        <f t="shared" si="10"/>
        <v>163.04</v>
      </c>
      <c r="K42">
        <f t="shared" si="11"/>
        <v>29.347199999999997</v>
      </c>
      <c r="L42">
        <f t="shared" si="12"/>
        <v>140.01</v>
      </c>
      <c r="M42">
        <f t="shared" si="13"/>
        <v>104.17</v>
      </c>
    </row>
    <row r="43" spans="1:13" ht="15" customHeight="1" x14ac:dyDescent="0.3">
      <c r="A43" s="21" t="s">
        <v>188</v>
      </c>
      <c r="B43" s="22" t="s">
        <v>404</v>
      </c>
      <c r="C43" s="23"/>
      <c r="D43" s="24" t="s">
        <v>91</v>
      </c>
      <c r="E43" s="1" t="s">
        <v>53</v>
      </c>
      <c r="F43" s="20" t="s">
        <v>388</v>
      </c>
      <c r="G43">
        <f t="shared" si="7"/>
        <v>625</v>
      </c>
      <c r="H43">
        <f t="shared" si="8"/>
        <v>250</v>
      </c>
      <c r="I43">
        <f t="shared" si="9"/>
        <v>625</v>
      </c>
      <c r="J43">
        <f t="shared" si="10"/>
        <v>543.48</v>
      </c>
      <c r="K43">
        <f t="shared" si="11"/>
        <v>97.826400000000007</v>
      </c>
      <c r="L43">
        <f t="shared" si="12"/>
        <v>1146.03</v>
      </c>
      <c r="M43">
        <f t="shared" si="13"/>
        <v>1041.67</v>
      </c>
    </row>
    <row r="44" spans="1:13" ht="15" customHeight="1" x14ac:dyDescent="0.3">
      <c r="A44" s="16" t="s">
        <v>188</v>
      </c>
      <c r="B44" s="17" t="s">
        <v>527</v>
      </c>
      <c r="C44" s="18"/>
      <c r="D44" s="19" t="s">
        <v>91</v>
      </c>
      <c r="E44" s="1" t="s">
        <v>53</v>
      </c>
      <c r="F44" s="20" t="s">
        <v>452</v>
      </c>
      <c r="G44">
        <f t="shared" si="7"/>
        <v>250</v>
      </c>
      <c r="H44">
        <f t="shared" si="8"/>
        <v>625</v>
      </c>
      <c r="I44">
        <f t="shared" si="9"/>
        <v>250</v>
      </c>
      <c r="J44">
        <f t="shared" si="10"/>
        <v>1358.7</v>
      </c>
      <c r="K44">
        <f t="shared" si="11"/>
        <v>244.566</v>
      </c>
      <c r="L44">
        <f t="shared" si="12"/>
        <v>11.81</v>
      </c>
      <c r="M44">
        <f t="shared" si="13"/>
        <v>416.67</v>
      </c>
    </row>
    <row r="45" spans="1:13" ht="15" customHeight="1" x14ac:dyDescent="0.3">
      <c r="A45" s="21" t="s">
        <v>188</v>
      </c>
      <c r="B45" s="22" t="s">
        <v>210</v>
      </c>
      <c r="C45" s="23"/>
      <c r="D45" s="24" t="s">
        <v>91</v>
      </c>
      <c r="E45" s="1" t="s">
        <v>53</v>
      </c>
      <c r="F45" s="20" t="s">
        <v>211</v>
      </c>
      <c r="G45">
        <f t="shared" si="7"/>
        <v>93.75</v>
      </c>
      <c r="H45">
        <f t="shared" si="8"/>
        <v>75</v>
      </c>
      <c r="I45">
        <f t="shared" si="9"/>
        <v>62.5</v>
      </c>
      <c r="J45">
        <f t="shared" si="10"/>
        <v>163.04</v>
      </c>
      <c r="K45">
        <f t="shared" si="11"/>
        <v>29.347199999999997</v>
      </c>
      <c r="L45">
        <f t="shared" si="12"/>
        <v>140.01</v>
      </c>
      <c r="M45">
        <f t="shared" si="13"/>
        <v>104.17</v>
      </c>
    </row>
    <row r="46" spans="1:13" ht="18" customHeight="1" x14ac:dyDescent="0.3">
      <c r="A46" s="25" t="s">
        <v>220</v>
      </c>
      <c r="B46" s="25"/>
      <c r="C46" s="25"/>
      <c r="G46" t="str">
        <f t="shared" si="7"/>
        <v/>
      </c>
      <c r="H46" t="str">
        <f t="shared" si="8"/>
        <v/>
      </c>
      <c r="I46" t="str">
        <f t="shared" si="9"/>
        <v/>
      </c>
      <c r="J46" t="str">
        <f t="shared" si="10"/>
        <v/>
      </c>
      <c r="K46" t="str">
        <f t="shared" si="11"/>
        <v/>
      </c>
      <c r="L46" t="str">
        <f t="shared" si="12"/>
        <v/>
      </c>
      <c r="M46" t="str">
        <f t="shared" si="13"/>
        <v/>
      </c>
    </row>
    <row r="47" spans="1:13" ht="15" customHeight="1" x14ac:dyDescent="0.3">
      <c r="A47" s="16" t="s">
        <v>221</v>
      </c>
      <c r="B47" s="17" t="s">
        <v>222</v>
      </c>
      <c r="C47" s="18"/>
      <c r="D47" s="19" t="s">
        <v>91</v>
      </c>
      <c r="E47" s="1" t="s">
        <v>53</v>
      </c>
      <c r="F47" s="20" t="s">
        <v>223</v>
      </c>
      <c r="G47">
        <f t="shared" si="7"/>
        <v>187.5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301.27999999999997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321</v>
      </c>
      <c r="C48" s="23"/>
      <c r="D48" s="24" t="s">
        <v>91</v>
      </c>
      <c r="E48" s="1" t="s">
        <v>53</v>
      </c>
      <c r="F48" s="20" t="s">
        <v>322</v>
      </c>
      <c r="G48">
        <f t="shared" si="7"/>
        <v>150</v>
      </c>
      <c r="H48">
        <f t="shared" si="8"/>
        <v>300</v>
      </c>
      <c r="I48">
        <f t="shared" si="9"/>
        <v>150</v>
      </c>
      <c r="J48">
        <f t="shared" si="10"/>
        <v>652.16999999999996</v>
      </c>
      <c r="K48">
        <f t="shared" si="11"/>
        <v>117.39059999999999</v>
      </c>
      <c r="L48">
        <f t="shared" si="12"/>
        <v>70.89</v>
      </c>
      <c r="M48">
        <f t="shared" si="13"/>
        <v>250</v>
      </c>
    </row>
    <row r="49" spans="1:13" ht="15" customHeight="1" x14ac:dyDescent="0.3">
      <c r="A49" s="16" t="s">
        <v>221</v>
      </c>
      <c r="B49" s="17" t="s">
        <v>230</v>
      </c>
      <c r="C49" s="18"/>
      <c r="D49" s="19" t="s">
        <v>91</v>
      </c>
      <c r="E49" s="1" t="s">
        <v>53</v>
      </c>
      <c r="F49" s="20" t="s">
        <v>231</v>
      </c>
      <c r="G49">
        <f t="shared" si="7"/>
        <v>125</v>
      </c>
      <c r="H49">
        <f t="shared" si="8"/>
        <v>187.5</v>
      </c>
      <c r="I49">
        <f t="shared" si="9"/>
        <v>93.75</v>
      </c>
      <c r="J49">
        <f t="shared" si="10"/>
        <v>407.61</v>
      </c>
      <c r="K49">
        <f t="shared" si="11"/>
        <v>73.369799999999998</v>
      </c>
      <c r="L49">
        <f t="shared" si="12"/>
        <v>112.24</v>
      </c>
      <c r="M49">
        <f t="shared" si="13"/>
        <v>156.25</v>
      </c>
    </row>
    <row r="50" spans="1:13" ht="15" customHeight="1" x14ac:dyDescent="0.3">
      <c r="A50" s="21" t="s">
        <v>221</v>
      </c>
      <c r="B50" s="22" t="s">
        <v>325</v>
      </c>
      <c r="C50" s="23"/>
      <c r="D50" s="24" t="s">
        <v>91</v>
      </c>
      <c r="E50" s="1" t="s">
        <v>53</v>
      </c>
      <c r="F50" s="20" t="s">
        <v>225</v>
      </c>
      <c r="G50">
        <f t="shared" si="7"/>
        <v>125</v>
      </c>
      <c r="H50">
        <f t="shared" si="8"/>
        <v>62.5</v>
      </c>
      <c r="I50">
        <f t="shared" si="9"/>
        <v>37.5</v>
      </c>
      <c r="J50">
        <f t="shared" si="10"/>
        <v>135.87</v>
      </c>
      <c r="K50">
        <f t="shared" si="11"/>
        <v>24.456600000000002</v>
      </c>
      <c r="L50">
        <f t="shared" si="12"/>
        <v>218.57</v>
      </c>
      <c r="M50">
        <f t="shared" si="13"/>
        <v>62.5</v>
      </c>
    </row>
    <row r="51" spans="1:13" ht="15" customHeight="1" x14ac:dyDescent="0.3">
      <c r="A51" s="16" t="s">
        <v>221</v>
      </c>
      <c r="B51" s="17" t="s">
        <v>326</v>
      </c>
      <c r="C51" s="18"/>
      <c r="D51" s="19" t="s">
        <v>91</v>
      </c>
      <c r="E51" s="1" t="s">
        <v>53</v>
      </c>
      <c r="F51" s="20" t="s">
        <v>227</v>
      </c>
      <c r="G51">
        <f t="shared" si="7"/>
        <v>50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55.53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232</v>
      </c>
      <c r="C52" s="23"/>
      <c r="D52" s="24" t="s">
        <v>91</v>
      </c>
      <c r="E52" s="1" t="s">
        <v>53</v>
      </c>
      <c r="F52" s="20" t="s">
        <v>233</v>
      </c>
      <c r="G52">
        <f t="shared" si="7"/>
        <v>125</v>
      </c>
      <c r="H52">
        <f t="shared" si="8"/>
        <v>156.25</v>
      </c>
      <c r="I52">
        <f t="shared" si="9"/>
        <v>31.25</v>
      </c>
      <c r="J52">
        <f t="shared" si="10"/>
        <v>339.67</v>
      </c>
      <c r="K52">
        <f t="shared" si="11"/>
        <v>61.140599999999999</v>
      </c>
      <c r="L52">
        <f t="shared" si="12"/>
        <v>138.82</v>
      </c>
      <c r="M52">
        <f t="shared" si="13"/>
        <v>52.08</v>
      </c>
    </row>
    <row r="53" spans="1:13" ht="15" customHeight="1" x14ac:dyDescent="0.3">
      <c r="A53" s="16" t="s">
        <v>221</v>
      </c>
      <c r="B53" s="17" t="s">
        <v>234</v>
      </c>
      <c r="C53" s="18"/>
      <c r="D53" s="19" t="s">
        <v>91</v>
      </c>
      <c r="E53" s="1" t="s">
        <v>53</v>
      </c>
      <c r="F53" s="20" t="s">
        <v>235</v>
      </c>
      <c r="G53">
        <f t="shared" si="7"/>
        <v>125</v>
      </c>
      <c r="H53">
        <f t="shared" si="8"/>
        <v>125</v>
      </c>
      <c r="I53">
        <f t="shared" si="9"/>
        <v>62.5</v>
      </c>
      <c r="J53">
        <f t="shared" si="10"/>
        <v>271.74</v>
      </c>
      <c r="K53">
        <f t="shared" si="11"/>
        <v>48.913200000000003</v>
      </c>
      <c r="L53">
        <f t="shared" si="12"/>
        <v>165.41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240</v>
      </c>
      <c r="C54" s="23"/>
      <c r="D54" s="24" t="s">
        <v>91</v>
      </c>
      <c r="E54" s="1" t="s">
        <v>53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5" customHeight="1" x14ac:dyDescent="0.3">
      <c r="A55" s="16" t="s">
        <v>221</v>
      </c>
      <c r="B55" s="17" t="s">
        <v>243</v>
      </c>
      <c r="C55" s="18"/>
      <c r="D55" s="19" t="s">
        <v>91</v>
      </c>
      <c r="E55" s="1" t="s">
        <v>53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244</v>
      </c>
      <c r="C56" s="23"/>
      <c r="D56" s="24" t="s">
        <v>91</v>
      </c>
      <c r="E56" s="1" t="s">
        <v>53</v>
      </c>
      <c r="F56" s="20" t="s">
        <v>241</v>
      </c>
      <c r="G56">
        <f t="shared" si="7"/>
        <v>7.5</v>
      </c>
      <c r="H56">
        <f t="shared" si="8"/>
        <v>15</v>
      </c>
      <c r="I56">
        <f t="shared" si="9"/>
        <v>15</v>
      </c>
      <c r="J56">
        <f t="shared" si="10"/>
        <v>32.61</v>
      </c>
      <c r="K56">
        <f t="shared" si="11"/>
        <v>5.8697999999999997</v>
      </c>
      <c r="L56">
        <f t="shared" si="12"/>
        <v>3.54</v>
      </c>
      <c r="M56">
        <f t="shared" si="13"/>
        <v>25</v>
      </c>
    </row>
    <row r="57" spans="1:13" ht="15" customHeight="1" x14ac:dyDescent="0.3">
      <c r="A57" s="16" t="s">
        <v>221</v>
      </c>
      <c r="B57" s="17" t="s">
        <v>236</v>
      </c>
      <c r="C57" s="18"/>
      <c r="D57" s="19" t="s">
        <v>91</v>
      </c>
      <c r="E57" s="1" t="s">
        <v>53</v>
      </c>
      <c r="F57" s="20" t="s">
        <v>237</v>
      </c>
      <c r="G57">
        <f t="shared" si="7"/>
        <v>62.5</v>
      </c>
      <c r="H57">
        <f t="shared" si="8"/>
        <v>62.5</v>
      </c>
      <c r="I57">
        <f t="shared" si="9"/>
        <v>62.5</v>
      </c>
      <c r="J57">
        <f t="shared" si="10"/>
        <v>135.87</v>
      </c>
      <c r="K57">
        <f t="shared" si="11"/>
        <v>24.456600000000002</v>
      </c>
      <c r="L57">
        <f t="shared" si="12"/>
        <v>82.7</v>
      </c>
      <c r="M57">
        <f t="shared" si="13"/>
        <v>104.17</v>
      </c>
    </row>
    <row r="58" spans="1:13" ht="15" customHeight="1" x14ac:dyDescent="0.3">
      <c r="A58" s="21" t="s">
        <v>221</v>
      </c>
      <c r="B58" s="22" t="s">
        <v>333</v>
      </c>
      <c r="C58" s="23"/>
      <c r="D58" s="24" t="s">
        <v>91</v>
      </c>
      <c r="E58" s="1" t="s">
        <v>53</v>
      </c>
      <c r="F58" s="20" t="s">
        <v>334</v>
      </c>
      <c r="G58">
        <f t="shared" si="7"/>
        <v>50</v>
      </c>
      <c r="H58">
        <f t="shared" si="8"/>
        <v>75</v>
      </c>
      <c r="I58">
        <f t="shared" si="9"/>
        <v>150</v>
      </c>
      <c r="J58">
        <f t="shared" si="10"/>
        <v>163.04</v>
      </c>
      <c r="K58">
        <f t="shared" si="11"/>
        <v>29.347199999999997</v>
      </c>
      <c r="L58">
        <f t="shared" si="12"/>
        <v>44.9</v>
      </c>
      <c r="M58">
        <f t="shared" si="13"/>
        <v>250</v>
      </c>
    </row>
    <row r="59" spans="1:13" ht="15" customHeight="1" x14ac:dyDescent="0.3">
      <c r="A59" s="16" t="s">
        <v>221</v>
      </c>
      <c r="B59" s="17" t="s">
        <v>406</v>
      </c>
      <c r="C59" s="18"/>
      <c r="D59" s="19" t="s">
        <v>91</v>
      </c>
      <c r="E59" s="1" t="s">
        <v>53</v>
      </c>
      <c r="F59" s="20" t="s">
        <v>407</v>
      </c>
      <c r="G59">
        <f t="shared" si="7"/>
        <v>50</v>
      </c>
      <c r="H59">
        <f t="shared" si="8"/>
        <v>100</v>
      </c>
      <c r="I59">
        <f t="shared" si="9"/>
        <v>150</v>
      </c>
      <c r="J59">
        <f t="shared" si="10"/>
        <v>217.39</v>
      </c>
      <c r="K59">
        <f t="shared" si="11"/>
        <v>39.130199999999995</v>
      </c>
      <c r="L59">
        <f t="shared" si="12"/>
        <v>23.63</v>
      </c>
      <c r="M59">
        <f t="shared" si="13"/>
        <v>250</v>
      </c>
    </row>
    <row r="60" spans="1:13" ht="15" customHeight="1" x14ac:dyDescent="0.3">
      <c r="A60" s="21" t="s">
        <v>221</v>
      </c>
      <c r="B60" s="22" t="s">
        <v>391</v>
      </c>
      <c r="C60" s="23"/>
      <c r="D60" s="24" t="s">
        <v>91</v>
      </c>
      <c r="E60" s="1" t="s">
        <v>53</v>
      </c>
      <c r="F60" s="20" t="s">
        <v>249</v>
      </c>
      <c r="G60">
        <f t="shared" si="7"/>
        <v>125</v>
      </c>
      <c r="H60">
        <f t="shared" si="8"/>
        <v>62.5</v>
      </c>
      <c r="I60">
        <f t="shared" si="9"/>
        <v>62.5</v>
      </c>
      <c r="J60">
        <f t="shared" si="10"/>
        <v>135.87</v>
      </c>
      <c r="K60">
        <f t="shared" si="11"/>
        <v>24.456600000000002</v>
      </c>
      <c r="L60">
        <f t="shared" si="12"/>
        <v>218.57</v>
      </c>
      <c r="M60">
        <f t="shared" si="13"/>
        <v>104.17</v>
      </c>
    </row>
    <row r="61" spans="1:13" ht="15" customHeight="1" x14ac:dyDescent="0.3">
      <c r="A61" s="16" t="s">
        <v>221</v>
      </c>
      <c r="B61" s="17" t="s">
        <v>228</v>
      </c>
      <c r="C61" s="18"/>
      <c r="D61" s="19" t="s">
        <v>91</v>
      </c>
      <c r="E61" s="1" t="s">
        <v>53</v>
      </c>
      <c r="F61" s="20" t="s">
        <v>229</v>
      </c>
      <c r="G61">
        <f t="shared" si="7"/>
        <v>150</v>
      </c>
      <c r="H61">
        <f t="shared" si="8"/>
        <v>75</v>
      </c>
      <c r="I61">
        <f t="shared" si="9"/>
        <v>37.5</v>
      </c>
      <c r="J61">
        <f t="shared" si="10"/>
        <v>163.04</v>
      </c>
      <c r="K61">
        <f t="shared" si="11"/>
        <v>29.347199999999997</v>
      </c>
      <c r="L61">
        <f t="shared" si="12"/>
        <v>262.29000000000002</v>
      </c>
      <c r="M61">
        <f t="shared" si="13"/>
        <v>62.5</v>
      </c>
    </row>
    <row r="62" spans="1:13" ht="18" customHeight="1" x14ac:dyDescent="0.3">
      <c r="A62" s="25" t="s">
        <v>252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21" t="s">
        <v>253</v>
      </c>
      <c r="B63" s="22" t="s">
        <v>255</v>
      </c>
      <c r="C63" s="23"/>
      <c r="D63" s="24" t="s">
        <v>91</v>
      </c>
      <c r="E63" s="1" t="s">
        <v>53</v>
      </c>
      <c r="F63" s="20" t="s">
        <v>256</v>
      </c>
      <c r="G63">
        <f t="shared" si="7"/>
        <v>31.25</v>
      </c>
      <c r="H63">
        <f t="shared" si="8"/>
        <v>75</v>
      </c>
      <c r="I63">
        <f t="shared" si="9"/>
        <v>22.5</v>
      </c>
      <c r="J63">
        <f t="shared" si="10"/>
        <v>163.04</v>
      </c>
      <c r="K63">
        <f t="shared" si="11"/>
        <v>29.347199999999997</v>
      </c>
      <c r="L63">
        <f t="shared" si="12"/>
        <v>4.1399999999999997</v>
      </c>
      <c r="M63">
        <f t="shared" si="13"/>
        <v>37.5</v>
      </c>
    </row>
    <row r="64" spans="1:13" ht="15" customHeight="1" x14ac:dyDescent="0.3">
      <c r="A64" s="16" t="s">
        <v>253</v>
      </c>
      <c r="B64" s="17" t="s">
        <v>323</v>
      </c>
      <c r="C64" s="18"/>
      <c r="D64" s="19" t="s">
        <v>91</v>
      </c>
      <c r="E64" s="1" t="s">
        <v>53</v>
      </c>
      <c r="F64" s="20" t="s">
        <v>324</v>
      </c>
      <c r="G64">
        <f t="shared" si="7"/>
        <v>93.75</v>
      </c>
      <c r="H64">
        <f t="shared" si="8"/>
        <v>62.5</v>
      </c>
      <c r="I64">
        <f t="shared" si="9"/>
        <v>62.5</v>
      </c>
      <c r="J64">
        <f t="shared" si="10"/>
        <v>135.87</v>
      </c>
      <c r="K64">
        <f t="shared" si="11"/>
        <v>24.456600000000002</v>
      </c>
      <c r="L64">
        <f t="shared" si="12"/>
        <v>150.63999999999999</v>
      </c>
      <c r="M64">
        <f t="shared" si="13"/>
        <v>104.17</v>
      </c>
    </row>
    <row r="65" spans="1:13" ht="15" customHeight="1" x14ac:dyDescent="0.3">
      <c r="A65" s="21" t="s">
        <v>253</v>
      </c>
      <c r="B65" s="22" t="s">
        <v>365</v>
      </c>
      <c r="C65" s="23"/>
      <c r="D65" s="24" t="s">
        <v>91</v>
      </c>
      <c r="E65" s="1" t="s">
        <v>53</v>
      </c>
      <c r="F65" s="20" t="s">
        <v>366</v>
      </c>
      <c r="G65">
        <f t="shared" si="7"/>
        <v>93.75</v>
      </c>
      <c r="H65">
        <f t="shared" si="8"/>
        <v>93.75</v>
      </c>
      <c r="I65">
        <f t="shared" si="9"/>
        <v>93.75</v>
      </c>
      <c r="J65">
        <f t="shared" si="10"/>
        <v>203.8</v>
      </c>
      <c r="K65">
        <f t="shared" si="11"/>
        <v>36.683999999999997</v>
      </c>
      <c r="L65">
        <f t="shared" si="12"/>
        <v>124.06</v>
      </c>
      <c r="M65">
        <f t="shared" si="13"/>
        <v>156.25</v>
      </c>
    </row>
    <row r="66" spans="1:13" ht="15" customHeight="1" x14ac:dyDescent="0.3">
      <c r="A66" s="16" t="s">
        <v>253</v>
      </c>
      <c r="B66" s="17" t="s">
        <v>257</v>
      </c>
      <c r="C66" s="18"/>
      <c r="D66" s="19" t="s">
        <v>91</v>
      </c>
      <c r="E66" s="1" t="s">
        <v>53</v>
      </c>
      <c r="F66" s="20" t="s">
        <v>160</v>
      </c>
      <c r="G66">
        <f t="shared" si="7"/>
        <v>25</v>
      </c>
      <c r="H66">
        <f t="shared" si="8"/>
        <v>50</v>
      </c>
      <c r="I66">
        <f t="shared" si="9"/>
        <v>25</v>
      </c>
      <c r="J66">
        <f t="shared" si="10"/>
        <v>108.7</v>
      </c>
      <c r="K66">
        <f t="shared" si="11"/>
        <v>19.565999999999999</v>
      </c>
      <c r="L66">
        <f t="shared" si="12"/>
        <v>11.81</v>
      </c>
      <c r="M66">
        <f t="shared" si="13"/>
        <v>41.67</v>
      </c>
    </row>
    <row r="67" spans="1:13" ht="15" customHeight="1" x14ac:dyDescent="0.3">
      <c r="A67" s="21" t="s">
        <v>253</v>
      </c>
      <c r="B67" s="22" t="s">
        <v>228</v>
      </c>
      <c r="C67" s="23"/>
      <c r="D67" s="24" t="s">
        <v>91</v>
      </c>
      <c r="E67" s="1" t="s">
        <v>53</v>
      </c>
      <c r="F67" s="20" t="s">
        <v>229</v>
      </c>
      <c r="G67">
        <f t="shared" si="7"/>
        <v>150</v>
      </c>
      <c r="H67">
        <f t="shared" si="8"/>
        <v>75</v>
      </c>
      <c r="I67">
        <f t="shared" si="9"/>
        <v>37.5</v>
      </c>
      <c r="J67">
        <f t="shared" si="10"/>
        <v>163.04</v>
      </c>
      <c r="K67">
        <f t="shared" si="11"/>
        <v>29.347199999999997</v>
      </c>
      <c r="L67">
        <f t="shared" si="12"/>
        <v>262.29000000000002</v>
      </c>
      <c r="M67">
        <f t="shared" si="13"/>
        <v>62.5</v>
      </c>
    </row>
    <row r="68" spans="1:13" ht="18" customHeight="1" x14ac:dyDescent="0.3">
      <c r="A68" s="25" t="s">
        <v>263</v>
      </c>
      <c r="B68" s="25"/>
      <c r="C68" s="25"/>
      <c r="G68" t="str">
        <f t="shared" si="7"/>
        <v/>
      </c>
      <c r="H68" t="str">
        <f t="shared" si="8"/>
        <v/>
      </c>
      <c r="I68" t="str">
        <f t="shared" si="9"/>
        <v/>
      </c>
      <c r="J68" t="str">
        <f t="shared" si="10"/>
        <v/>
      </c>
      <c r="K68" t="str">
        <f t="shared" si="11"/>
        <v/>
      </c>
      <c r="L68" t="str">
        <f t="shared" si="12"/>
        <v/>
      </c>
      <c r="M68" t="str">
        <f t="shared" si="13"/>
        <v/>
      </c>
    </row>
    <row r="69" spans="1:13" ht="15" customHeight="1" x14ac:dyDescent="0.3">
      <c r="A69" s="16" t="s">
        <v>264</v>
      </c>
      <c r="B69" s="17" t="s">
        <v>392</v>
      </c>
      <c r="C69" s="18"/>
      <c r="D69" s="19" t="s">
        <v>91</v>
      </c>
      <c r="E69" s="1" t="s">
        <v>53</v>
      </c>
      <c r="F69" s="20" t="s">
        <v>207</v>
      </c>
      <c r="G69">
        <f t="shared" si="7"/>
        <v>700</v>
      </c>
      <c r="H69">
        <f t="shared" si="8"/>
        <v>400</v>
      </c>
      <c r="I69">
        <f t="shared" si="9"/>
        <v>1500</v>
      </c>
      <c r="J69">
        <f t="shared" si="10"/>
        <v>869.57</v>
      </c>
      <c r="K69">
        <f t="shared" si="11"/>
        <v>156.52260000000001</v>
      </c>
      <c r="L69">
        <f t="shared" si="12"/>
        <v>1181.47</v>
      </c>
      <c r="M69">
        <f t="shared" si="13"/>
        <v>2500</v>
      </c>
    </row>
    <row r="70" spans="1:13" ht="15" customHeight="1" x14ac:dyDescent="0.3">
      <c r="A70" s="21" t="s">
        <v>264</v>
      </c>
      <c r="B70" s="22" t="s">
        <v>528</v>
      </c>
      <c r="C70" s="23"/>
      <c r="D70" s="24" t="s">
        <v>91</v>
      </c>
      <c r="E70" s="1" t="s">
        <v>53</v>
      </c>
      <c r="F70" s="20" t="s">
        <v>268</v>
      </c>
      <c r="G70">
        <f t="shared" si="7"/>
        <v>15</v>
      </c>
      <c r="H70">
        <f t="shared" si="8"/>
        <v>7.5</v>
      </c>
      <c r="I70">
        <f t="shared" si="9"/>
        <v>7.5</v>
      </c>
      <c r="J70">
        <f t="shared" si="10"/>
        <v>16.3</v>
      </c>
      <c r="K70">
        <f t="shared" si="11"/>
        <v>2.9340000000000002</v>
      </c>
      <c r="L70">
        <f t="shared" si="12"/>
        <v>26.23</v>
      </c>
      <c r="M70">
        <f t="shared" si="13"/>
        <v>12.5</v>
      </c>
    </row>
    <row r="71" spans="1:13" ht="18" customHeight="1" x14ac:dyDescent="0.3">
      <c r="A71" s="25" t="s">
        <v>269</v>
      </c>
      <c r="B71" s="25"/>
      <c r="C71" s="25"/>
      <c r="G71" t="str">
        <f t="shared" si="7"/>
        <v/>
      </c>
      <c r="H71" t="str">
        <f t="shared" si="8"/>
        <v/>
      </c>
      <c r="I71" t="str">
        <f t="shared" si="9"/>
        <v/>
      </c>
      <c r="J71" t="str">
        <f t="shared" si="10"/>
        <v/>
      </c>
      <c r="K71" t="str">
        <f t="shared" si="11"/>
        <v/>
      </c>
      <c r="L71" t="str">
        <f t="shared" si="12"/>
        <v/>
      </c>
      <c r="M71" t="str">
        <f t="shared" si="13"/>
        <v/>
      </c>
    </row>
    <row r="72" spans="1:13" ht="15" customHeight="1" x14ac:dyDescent="0.3">
      <c r="A72" s="16" t="s">
        <v>270</v>
      </c>
      <c r="B72" s="17" t="s">
        <v>272</v>
      </c>
      <c r="C72" s="18"/>
      <c r="D72" s="19" t="s">
        <v>91</v>
      </c>
      <c r="E72" s="1" t="s">
        <v>53</v>
      </c>
      <c r="F72" s="20" t="s">
        <v>273</v>
      </c>
      <c r="G72">
        <f t="shared" si="7"/>
        <v>112.5</v>
      </c>
      <c r="H72">
        <f t="shared" si="8"/>
        <v>112.5</v>
      </c>
      <c r="I72">
        <f t="shared" si="9"/>
        <v>93.75</v>
      </c>
      <c r="J72">
        <f t="shared" si="10"/>
        <v>244.57</v>
      </c>
      <c r="K72">
        <f t="shared" si="11"/>
        <v>44.022599999999997</v>
      </c>
      <c r="L72">
        <f t="shared" si="12"/>
        <v>148.86000000000001</v>
      </c>
      <c r="M72">
        <f t="shared" si="13"/>
        <v>156.25</v>
      </c>
    </row>
    <row r="73" spans="1:13" ht="15" customHeight="1" x14ac:dyDescent="0.3">
      <c r="A73" s="21" t="s">
        <v>270</v>
      </c>
      <c r="B73" s="22" t="s">
        <v>271</v>
      </c>
      <c r="C73" s="23"/>
      <c r="D73" s="24" t="s">
        <v>91</v>
      </c>
      <c r="E73" s="1" t="s">
        <v>53</v>
      </c>
      <c r="F73" s="20" t="s">
        <v>241</v>
      </c>
      <c r="G73">
        <f t="shared" si="7"/>
        <v>7.5</v>
      </c>
      <c r="H73">
        <f t="shared" si="8"/>
        <v>15</v>
      </c>
      <c r="I73">
        <f t="shared" si="9"/>
        <v>15</v>
      </c>
      <c r="J73">
        <f t="shared" si="10"/>
        <v>32.61</v>
      </c>
      <c r="K73">
        <f t="shared" si="11"/>
        <v>5.8697999999999997</v>
      </c>
      <c r="L73">
        <f t="shared" si="12"/>
        <v>3.54</v>
      </c>
      <c r="M73">
        <f t="shared" si="13"/>
        <v>25</v>
      </c>
    </row>
    <row r="74" spans="1:13" ht="15" customHeight="1" x14ac:dyDescent="0.3">
      <c r="A74" s="16" t="s">
        <v>270</v>
      </c>
      <c r="B74" s="17" t="s">
        <v>278</v>
      </c>
      <c r="C74" s="18"/>
      <c r="D74" s="19" t="s">
        <v>91</v>
      </c>
      <c r="E74" s="1" t="s">
        <v>53</v>
      </c>
      <c r="F74" s="20" t="s">
        <v>279</v>
      </c>
      <c r="G74">
        <f t="shared" si="7"/>
        <v>250</v>
      </c>
      <c r="H74">
        <f t="shared" si="8"/>
        <v>250</v>
      </c>
      <c r="I74">
        <f t="shared" si="9"/>
        <v>250</v>
      </c>
      <c r="J74">
        <f t="shared" si="10"/>
        <v>543.48</v>
      </c>
      <c r="K74">
        <f t="shared" si="11"/>
        <v>97.826400000000007</v>
      </c>
      <c r="L74">
        <f t="shared" si="12"/>
        <v>330.81</v>
      </c>
      <c r="M74">
        <f t="shared" si="13"/>
        <v>416.67</v>
      </c>
    </row>
  </sheetData>
  <mergeCells count="13">
    <mergeCell ref="A1:C1"/>
    <mergeCell ref="A2:C2"/>
    <mergeCell ref="A3:C3"/>
    <mergeCell ref="A4:C4"/>
    <mergeCell ref="A7:C7"/>
    <mergeCell ref="A62:C62"/>
    <mergeCell ref="A68:C68"/>
    <mergeCell ref="A71:C71"/>
    <mergeCell ref="A15:C15"/>
    <mergeCell ref="A23:C23"/>
    <mergeCell ref="A30:C30"/>
    <mergeCell ref="A35:C35"/>
    <mergeCell ref="A46:C4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1F8E9"/>
  </sheetPr>
  <dimension ref="A1:M107"/>
  <sheetViews>
    <sheetView tabSelected="1" topLeftCell="D1" zoomScale="82" zoomScaleNormal="53" workbookViewId="0">
      <pane ySplit="6" topLeftCell="A88" activePane="bottomLeft" state="frozen"/>
      <selection pane="bottomLeft" activeCell="H2" sqref="H2"/>
    </sheetView>
  </sheetViews>
  <sheetFormatPr defaultColWidth="8.6640625" defaultRowHeight="14.4" x14ac:dyDescent="0.3"/>
  <cols>
    <col min="1" max="1" width="13.33203125" bestFit="1" customWidth="1"/>
    <col min="2" max="2" width="32.21875" bestFit="1" customWidth="1"/>
    <col min="3" max="3" width="20.88671875" bestFit="1" customWidth="1"/>
    <col min="4" max="4" width="10.21875" bestFit="1" customWidth="1"/>
    <col min="5" max="5" width="30.109375" bestFit="1" customWidth="1"/>
    <col min="6" max="6" width="42.44140625" bestFit="1" customWidth="1"/>
    <col min="7" max="7" width="17.6640625" bestFit="1" customWidth="1"/>
    <col min="8" max="8" width="21.33203125" bestFit="1" customWidth="1"/>
    <col min="9" max="9" width="20.44140625" bestFit="1" customWidth="1"/>
    <col min="10" max="10" width="12.21875" bestFit="1" customWidth="1"/>
    <col min="11" max="11" width="27" bestFit="1" customWidth="1"/>
    <col min="12" max="12" width="12.88671875" bestFit="1" customWidth="1"/>
    <col min="13" max="13" width="12.6640625" bestFit="1" customWidth="1"/>
    <col min="14" max="18" width="16" customWidth="1"/>
    <col min="19" max="19" width="26" customWidth="1"/>
  </cols>
  <sheetData>
    <row r="1" spans="1:13" ht="31.5" customHeight="1" x14ac:dyDescent="0.3">
      <c r="A1" s="26" t="s">
        <v>529</v>
      </c>
      <c r="B1" s="26"/>
      <c r="C1" s="26"/>
    </row>
    <row r="2" spans="1:13" ht="19.5" customHeight="1" x14ac:dyDescent="0.3">
      <c r="A2" s="27" t="s">
        <v>530</v>
      </c>
      <c r="B2" s="27"/>
      <c r="C2" s="27"/>
    </row>
    <row r="3" spans="1:13" ht="19.5" customHeight="1" x14ac:dyDescent="0.3">
      <c r="A3" s="27" t="s">
        <v>531</v>
      </c>
      <c r="B3" s="27"/>
      <c r="C3" s="27"/>
    </row>
    <row r="4" spans="1:13" ht="19.5" customHeight="1" x14ac:dyDescent="0.3">
      <c r="A4" s="27" t="s">
        <v>532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93</v>
      </c>
      <c r="E8" s="1" t="s">
        <v>59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533</v>
      </c>
      <c r="C9" s="23"/>
      <c r="D9" s="24" t="s">
        <v>93</v>
      </c>
      <c r="E9" s="1" t="s">
        <v>59</v>
      </c>
      <c r="F9" s="20" t="s">
        <v>149</v>
      </c>
      <c r="G9">
        <f t="shared" si="0"/>
        <v>50</v>
      </c>
      <c r="H9">
        <f t="shared" si="1"/>
        <v>25</v>
      </c>
      <c r="I9">
        <f t="shared" si="2"/>
        <v>25</v>
      </c>
      <c r="J9">
        <f t="shared" si="3"/>
        <v>54.35</v>
      </c>
      <c r="K9">
        <f t="shared" si="4"/>
        <v>9.7829999999999995</v>
      </c>
      <c r="L9">
        <f t="shared" si="5"/>
        <v>87.43</v>
      </c>
      <c r="M9">
        <f t="shared" si="6"/>
        <v>41.67</v>
      </c>
    </row>
    <row r="10" spans="1:13" ht="15" customHeight="1" x14ac:dyDescent="0.3">
      <c r="A10" s="16" t="s">
        <v>141</v>
      </c>
      <c r="B10" s="17" t="s">
        <v>146</v>
      </c>
      <c r="C10" s="18"/>
      <c r="D10" s="19" t="s">
        <v>93</v>
      </c>
      <c r="E10" s="1" t="s">
        <v>59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375</v>
      </c>
      <c r="C11" s="23"/>
      <c r="D11" s="24" t="s">
        <v>93</v>
      </c>
      <c r="E11" s="1" t="s">
        <v>59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144</v>
      </c>
      <c r="C12" s="18"/>
      <c r="D12" s="19" t="s">
        <v>93</v>
      </c>
      <c r="E12" s="1" t="s">
        <v>59</v>
      </c>
      <c r="F12" s="20" t="s">
        <v>145</v>
      </c>
      <c r="G12">
        <f t="shared" si="0"/>
        <v>187.5</v>
      </c>
      <c r="H12">
        <f t="shared" si="1"/>
        <v>93.75</v>
      </c>
      <c r="I12">
        <f t="shared" si="2"/>
        <v>93.75</v>
      </c>
      <c r="J12">
        <f t="shared" si="3"/>
        <v>203.8</v>
      </c>
      <c r="K12">
        <f t="shared" si="4"/>
        <v>36.683999999999997</v>
      </c>
      <c r="L12">
        <f t="shared" si="5"/>
        <v>327.86</v>
      </c>
      <c r="M12">
        <f t="shared" si="6"/>
        <v>156.25</v>
      </c>
    </row>
    <row r="13" spans="1:13" ht="15" customHeight="1" x14ac:dyDescent="0.3">
      <c r="A13" s="21" t="s">
        <v>141</v>
      </c>
      <c r="B13" s="22" t="s">
        <v>372</v>
      </c>
      <c r="C13" s="23"/>
      <c r="D13" s="24" t="s">
        <v>93</v>
      </c>
      <c r="E13" s="1" t="s">
        <v>59</v>
      </c>
      <c r="F13" s="20" t="s">
        <v>291</v>
      </c>
      <c r="G13">
        <f t="shared" si="0"/>
        <v>150</v>
      </c>
      <c r="H13">
        <f t="shared" si="1"/>
        <v>75</v>
      </c>
      <c r="I13">
        <f t="shared" si="2"/>
        <v>50</v>
      </c>
      <c r="J13">
        <f t="shared" si="3"/>
        <v>163.04</v>
      </c>
      <c r="K13">
        <f t="shared" si="4"/>
        <v>29.347199999999997</v>
      </c>
      <c r="L13">
        <f t="shared" si="5"/>
        <v>262.29000000000002</v>
      </c>
      <c r="M13">
        <f t="shared" si="6"/>
        <v>83.33</v>
      </c>
    </row>
    <row r="14" spans="1:13" ht="15" customHeight="1" x14ac:dyDescent="0.3">
      <c r="A14" s="16" t="s">
        <v>141</v>
      </c>
      <c r="B14" s="17" t="s">
        <v>534</v>
      </c>
      <c r="C14" s="18"/>
      <c r="D14" s="19" t="s">
        <v>93</v>
      </c>
      <c r="E14" s="1" t="s">
        <v>59</v>
      </c>
      <c r="F14" s="20" t="s">
        <v>149</v>
      </c>
      <c r="G14">
        <f t="shared" si="0"/>
        <v>50</v>
      </c>
      <c r="H14">
        <f t="shared" si="1"/>
        <v>25</v>
      </c>
      <c r="I14">
        <f t="shared" si="2"/>
        <v>25</v>
      </c>
      <c r="J14">
        <f t="shared" si="3"/>
        <v>54.35</v>
      </c>
      <c r="K14">
        <f t="shared" si="4"/>
        <v>9.7829999999999995</v>
      </c>
      <c r="L14">
        <f t="shared" si="5"/>
        <v>87.43</v>
      </c>
      <c r="M14">
        <f t="shared" si="6"/>
        <v>41.67</v>
      </c>
    </row>
    <row r="15" spans="1:13" ht="15" customHeight="1" x14ac:dyDescent="0.3">
      <c r="A15" s="21" t="s">
        <v>141</v>
      </c>
      <c r="B15" s="22" t="s">
        <v>373</v>
      </c>
      <c r="C15" s="23"/>
      <c r="D15" s="24" t="s">
        <v>93</v>
      </c>
      <c r="E15" s="1" t="s">
        <v>59</v>
      </c>
      <c r="F15" s="20" t="s">
        <v>374</v>
      </c>
      <c r="G15">
        <f t="shared" si="0"/>
        <v>75</v>
      </c>
      <c r="H15">
        <f t="shared" si="1"/>
        <v>37.5</v>
      </c>
      <c r="I15">
        <f t="shared" si="2"/>
        <v>25</v>
      </c>
      <c r="J15">
        <f t="shared" si="3"/>
        <v>81.52</v>
      </c>
      <c r="K15">
        <f t="shared" si="4"/>
        <v>14.673599999999999</v>
      </c>
      <c r="L15">
        <f t="shared" si="5"/>
        <v>131.13999999999999</v>
      </c>
      <c r="M15">
        <f t="shared" si="6"/>
        <v>41.67</v>
      </c>
    </row>
    <row r="16" spans="1:13" ht="18" customHeight="1" x14ac:dyDescent="0.3">
      <c r="A16" s="25" t="s">
        <v>155</v>
      </c>
      <c r="B16" s="25"/>
      <c r="C16" s="25"/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  <c r="M16" t="str">
        <f t="shared" si="6"/>
        <v/>
      </c>
    </row>
    <row r="17" spans="1:13" ht="15" customHeight="1" x14ac:dyDescent="0.3">
      <c r="A17" s="16" t="s">
        <v>156</v>
      </c>
      <c r="B17" s="17" t="s">
        <v>535</v>
      </c>
      <c r="C17" s="18"/>
      <c r="D17" s="19" t="s">
        <v>93</v>
      </c>
      <c r="E17" s="1" t="s">
        <v>59</v>
      </c>
      <c r="F17" s="20" t="s">
        <v>158</v>
      </c>
      <c r="G17">
        <f t="shared" si="0"/>
        <v>31.25</v>
      </c>
      <c r="H17">
        <f t="shared" si="1"/>
        <v>62.5</v>
      </c>
      <c r="I17">
        <f t="shared" si="2"/>
        <v>37.5</v>
      </c>
      <c r="J17">
        <f t="shared" si="3"/>
        <v>135.87</v>
      </c>
      <c r="K17">
        <f t="shared" si="4"/>
        <v>24.456600000000002</v>
      </c>
      <c r="L17">
        <f t="shared" si="5"/>
        <v>14.77</v>
      </c>
      <c r="M17">
        <f t="shared" si="6"/>
        <v>62.5</v>
      </c>
    </row>
    <row r="18" spans="1:13" ht="15" customHeight="1" x14ac:dyDescent="0.3">
      <c r="A18" s="21" t="s">
        <v>156</v>
      </c>
      <c r="B18" s="22" t="s">
        <v>293</v>
      </c>
      <c r="C18" s="23"/>
      <c r="D18" s="24" t="s">
        <v>93</v>
      </c>
      <c r="E18" s="1" t="s">
        <v>59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292</v>
      </c>
      <c r="C19" s="18"/>
      <c r="D19" s="19" t="s">
        <v>93</v>
      </c>
      <c r="E19" s="1" t="s">
        <v>59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536</v>
      </c>
      <c r="C20" s="23"/>
      <c r="D20" s="24" t="s">
        <v>93</v>
      </c>
      <c r="E20" s="1" t="s">
        <v>59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163</v>
      </c>
      <c r="C21" s="18"/>
      <c r="D21" s="19" t="s">
        <v>93</v>
      </c>
      <c r="E21" s="1" t="s">
        <v>59</v>
      </c>
      <c r="F21" s="20" t="s">
        <v>164</v>
      </c>
      <c r="G21">
        <f t="shared" si="0"/>
        <v>12.5</v>
      </c>
      <c r="H21">
        <f t="shared" si="1"/>
        <v>25</v>
      </c>
      <c r="I21">
        <f t="shared" si="2"/>
        <v>12.5</v>
      </c>
      <c r="J21">
        <f t="shared" si="3"/>
        <v>54.35</v>
      </c>
      <c r="K21">
        <f t="shared" si="4"/>
        <v>9.7829999999999995</v>
      </c>
      <c r="L21">
        <f t="shared" si="5"/>
        <v>5.91</v>
      </c>
      <c r="M21">
        <f t="shared" si="6"/>
        <v>20.83</v>
      </c>
    </row>
    <row r="22" spans="1:13" ht="15" customHeight="1" x14ac:dyDescent="0.3">
      <c r="A22" s="21" t="s">
        <v>156</v>
      </c>
      <c r="B22" s="22" t="s">
        <v>537</v>
      </c>
      <c r="C22" s="23"/>
      <c r="D22" s="24" t="s">
        <v>93</v>
      </c>
      <c r="E22" s="1" t="s">
        <v>59</v>
      </c>
      <c r="F22" s="20" t="s">
        <v>328</v>
      </c>
      <c r="G22">
        <f t="shared" si="0"/>
        <v>150</v>
      </c>
      <c r="H22">
        <f t="shared" si="1"/>
        <v>100</v>
      </c>
      <c r="I22">
        <f t="shared" si="2"/>
        <v>87.5</v>
      </c>
      <c r="J22">
        <f t="shared" si="3"/>
        <v>217.39</v>
      </c>
      <c r="K22">
        <f t="shared" si="4"/>
        <v>39.130199999999995</v>
      </c>
      <c r="L22">
        <f t="shared" si="5"/>
        <v>241.02</v>
      </c>
      <c r="M22">
        <f t="shared" si="6"/>
        <v>145.83000000000001</v>
      </c>
    </row>
    <row r="23" spans="1:13" ht="15" customHeight="1" x14ac:dyDescent="0.3">
      <c r="A23" s="16" t="s">
        <v>156</v>
      </c>
      <c r="B23" s="17" t="s">
        <v>165</v>
      </c>
      <c r="C23" s="18"/>
      <c r="D23" s="19" t="s">
        <v>93</v>
      </c>
      <c r="E23" s="1" t="s">
        <v>59</v>
      </c>
      <c r="F23" s="20" t="s">
        <v>160</v>
      </c>
      <c r="G23">
        <f t="shared" si="0"/>
        <v>25</v>
      </c>
      <c r="H23">
        <f t="shared" si="1"/>
        <v>50</v>
      </c>
      <c r="I23">
        <f t="shared" si="2"/>
        <v>25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41.67</v>
      </c>
    </row>
    <row r="24" spans="1:13" ht="18" customHeight="1" x14ac:dyDescent="0.3">
      <c r="A24" s="25" t="s">
        <v>167</v>
      </c>
      <c r="B24" s="25"/>
      <c r="C24" s="25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5"/>
        <v/>
      </c>
      <c r="M24" t="str">
        <f t="shared" si="6"/>
        <v/>
      </c>
    </row>
    <row r="25" spans="1:13" ht="15" customHeight="1" x14ac:dyDescent="0.3">
      <c r="A25" s="21" t="s">
        <v>168</v>
      </c>
      <c r="B25" s="22" t="s">
        <v>169</v>
      </c>
      <c r="C25" s="23"/>
      <c r="D25" s="24" t="s">
        <v>93</v>
      </c>
      <c r="E25" s="1" t="s">
        <v>59</v>
      </c>
      <c r="F25" s="20" t="s">
        <v>170</v>
      </c>
      <c r="G25">
        <f t="shared" si="0"/>
        <v>25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172</v>
      </c>
      <c r="C26" s="18"/>
      <c r="D26" s="19" t="s">
        <v>93</v>
      </c>
      <c r="E26" s="1" t="s">
        <v>59</v>
      </c>
      <c r="F26" s="20" t="s">
        <v>173</v>
      </c>
      <c r="G26">
        <f t="shared" si="0"/>
        <v>75</v>
      </c>
      <c r="H26">
        <f t="shared" si="1"/>
        <v>112.5</v>
      </c>
      <c r="I26">
        <f t="shared" si="2"/>
        <v>75</v>
      </c>
      <c r="J26">
        <f t="shared" si="3"/>
        <v>244.57</v>
      </c>
      <c r="K26">
        <f t="shared" si="4"/>
        <v>44.022599999999997</v>
      </c>
      <c r="L26">
        <f t="shared" si="5"/>
        <v>67.34</v>
      </c>
      <c r="M26">
        <f t="shared" si="6"/>
        <v>125</v>
      </c>
    </row>
    <row r="27" spans="1:13" ht="15" customHeight="1" x14ac:dyDescent="0.3">
      <c r="A27" s="21" t="s">
        <v>168</v>
      </c>
      <c r="B27" s="22" t="s">
        <v>294</v>
      </c>
      <c r="C27" s="23"/>
      <c r="D27" s="24" t="s">
        <v>93</v>
      </c>
      <c r="E27" s="1" t="s">
        <v>59</v>
      </c>
      <c r="F27" s="20" t="s">
        <v>149</v>
      </c>
      <c r="G27">
        <f t="shared" si="0"/>
        <v>50</v>
      </c>
      <c r="H27">
        <f t="shared" si="1"/>
        <v>25</v>
      </c>
      <c r="I27">
        <f t="shared" si="2"/>
        <v>25</v>
      </c>
      <c r="J27">
        <f t="shared" si="3"/>
        <v>54.35</v>
      </c>
      <c r="K27">
        <f t="shared" si="4"/>
        <v>9.7829999999999995</v>
      </c>
      <c r="L27">
        <f t="shared" si="5"/>
        <v>87.43</v>
      </c>
      <c r="M27">
        <f t="shared" si="6"/>
        <v>41.67</v>
      </c>
    </row>
    <row r="28" spans="1:13" ht="15" customHeight="1" x14ac:dyDescent="0.3">
      <c r="A28" s="16" t="s">
        <v>168</v>
      </c>
      <c r="B28" s="17" t="s">
        <v>171</v>
      </c>
      <c r="C28" s="18"/>
      <c r="D28" s="19" t="s">
        <v>93</v>
      </c>
      <c r="E28" s="1" t="s">
        <v>59</v>
      </c>
      <c r="F28" s="20" t="s">
        <v>147</v>
      </c>
      <c r="G28">
        <f t="shared" si="0"/>
        <v>100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174.86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175</v>
      </c>
      <c r="C29" s="23"/>
      <c r="D29" s="24" t="s">
        <v>93</v>
      </c>
      <c r="E29" s="1" t="s">
        <v>59</v>
      </c>
      <c r="F29" s="20" t="s">
        <v>147</v>
      </c>
      <c r="G29">
        <f t="shared" si="0"/>
        <v>100</v>
      </c>
      <c r="H29">
        <f t="shared" si="1"/>
        <v>50</v>
      </c>
      <c r="I29">
        <f t="shared" si="2"/>
        <v>50</v>
      </c>
      <c r="J29">
        <f t="shared" si="3"/>
        <v>108.7</v>
      </c>
      <c r="K29">
        <f t="shared" si="4"/>
        <v>19.565999999999999</v>
      </c>
      <c r="L29">
        <f t="shared" si="5"/>
        <v>174.86</v>
      </c>
      <c r="M29">
        <f t="shared" si="6"/>
        <v>83.33</v>
      </c>
    </row>
    <row r="30" spans="1:13" ht="15" customHeight="1" x14ac:dyDescent="0.3">
      <c r="A30" s="16" t="s">
        <v>168</v>
      </c>
      <c r="B30" s="17" t="s">
        <v>176</v>
      </c>
      <c r="C30" s="18"/>
      <c r="D30" s="19" t="s">
        <v>93</v>
      </c>
      <c r="E30" s="1" t="s">
        <v>59</v>
      </c>
      <c r="F30" s="20" t="s">
        <v>177</v>
      </c>
      <c r="G30">
        <f t="shared" si="0"/>
        <v>25</v>
      </c>
      <c r="H30">
        <f t="shared" si="1"/>
        <v>75</v>
      </c>
      <c r="I30">
        <f t="shared" si="2"/>
        <v>50</v>
      </c>
      <c r="J30">
        <f t="shared" si="3"/>
        <v>163.04</v>
      </c>
      <c r="K30">
        <f t="shared" si="4"/>
        <v>29.347199999999997</v>
      </c>
      <c r="L30">
        <f t="shared" si="5"/>
        <v>-9.4499999999999993</v>
      </c>
      <c r="M30">
        <f t="shared" si="6"/>
        <v>83.33</v>
      </c>
    </row>
    <row r="31" spans="1:13" ht="15" customHeight="1" x14ac:dyDescent="0.3">
      <c r="A31" s="21" t="s">
        <v>168</v>
      </c>
      <c r="B31" s="22" t="s">
        <v>295</v>
      </c>
      <c r="C31" s="23"/>
      <c r="D31" s="24" t="s">
        <v>93</v>
      </c>
      <c r="E31" s="1" t="s">
        <v>59</v>
      </c>
      <c r="F31" s="20" t="s">
        <v>149</v>
      </c>
      <c r="G31">
        <f t="shared" si="0"/>
        <v>50</v>
      </c>
      <c r="H31">
        <f t="shared" si="1"/>
        <v>25</v>
      </c>
      <c r="I31">
        <f t="shared" si="2"/>
        <v>25</v>
      </c>
      <c r="J31">
        <f t="shared" si="3"/>
        <v>54.35</v>
      </c>
      <c r="K31">
        <f t="shared" si="4"/>
        <v>9.7829999999999995</v>
      </c>
      <c r="L31">
        <f t="shared" si="5"/>
        <v>87.43</v>
      </c>
      <c r="M31">
        <f t="shared" si="6"/>
        <v>41.67</v>
      </c>
    </row>
    <row r="32" spans="1:13" ht="15" customHeight="1" x14ac:dyDescent="0.3">
      <c r="A32" s="16" t="s">
        <v>168</v>
      </c>
      <c r="B32" s="17" t="s">
        <v>538</v>
      </c>
      <c r="C32" s="18"/>
      <c r="D32" s="19" t="s">
        <v>93</v>
      </c>
      <c r="E32" s="1" t="s">
        <v>59</v>
      </c>
      <c r="F32" s="20" t="s">
        <v>160</v>
      </c>
      <c r="G32">
        <f t="shared" si="0"/>
        <v>25</v>
      </c>
      <c r="H32">
        <f t="shared" si="1"/>
        <v>50</v>
      </c>
      <c r="I32">
        <f t="shared" si="2"/>
        <v>25</v>
      </c>
      <c r="J32">
        <f t="shared" si="3"/>
        <v>108.7</v>
      </c>
      <c r="K32">
        <f t="shared" si="4"/>
        <v>19.565999999999999</v>
      </c>
      <c r="L32">
        <f t="shared" si="5"/>
        <v>11.81</v>
      </c>
      <c r="M32">
        <f t="shared" si="6"/>
        <v>41.67</v>
      </c>
    </row>
    <row r="33" spans="1:13" ht="18" customHeight="1" x14ac:dyDescent="0.3">
      <c r="A33" s="25" t="s">
        <v>180</v>
      </c>
      <c r="B33" s="25"/>
      <c r="C33" s="25"/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  <c r="L33" t="str">
        <f t="shared" si="5"/>
        <v/>
      </c>
      <c r="M33" t="str">
        <f t="shared" si="6"/>
        <v/>
      </c>
    </row>
    <row r="34" spans="1:13" ht="15" customHeight="1" x14ac:dyDescent="0.3">
      <c r="A34" s="21" t="s">
        <v>181</v>
      </c>
      <c r="B34" s="22" t="s">
        <v>182</v>
      </c>
      <c r="C34" s="23"/>
      <c r="D34" s="24" t="s">
        <v>93</v>
      </c>
      <c r="E34" s="1" t="s">
        <v>59</v>
      </c>
      <c r="F34" s="20" t="s">
        <v>183</v>
      </c>
      <c r="G34">
        <f t="shared" si="0"/>
        <v>350</v>
      </c>
      <c r="H34">
        <f t="shared" si="1"/>
        <v>112.5</v>
      </c>
      <c r="I34">
        <f t="shared" si="2"/>
        <v>112.5</v>
      </c>
      <c r="J34">
        <f t="shared" si="3"/>
        <v>244.57</v>
      </c>
      <c r="K34">
        <f t="shared" si="4"/>
        <v>44.022599999999997</v>
      </c>
      <c r="L34">
        <f t="shared" si="5"/>
        <v>665.17</v>
      </c>
      <c r="M34">
        <f t="shared" si="6"/>
        <v>187.5</v>
      </c>
    </row>
    <row r="35" spans="1:13" ht="15" customHeight="1" x14ac:dyDescent="0.3">
      <c r="A35" s="16" t="s">
        <v>181</v>
      </c>
      <c r="B35" s="17" t="s">
        <v>184</v>
      </c>
      <c r="C35" s="18"/>
      <c r="D35" s="19" t="s">
        <v>93</v>
      </c>
      <c r="E35" s="1" t="s">
        <v>59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5" customHeight="1" x14ac:dyDescent="0.3">
      <c r="A36" s="21" t="s">
        <v>181</v>
      </c>
      <c r="B36" s="22" t="s">
        <v>186</v>
      </c>
      <c r="C36" s="23"/>
      <c r="D36" s="24" t="s">
        <v>93</v>
      </c>
      <c r="E36" s="1" t="s">
        <v>59</v>
      </c>
      <c r="F36" s="20" t="s">
        <v>185</v>
      </c>
      <c r="G36">
        <f t="shared" si="0"/>
        <v>125</v>
      </c>
      <c r="H36">
        <f t="shared" si="1"/>
        <v>62.5</v>
      </c>
      <c r="I36">
        <f t="shared" si="2"/>
        <v>62.5</v>
      </c>
      <c r="J36">
        <f t="shared" si="3"/>
        <v>135.87</v>
      </c>
      <c r="K36">
        <f t="shared" si="4"/>
        <v>24.456600000000002</v>
      </c>
      <c r="L36">
        <f t="shared" si="5"/>
        <v>218.57</v>
      </c>
      <c r="M36">
        <f t="shared" si="6"/>
        <v>104.17</v>
      </c>
    </row>
    <row r="37" spans="1:13" ht="15" customHeight="1" x14ac:dyDescent="0.3">
      <c r="A37" s="16" t="s">
        <v>181</v>
      </c>
      <c r="B37" s="17" t="s">
        <v>539</v>
      </c>
      <c r="C37" s="18"/>
      <c r="D37" s="19" t="s">
        <v>93</v>
      </c>
      <c r="E37" s="1" t="s">
        <v>59</v>
      </c>
      <c r="F37" s="20" t="s">
        <v>361</v>
      </c>
      <c r="G37" t="str">
        <f t="shared" si="0"/>
        <v>N/A</v>
      </c>
      <c r="H37" t="str">
        <f t="shared" si="1"/>
        <v>N/A</v>
      </c>
      <c r="I37" t="str">
        <f t="shared" si="2"/>
        <v>N/A</v>
      </c>
      <c r="J37" t="str">
        <f t="shared" si="3"/>
        <v>N/A</v>
      </c>
      <c r="K37" t="str">
        <f t="shared" si="4"/>
        <v>N/A</v>
      </c>
      <c r="L37" t="str">
        <f t="shared" si="5"/>
        <v>N/A</v>
      </c>
      <c r="M37" t="str">
        <f t="shared" si="6"/>
        <v>N/A</v>
      </c>
    </row>
    <row r="38" spans="1:13" ht="18" customHeight="1" x14ac:dyDescent="0.3">
      <c r="A38" s="25" t="s">
        <v>187</v>
      </c>
      <c r="B38" s="25"/>
      <c r="C38" s="25"/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  <c r="L38" t="str">
        <f t="shared" si="5"/>
        <v/>
      </c>
      <c r="M38" t="str">
        <f t="shared" si="6"/>
        <v/>
      </c>
    </row>
    <row r="39" spans="1:13" ht="15" customHeight="1" x14ac:dyDescent="0.3">
      <c r="A39" s="21" t="s">
        <v>188</v>
      </c>
      <c r="B39" s="22" t="s">
        <v>312</v>
      </c>
      <c r="C39" s="23"/>
      <c r="D39" s="24" t="s">
        <v>93</v>
      </c>
      <c r="E39" s="1" t="s">
        <v>59</v>
      </c>
      <c r="F39" s="20" t="s">
        <v>190</v>
      </c>
      <c r="G39">
        <f t="shared" ref="G39:G70" si="7">IF($F39="","",IFERROR(VALUE(TRIM(LEFT($F39,FIND(":",$F39)-1)))*1.25,"N/A"))</f>
        <v>125</v>
      </c>
      <c r="H39">
        <f t="shared" ref="H39:H70" si="8">IF($F39="","",IFERROR(VALUE(TRIM(MID($F39,FIND(":",$F39)+1,FIND(":",$F39,FIND(":",$F39)+1)-FIND(":",$F39)-1)))*1.25,"N/A"))</f>
        <v>125</v>
      </c>
      <c r="I39">
        <f t="shared" ref="I39:I70" si="9">IF($F39="","",IFERROR(VALUE(TRIM(LEFT(MID($F39,FIND(":",$F39,FIND(":",$F39)+1)+1,LEN($F39)),FIND(" ",MID($F39,FIND(":",$F39,FIND(":",$F39)+1)+1,LEN($F39))&amp;" ")-1)))*1.25,"N/A"))</f>
        <v>187.5</v>
      </c>
      <c r="J39">
        <f t="shared" ref="J39:J70" si="10">IF(OR($F39="",$H39="N/A"),IF($F39="","","N/A"),ROUND($H39/0.46,2))</f>
        <v>271.74</v>
      </c>
      <c r="K39">
        <f t="shared" ref="K39:K70" si="11">IF(OR($F39="",$J39="N/A"),IF($F39="","","N/A"),$J39*0.18)</f>
        <v>48.913200000000003</v>
      </c>
      <c r="L39">
        <f t="shared" ref="L39:L70" si="12">IF(OR($F39="",$G39="N/A",$K39="N/A"),IF($F39="","","N/A"),ROUND(($G39-$K39)/0.46,2))</f>
        <v>165.41</v>
      </c>
      <c r="M39">
        <f t="shared" ref="M39:M70" si="13">IF(OR($F39="",$I39="N/A"),IF($F39="","","N/A"),ROUND($I39/0.6,2))</f>
        <v>312.5</v>
      </c>
    </row>
    <row r="40" spans="1:13" ht="15" customHeight="1" x14ac:dyDescent="0.3">
      <c r="A40" s="16" t="s">
        <v>188</v>
      </c>
      <c r="B40" s="17" t="s">
        <v>191</v>
      </c>
      <c r="C40" s="18"/>
      <c r="D40" s="19" t="s">
        <v>93</v>
      </c>
      <c r="E40" s="1" t="s">
        <v>59</v>
      </c>
      <c r="F40" s="20" t="s">
        <v>192</v>
      </c>
      <c r="G40">
        <f t="shared" si="7"/>
        <v>137.5</v>
      </c>
      <c r="H40">
        <f t="shared" si="8"/>
        <v>43.75</v>
      </c>
      <c r="I40">
        <f t="shared" si="9"/>
        <v>412.5</v>
      </c>
      <c r="J40">
        <f t="shared" si="10"/>
        <v>95.11</v>
      </c>
      <c r="K40">
        <f t="shared" si="11"/>
        <v>17.119799999999998</v>
      </c>
      <c r="L40">
        <f t="shared" si="12"/>
        <v>261.7</v>
      </c>
      <c r="M40">
        <f t="shared" si="13"/>
        <v>687.5</v>
      </c>
    </row>
    <row r="41" spans="1:13" ht="15" customHeight="1" x14ac:dyDescent="0.3">
      <c r="A41" s="21" t="s">
        <v>188</v>
      </c>
      <c r="B41" s="22" t="s">
        <v>540</v>
      </c>
      <c r="C41" s="23"/>
      <c r="D41" s="24" t="s">
        <v>93</v>
      </c>
      <c r="E41" s="1" t="s">
        <v>59</v>
      </c>
      <c r="F41" s="20" t="s">
        <v>201</v>
      </c>
      <c r="G41">
        <f t="shared" si="7"/>
        <v>50</v>
      </c>
      <c r="H41">
        <f t="shared" si="8"/>
        <v>30</v>
      </c>
      <c r="I41">
        <f t="shared" si="9"/>
        <v>100</v>
      </c>
      <c r="J41">
        <f t="shared" si="10"/>
        <v>65.22</v>
      </c>
      <c r="K41">
        <f t="shared" si="11"/>
        <v>11.739599999999999</v>
      </c>
      <c r="L41">
        <f t="shared" si="12"/>
        <v>83.17</v>
      </c>
      <c r="M41">
        <f t="shared" si="13"/>
        <v>166.67</v>
      </c>
    </row>
    <row r="42" spans="1:13" ht="15" customHeight="1" x14ac:dyDescent="0.3">
      <c r="A42" s="16" t="s">
        <v>188</v>
      </c>
      <c r="B42" s="17" t="s">
        <v>196</v>
      </c>
      <c r="C42" s="18"/>
      <c r="D42" s="19" t="s">
        <v>93</v>
      </c>
      <c r="E42" s="1" t="s">
        <v>59</v>
      </c>
      <c r="F42" s="20" t="s">
        <v>197</v>
      </c>
      <c r="G42">
        <f t="shared" si="7"/>
        <v>750</v>
      </c>
      <c r="H42">
        <f t="shared" si="8"/>
        <v>625</v>
      </c>
      <c r="I42">
        <f t="shared" si="9"/>
        <v>1500</v>
      </c>
      <c r="J42">
        <f t="shared" si="10"/>
        <v>1358.7</v>
      </c>
      <c r="K42">
        <f t="shared" si="11"/>
        <v>244.566</v>
      </c>
      <c r="L42">
        <f t="shared" si="12"/>
        <v>1098.77</v>
      </c>
      <c r="M42">
        <f t="shared" si="13"/>
        <v>2500</v>
      </c>
    </row>
    <row r="43" spans="1:13" ht="15" customHeight="1" x14ac:dyDescent="0.3">
      <c r="A43" s="21" t="s">
        <v>188</v>
      </c>
      <c r="B43" s="22" t="s">
        <v>208</v>
      </c>
      <c r="C43" s="23"/>
      <c r="D43" s="24" t="s">
        <v>93</v>
      </c>
      <c r="E43" s="1" t="s">
        <v>59</v>
      </c>
      <c r="F43" s="20" t="s">
        <v>190</v>
      </c>
      <c r="G43">
        <f t="shared" si="7"/>
        <v>125</v>
      </c>
      <c r="H43">
        <f t="shared" si="8"/>
        <v>125</v>
      </c>
      <c r="I43">
        <f t="shared" si="9"/>
        <v>187.5</v>
      </c>
      <c r="J43">
        <f t="shared" si="10"/>
        <v>271.74</v>
      </c>
      <c r="K43">
        <f t="shared" si="11"/>
        <v>48.913200000000003</v>
      </c>
      <c r="L43">
        <f t="shared" si="12"/>
        <v>165.41</v>
      </c>
      <c r="M43">
        <f t="shared" si="13"/>
        <v>312.5</v>
      </c>
    </row>
    <row r="44" spans="1:13" ht="15" customHeight="1" x14ac:dyDescent="0.3">
      <c r="A44" s="16" t="s">
        <v>188</v>
      </c>
      <c r="B44" s="17" t="s">
        <v>195</v>
      </c>
      <c r="C44" s="18"/>
      <c r="D44" s="19" t="s">
        <v>93</v>
      </c>
      <c r="E44" s="1" t="s">
        <v>59</v>
      </c>
      <c r="F44" s="20" t="s">
        <v>194</v>
      </c>
      <c r="G44">
        <f t="shared" si="7"/>
        <v>125</v>
      </c>
      <c r="H44">
        <f t="shared" si="8"/>
        <v>125</v>
      </c>
      <c r="I44">
        <f t="shared" si="9"/>
        <v>125</v>
      </c>
      <c r="J44">
        <f t="shared" si="10"/>
        <v>271.74</v>
      </c>
      <c r="K44">
        <f t="shared" si="11"/>
        <v>48.913200000000003</v>
      </c>
      <c r="L44">
        <f t="shared" si="12"/>
        <v>165.41</v>
      </c>
      <c r="M44">
        <f t="shared" si="13"/>
        <v>208.33</v>
      </c>
    </row>
    <row r="45" spans="1:13" ht="15" customHeight="1" x14ac:dyDescent="0.3">
      <c r="A45" s="21" t="s">
        <v>188</v>
      </c>
      <c r="B45" s="22" t="s">
        <v>193</v>
      </c>
      <c r="C45" s="23"/>
      <c r="D45" s="24" t="s">
        <v>93</v>
      </c>
      <c r="E45" s="1" t="s">
        <v>59</v>
      </c>
      <c r="F45" s="20" t="s">
        <v>194</v>
      </c>
      <c r="G45">
        <f t="shared" si="7"/>
        <v>125</v>
      </c>
      <c r="H45">
        <f t="shared" si="8"/>
        <v>125</v>
      </c>
      <c r="I45">
        <f t="shared" si="9"/>
        <v>125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208.33</v>
      </c>
    </row>
    <row r="46" spans="1:13" ht="15" customHeight="1" x14ac:dyDescent="0.3">
      <c r="A46" s="16" t="s">
        <v>188</v>
      </c>
      <c r="B46" s="17" t="s">
        <v>214</v>
      </c>
      <c r="C46" s="18"/>
      <c r="D46" s="19" t="s">
        <v>93</v>
      </c>
      <c r="E46" s="1" t="s">
        <v>59</v>
      </c>
      <c r="F46" s="20" t="s">
        <v>215</v>
      </c>
      <c r="G46">
        <f t="shared" si="7"/>
        <v>93.75</v>
      </c>
      <c r="H46">
        <f t="shared" si="8"/>
        <v>50</v>
      </c>
      <c r="I46">
        <f t="shared" si="9"/>
        <v>62.5</v>
      </c>
      <c r="J46">
        <f t="shared" si="10"/>
        <v>108.7</v>
      </c>
      <c r="K46">
        <f t="shared" si="11"/>
        <v>19.565999999999999</v>
      </c>
      <c r="L46">
        <f t="shared" si="12"/>
        <v>161.27000000000001</v>
      </c>
      <c r="M46">
        <f t="shared" si="13"/>
        <v>104.17</v>
      </c>
    </row>
    <row r="47" spans="1:13" ht="15" customHeight="1" x14ac:dyDescent="0.3">
      <c r="A47" s="21" t="s">
        <v>188</v>
      </c>
      <c r="B47" s="22" t="s">
        <v>541</v>
      </c>
      <c r="C47" s="23"/>
      <c r="D47" s="24" t="s">
        <v>93</v>
      </c>
      <c r="E47" s="1" t="s">
        <v>59</v>
      </c>
      <c r="F47" s="20" t="s">
        <v>300</v>
      </c>
      <c r="G47">
        <f t="shared" si="7"/>
        <v>750</v>
      </c>
      <c r="H47">
        <f t="shared" si="8"/>
        <v>250</v>
      </c>
      <c r="I47">
        <f t="shared" si="9"/>
        <v>500</v>
      </c>
      <c r="J47">
        <f t="shared" si="10"/>
        <v>543.48</v>
      </c>
      <c r="K47">
        <f t="shared" si="11"/>
        <v>97.826400000000007</v>
      </c>
      <c r="L47">
        <f t="shared" si="12"/>
        <v>1417.77</v>
      </c>
      <c r="M47">
        <f t="shared" si="13"/>
        <v>833.33</v>
      </c>
    </row>
    <row r="48" spans="1:13" ht="15" customHeight="1" x14ac:dyDescent="0.3">
      <c r="A48" s="16" t="s">
        <v>188</v>
      </c>
      <c r="B48" s="17" t="s">
        <v>209</v>
      </c>
      <c r="C48" s="18"/>
      <c r="D48" s="19" t="s">
        <v>93</v>
      </c>
      <c r="E48" s="1" t="s">
        <v>59</v>
      </c>
      <c r="F48" s="20" t="s">
        <v>199</v>
      </c>
      <c r="G48">
        <f t="shared" si="7"/>
        <v>750</v>
      </c>
      <c r="H48">
        <f t="shared" si="8"/>
        <v>250</v>
      </c>
      <c r="I48">
        <f t="shared" si="9"/>
        <v>375</v>
      </c>
      <c r="J48">
        <f t="shared" si="10"/>
        <v>543.48</v>
      </c>
      <c r="K48">
        <f t="shared" si="11"/>
        <v>97.826400000000007</v>
      </c>
      <c r="L48">
        <f t="shared" si="12"/>
        <v>1417.77</v>
      </c>
      <c r="M48">
        <f t="shared" si="13"/>
        <v>625</v>
      </c>
    </row>
    <row r="49" spans="1:13" ht="15" customHeight="1" x14ac:dyDescent="0.3">
      <c r="A49" s="21" t="s">
        <v>188</v>
      </c>
      <c r="B49" s="22" t="s">
        <v>202</v>
      </c>
      <c r="C49" s="23"/>
      <c r="D49" s="24" t="s">
        <v>93</v>
      </c>
      <c r="E49" s="1" t="s">
        <v>59</v>
      </c>
      <c r="F49" s="20" t="s">
        <v>203</v>
      </c>
      <c r="G49">
        <f t="shared" si="7"/>
        <v>68.75</v>
      </c>
      <c r="H49">
        <f t="shared" si="8"/>
        <v>68.75</v>
      </c>
      <c r="I49">
        <f t="shared" si="9"/>
        <v>68.75</v>
      </c>
      <c r="J49">
        <f t="shared" si="10"/>
        <v>149.46</v>
      </c>
      <c r="K49">
        <f t="shared" si="11"/>
        <v>26.902799999999999</v>
      </c>
      <c r="L49">
        <f t="shared" si="12"/>
        <v>90.97</v>
      </c>
      <c r="M49">
        <f t="shared" si="13"/>
        <v>114.58</v>
      </c>
    </row>
    <row r="50" spans="1:13" ht="15" customHeight="1" x14ac:dyDescent="0.3">
      <c r="A50" s="16" t="s">
        <v>188</v>
      </c>
      <c r="B50" s="17" t="s">
        <v>305</v>
      </c>
      <c r="C50" s="18"/>
      <c r="D50" s="19" t="s">
        <v>93</v>
      </c>
      <c r="E50" s="1" t="s">
        <v>59</v>
      </c>
      <c r="F50" s="20" t="s">
        <v>306</v>
      </c>
      <c r="G50">
        <f t="shared" si="7"/>
        <v>20</v>
      </c>
      <c r="H50">
        <f t="shared" si="8"/>
        <v>5</v>
      </c>
      <c r="I50">
        <f t="shared" si="9"/>
        <v>15</v>
      </c>
      <c r="J50">
        <f t="shared" si="10"/>
        <v>10.87</v>
      </c>
      <c r="K50">
        <f t="shared" si="11"/>
        <v>1.9565999999999999</v>
      </c>
      <c r="L50">
        <f t="shared" si="12"/>
        <v>39.22</v>
      </c>
      <c r="M50">
        <f t="shared" si="13"/>
        <v>25</v>
      </c>
    </row>
    <row r="51" spans="1:13" ht="15" customHeight="1" x14ac:dyDescent="0.3">
      <c r="A51" s="21" t="s">
        <v>188</v>
      </c>
      <c r="B51" s="22" t="s">
        <v>206</v>
      </c>
      <c r="C51" s="23"/>
      <c r="D51" s="24" t="s">
        <v>93</v>
      </c>
      <c r="E51" s="1" t="s">
        <v>59</v>
      </c>
      <c r="F51" s="20" t="s">
        <v>207</v>
      </c>
      <c r="G51">
        <f t="shared" si="7"/>
        <v>700</v>
      </c>
      <c r="H51">
        <f t="shared" si="8"/>
        <v>400</v>
      </c>
      <c r="I51">
        <f t="shared" si="9"/>
        <v>1500</v>
      </c>
      <c r="J51">
        <f t="shared" si="10"/>
        <v>869.57</v>
      </c>
      <c r="K51">
        <f t="shared" si="11"/>
        <v>156.52260000000001</v>
      </c>
      <c r="L51">
        <f t="shared" si="12"/>
        <v>1181.47</v>
      </c>
      <c r="M51">
        <f t="shared" si="13"/>
        <v>2500</v>
      </c>
    </row>
    <row r="52" spans="1:13" ht="15" customHeight="1" x14ac:dyDescent="0.3">
      <c r="A52" s="16" t="s">
        <v>188</v>
      </c>
      <c r="B52" s="17" t="s">
        <v>216</v>
      </c>
      <c r="C52" s="18"/>
      <c r="D52" s="19" t="s">
        <v>93</v>
      </c>
      <c r="E52" s="1" t="s">
        <v>59</v>
      </c>
      <c r="F52" s="20" t="s">
        <v>217</v>
      </c>
      <c r="G52">
        <f t="shared" si="7"/>
        <v>2.5</v>
      </c>
      <c r="H52">
        <f t="shared" si="8"/>
        <v>1.25</v>
      </c>
      <c r="I52">
        <f t="shared" si="9"/>
        <v>2.5</v>
      </c>
      <c r="J52">
        <f t="shared" si="10"/>
        <v>2.72</v>
      </c>
      <c r="K52">
        <f t="shared" si="11"/>
        <v>0.48960000000000004</v>
      </c>
      <c r="L52">
        <f t="shared" si="12"/>
        <v>4.37</v>
      </c>
      <c r="M52">
        <f t="shared" si="13"/>
        <v>4.17</v>
      </c>
    </row>
    <row r="53" spans="1:13" ht="15" customHeight="1" x14ac:dyDescent="0.3">
      <c r="A53" s="21" t="s">
        <v>188</v>
      </c>
      <c r="B53" s="22" t="s">
        <v>210</v>
      </c>
      <c r="C53" s="23"/>
      <c r="D53" s="24" t="s">
        <v>93</v>
      </c>
      <c r="E53" s="1" t="s">
        <v>59</v>
      </c>
      <c r="F53" s="20" t="s">
        <v>211</v>
      </c>
      <c r="G53">
        <f t="shared" si="7"/>
        <v>93.75</v>
      </c>
      <c r="H53">
        <f t="shared" si="8"/>
        <v>75</v>
      </c>
      <c r="I53">
        <f t="shared" si="9"/>
        <v>62.5</v>
      </c>
      <c r="J53">
        <f t="shared" si="10"/>
        <v>163.04</v>
      </c>
      <c r="K53">
        <f t="shared" si="11"/>
        <v>29.347199999999997</v>
      </c>
      <c r="L53">
        <f t="shared" si="12"/>
        <v>140.01</v>
      </c>
      <c r="M53">
        <f t="shared" si="13"/>
        <v>104.17</v>
      </c>
    </row>
    <row r="54" spans="1:13" ht="18" customHeight="1" x14ac:dyDescent="0.3">
      <c r="A54" s="25" t="s">
        <v>220</v>
      </c>
      <c r="B54" s="25"/>
      <c r="C54" s="25"/>
      <c r="G54" t="str">
        <f t="shared" si="7"/>
        <v/>
      </c>
      <c r="H54" t="str">
        <f t="shared" si="8"/>
        <v/>
      </c>
      <c r="I54" t="str">
        <f t="shared" si="9"/>
        <v/>
      </c>
      <c r="J54" t="str">
        <f t="shared" si="10"/>
        <v/>
      </c>
      <c r="K54" t="str">
        <f t="shared" si="11"/>
        <v/>
      </c>
      <c r="L54" t="str">
        <f t="shared" si="12"/>
        <v/>
      </c>
      <c r="M54" t="str">
        <f t="shared" si="13"/>
        <v/>
      </c>
    </row>
    <row r="55" spans="1:13" ht="15" customHeight="1" x14ac:dyDescent="0.3">
      <c r="A55" s="16" t="s">
        <v>221</v>
      </c>
      <c r="B55" s="17" t="s">
        <v>542</v>
      </c>
      <c r="C55" s="18"/>
      <c r="D55" s="19" t="s">
        <v>93</v>
      </c>
      <c r="E55" s="1" t="s">
        <v>59</v>
      </c>
      <c r="F55" s="20" t="s">
        <v>223</v>
      </c>
      <c r="G55">
        <f t="shared" si="7"/>
        <v>187.5</v>
      </c>
      <c r="H55">
        <f t="shared" si="8"/>
        <v>125</v>
      </c>
      <c r="I55">
        <f t="shared" si="9"/>
        <v>62.5</v>
      </c>
      <c r="J55">
        <f t="shared" si="10"/>
        <v>271.74</v>
      </c>
      <c r="K55">
        <f t="shared" si="11"/>
        <v>48.913200000000003</v>
      </c>
      <c r="L55">
        <f t="shared" si="12"/>
        <v>301.27999999999997</v>
      </c>
      <c r="M55">
        <f t="shared" si="13"/>
        <v>104.17</v>
      </c>
    </row>
    <row r="56" spans="1:13" ht="15" customHeight="1" x14ac:dyDescent="0.3">
      <c r="A56" s="21" t="s">
        <v>221</v>
      </c>
      <c r="B56" s="22" t="s">
        <v>543</v>
      </c>
      <c r="C56" s="23"/>
      <c r="D56" s="24" t="s">
        <v>93</v>
      </c>
      <c r="E56" s="1" t="s">
        <v>59</v>
      </c>
      <c r="F56" s="20" t="s">
        <v>231</v>
      </c>
      <c r="G56">
        <f t="shared" si="7"/>
        <v>125</v>
      </c>
      <c r="H56">
        <f t="shared" si="8"/>
        <v>187.5</v>
      </c>
      <c r="I56">
        <f t="shared" si="9"/>
        <v>93.75</v>
      </c>
      <c r="J56">
        <f t="shared" si="10"/>
        <v>407.61</v>
      </c>
      <c r="K56">
        <f t="shared" si="11"/>
        <v>73.369799999999998</v>
      </c>
      <c r="L56">
        <f t="shared" si="12"/>
        <v>112.24</v>
      </c>
      <c r="M56">
        <f t="shared" si="13"/>
        <v>156.25</v>
      </c>
    </row>
    <row r="57" spans="1:13" ht="15" customHeight="1" x14ac:dyDescent="0.3">
      <c r="A57" s="16" t="s">
        <v>221</v>
      </c>
      <c r="B57" s="17" t="s">
        <v>321</v>
      </c>
      <c r="C57" s="18"/>
      <c r="D57" s="19" t="s">
        <v>93</v>
      </c>
      <c r="E57" s="1" t="s">
        <v>59</v>
      </c>
      <c r="F57" s="20" t="s">
        <v>322</v>
      </c>
      <c r="G57">
        <f t="shared" si="7"/>
        <v>150</v>
      </c>
      <c r="H57">
        <f t="shared" si="8"/>
        <v>300</v>
      </c>
      <c r="I57">
        <f t="shared" si="9"/>
        <v>150</v>
      </c>
      <c r="J57">
        <f t="shared" si="10"/>
        <v>652.16999999999996</v>
      </c>
      <c r="K57">
        <f t="shared" si="11"/>
        <v>117.39059999999999</v>
      </c>
      <c r="L57">
        <f t="shared" si="12"/>
        <v>70.89</v>
      </c>
      <c r="M57">
        <f t="shared" si="13"/>
        <v>250</v>
      </c>
    </row>
    <row r="58" spans="1:13" ht="15" customHeight="1" x14ac:dyDescent="0.3">
      <c r="A58" s="21" t="s">
        <v>221</v>
      </c>
      <c r="B58" s="22" t="s">
        <v>325</v>
      </c>
      <c r="C58" s="23"/>
      <c r="D58" s="24" t="s">
        <v>93</v>
      </c>
      <c r="E58" s="1" t="s">
        <v>59</v>
      </c>
      <c r="F58" s="20" t="s">
        <v>225</v>
      </c>
      <c r="G58">
        <f t="shared" si="7"/>
        <v>125</v>
      </c>
      <c r="H58">
        <f t="shared" si="8"/>
        <v>62.5</v>
      </c>
      <c r="I58">
        <f t="shared" si="9"/>
        <v>37.5</v>
      </c>
      <c r="J58">
        <f t="shared" si="10"/>
        <v>135.87</v>
      </c>
      <c r="K58">
        <f t="shared" si="11"/>
        <v>24.456600000000002</v>
      </c>
      <c r="L58">
        <f t="shared" si="12"/>
        <v>218.57</v>
      </c>
      <c r="M58">
        <f t="shared" si="13"/>
        <v>62.5</v>
      </c>
    </row>
    <row r="59" spans="1:13" ht="15" customHeight="1" x14ac:dyDescent="0.3">
      <c r="A59" s="16" t="s">
        <v>221</v>
      </c>
      <c r="B59" s="17" t="s">
        <v>326</v>
      </c>
      <c r="C59" s="18"/>
      <c r="D59" s="19" t="s">
        <v>93</v>
      </c>
      <c r="E59" s="1" t="s">
        <v>59</v>
      </c>
      <c r="F59" s="20" t="s">
        <v>227</v>
      </c>
      <c r="G59">
        <f t="shared" si="7"/>
        <v>50</v>
      </c>
      <c r="H59">
        <f t="shared" si="8"/>
        <v>62.5</v>
      </c>
      <c r="I59">
        <f t="shared" si="9"/>
        <v>37.5</v>
      </c>
      <c r="J59">
        <f t="shared" si="10"/>
        <v>135.87</v>
      </c>
      <c r="K59">
        <f t="shared" si="11"/>
        <v>24.456600000000002</v>
      </c>
      <c r="L59">
        <f t="shared" si="12"/>
        <v>55.53</v>
      </c>
      <c r="M59">
        <f t="shared" si="13"/>
        <v>62.5</v>
      </c>
    </row>
    <row r="60" spans="1:13" ht="15" customHeight="1" x14ac:dyDescent="0.3">
      <c r="A60" s="21" t="s">
        <v>221</v>
      </c>
      <c r="B60" s="22" t="s">
        <v>232</v>
      </c>
      <c r="C60" s="23"/>
      <c r="D60" s="24" t="s">
        <v>93</v>
      </c>
      <c r="E60" s="1" t="s">
        <v>59</v>
      </c>
      <c r="F60" s="20" t="s">
        <v>233</v>
      </c>
      <c r="G60">
        <f t="shared" si="7"/>
        <v>125</v>
      </c>
      <c r="H60">
        <f t="shared" si="8"/>
        <v>156.25</v>
      </c>
      <c r="I60">
        <f t="shared" si="9"/>
        <v>31.25</v>
      </c>
      <c r="J60">
        <f t="shared" si="10"/>
        <v>339.67</v>
      </c>
      <c r="K60">
        <f t="shared" si="11"/>
        <v>61.140599999999999</v>
      </c>
      <c r="L60">
        <f t="shared" si="12"/>
        <v>138.82</v>
      </c>
      <c r="M60">
        <f t="shared" si="13"/>
        <v>52.08</v>
      </c>
    </row>
    <row r="61" spans="1:13" ht="15" customHeight="1" x14ac:dyDescent="0.3">
      <c r="A61" s="16" t="s">
        <v>221</v>
      </c>
      <c r="B61" s="17" t="s">
        <v>234</v>
      </c>
      <c r="C61" s="18"/>
      <c r="D61" s="19" t="s">
        <v>93</v>
      </c>
      <c r="E61" s="1" t="s">
        <v>59</v>
      </c>
      <c r="F61" s="20" t="s">
        <v>235</v>
      </c>
      <c r="G61">
        <f t="shared" si="7"/>
        <v>125</v>
      </c>
      <c r="H61">
        <f t="shared" si="8"/>
        <v>125</v>
      </c>
      <c r="I61">
        <f t="shared" si="9"/>
        <v>62.5</v>
      </c>
      <c r="J61">
        <f t="shared" si="10"/>
        <v>271.74</v>
      </c>
      <c r="K61">
        <f t="shared" si="11"/>
        <v>48.913200000000003</v>
      </c>
      <c r="L61">
        <f t="shared" si="12"/>
        <v>165.41</v>
      </c>
      <c r="M61">
        <f t="shared" si="13"/>
        <v>104.17</v>
      </c>
    </row>
    <row r="62" spans="1:13" ht="15" customHeight="1" x14ac:dyDescent="0.3">
      <c r="A62" s="21" t="s">
        <v>221</v>
      </c>
      <c r="B62" s="22" t="s">
        <v>246</v>
      </c>
      <c r="C62" s="23"/>
      <c r="D62" s="24" t="s">
        <v>93</v>
      </c>
      <c r="E62" s="1" t="s">
        <v>59</v>
      </c>
      <c r="F62" s="20" t="s">
        <v>247</v>
      </c>
      <c r="G62">
        <f t="shared" si="7"/>
        <v>200</v>
      </c>
      <c r="H62">
        <f t="shared" si="8"/>
        <v>75</v>
      </c>
      <c r="I62">
        <f t="shared" si="9"/>
        <v>37.5</v>
      </c>
      <c r="J62">
        <f t="shared" si="10"/>
        <v>163.04</v>
      </c>
      <c r="K62">
        <f t="shared" si="11"/>
        <v>29.347199999999997</v>
      </c>
      <c r="L62">
        <f t="shared" si="12"/>
        <v>370.98</v>
      </c>
      <c r="M62">
        <f t="shared" si="13"/>
        <v>62.5</v>
      </c>
    </row>
    <row r="63" spans="1:13" ht="15" customHeight="1" x14ac:dyDescent="0.3">
      <c r="A63" s="16" t="s">
        <v>221</v>
      </c>
      <c r="B63" s="17" t="s">
        <v>544</v>
      </c>
      <c r="C63" s="18"/>
      <c r="D63" s="19" t="s">
        <v>93</v>
      </c>
      <c r="E63" s="1" t="s">
        <v>59</v>
      </c>
      <c r="F63" s="20" t="s">
        <v>545</v>
      </c>
      <c r="G63">
        <f t="shared" si="7"/>
        <v>187.5</v>
      </c>
      <c r="H63">
        <f t="shared" si="8"/>
        <v>93.75</v>
      </c>
      <c r="I63">
        <f t="shared" si="9"/>
        <v>125</v>
      </c>
      <c r="J63">
        <f t="shared" si="10"/>
        <v>203.8</v>
      </c>
      <c r="K63">
        <f t="shared" si="11"/>
        <v>36.683999999999997</v>
      </c>
      <c r="L63">
        <f t="shared" si="12"/>
        <v>327.86</v>
      </c>
      <c r="M63">
        <f t="shared" si="13"/>
        <v>208.33</v>
      </c>
    </row>
    <row r="64" spans="1:13" ht="15" customHeight="1" x14ac:dyDescent="0.3">
      <c r="A64" s="21" t="s">
        <v>221</v>
      </c>
      <c r="B64" s="22" t="s">
        <v>236</v>
      </c>
      <c r="C64" s="23"/>
      <c r="D64" s="24" t="s">
        <v>93</v>
      </c>
      <c r="E64" s="1" t="s">
        <v>59</v>
      </c>
      <c r="F64" s="20" t="s">
        <v>237</v>
      </c>
      <c r="G64">
        <f t="shared" si="7"/>
        <v>62.5</v>
      </c>
      <c r="H64">
        <f t="shared" si="8"/>
        <v>62.5</v>
      </c>
      <c r="I64">
        <f t="shared" si="9"/>
        <v>62.5</v>
      </c>
      <c r="J64">
        <f t="shared" si="10"/>
        <v>135.87</v>
      </c>
      <c r="K64">
        <f t="shared" si="11"/>
        <v>24.456600000000002</v>
      </c>
      <c r="L64">
        <f t="shared" si="12"/>
        <v>82.7</v>
      </c>
      <c r="M64">
        <f t="shared" si="13"/>
        <v>104.17</v>
      </c>
    </row>
    <row r="65" spans="1:13" ht="15" customHeight="1" x14ac:dyDescent="0.3">
      <c r="A65" s="16" t="s">
        <v>221</v>
      </c>
      <c r="B65" s="17" t="s">
        <v>238</v>
      </c>
      <c r="C65" s="18"/>
      <c r="D65" s="19" t="s">
        <v>93</v>
      </c>
      <c r="E65" s="1" t="s">
        <v>59</v>
      </c>
      <c r="F65" s="20" t="s">
        <v>239</v>
      </c>
      <c r="G65">
        <f t="shared" si="7"/>
        <v>150</v>
      </c>
      <c r="H65">
        <f t="shared" si="8"/>
        <v>75</v>
      </c>
      <c r="I65">
        <f t="shared" si="9"/>
        <v>75</v>
      </c>
      <c r="J65">
        <f t="shared" si="10"/>
        <v>163.04</v>
      </c>
      <c r="K65">
        <f t="shared" si="11"/>
        <v>29.347199999999997</v>
      </c>
      <c r="L65">
        <f t="shared" si="12"/>
        <v>262.29000000000002</v>
      </c>
      <c r="M65">
        <f t="shared" si="13"/>
        <v>125</v>
      </c>
    </row>
    <row r="66" spans="1:13" ht="15" customHeight="1" x14ac:dyDescent="0.3">
      <c r="A66" s="21" t="s">
        <v>221</v>
      </c>
      <c r="B66" s="22" t="s">
        <v>240</v>
      </c>
      <c r="C66" s="23"/>
      <c r="D66" s="24" t="s">
        <v>93</v>
      </c>
      <c r="E66" s="1" t="s">
        <v>59</v>
      </c>
      <c r="F66" s="20" t="s">
        <v>241</v>
      </c>
      <c r="G66">
        <f t="shared" si="7"/>
        <v>7.5</v>
      </c>
      <c r="H66">
        <f t="shared" si="8"/>
        <v>15</v>
      </c>
      <c r="I66">
        <f t="shared" si="9"/>
        <v>15</v>
      </c>
      <c r="J66">
        <f t="shared" si="10"/>
        <v>32.61</v>
      </c>
      <c r="K66">
        <f t="shared" si="11"/>
        <v>5.8697999999999997</v>
      </c>
      <c r="L66">
        <f t="shared" si="12"/>
        <v>3.54</v>
      </c>
      <c r="M66">
        <f t="shared" si="13"/>
        <v>25</v>
      </c>
    </row>
    <row r="67" spans="1:13" ht="15" customHeight="1" x14ac:dyDescent="0.3">
      <c r="A67" s="16" t="s">
        <v>221</v>
      </c>
      <c r="B67" s="17" t="s">
        <v>243</v>
      </c>
      <c r="C67" s="18"/>
      <c r="D67" s="19" t="s">
        <v>93</v>
      </c>
      <c r="E67" s="1" t="s">
        <v>59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  <row r="68" spans="1:13" ht="15" customHeight="1" x14ac:dyDescent="0.3">
      <c r="A68" s="21" t="s">
        <v>221</v>
      </c>
      <c r="B68" s="22" t="s">
        <v>331</v>
      </c>
      <c r="C68" s="23"/>
      <c r="D68" s="24" t="s">
        <v>93</v>
      </c>
      <c r="E68" s="1" t="s">
        <v>59</v>
      </c>
      <c r="F68" s="20" t="s">
        <v>332</v>
      </c>
      <c r="G68">
        <f t="shared" si="7"/>
        <v>168.75</v>
      </c>
      <c r="H68">
        <f t="shared" si="8"/>
        <v>168.75</v>
      </c>
      <c r="I68">
        <f t="shared" si="9"/>
        <v>168.75</v>
      </c>
      <c r="J68">
        <f t="shared" si="10"/>
        <v>366.85</v>
      </c>
      <c r="K68">
        <f t="shared" si="11"/>
        <v>66.033000000000001</v>
      </c>
      <c r="L68">
        <f t="shared" si="12"/>
        <v>223.3</v>
      </c>
      <c r="M68">
        <f t="shared" si="13"/>
        <v>281.25</v>
      </c>
    </row>
    <row r="69" spans="1:13" ht="15" customHeight="1" x14ac:dyDescent="0.3">
      <c r="A69" s="16" t="s">
        <v>221</v>
      </c>
      <c r="B69" s="17" t="s">
        <v>244</v>
      </c>
      <c r="C69" s="18"/>
      <c r="D69" s="19" t="s">
        <v>93</v>
      </c>
      <c r="E69" s="1" t="s">
        <v>59</v>
      </c>
      <c r="F69" s="20" t="s">
        <v>241</v>
      </c>
      <c r="G69">
        <f t="shared" si="7"/>
        <v>7.5</v>
      </c>
      <c r="H69">
        <f t="shared" si="8"/>
        <v>15</v>
      </c>
      <c r="I69">
        <f t="shared" si="9"/>
        <v>15</v>
      </c>
      <c r="J69">
        <f t="shared" si="10"/>
        <v>32.61</v>
      </c>
      <c r="K69">
        <f t="shared" si="11"/>
        <v>5.8697999999999997</v>
      </c>
      <c r="L69">
        <f t="shared" si="12"/>
        <v>3.54</v>
      </c>
      <c r="M69">
        <f t="shared" si="13"/>
        <v>25</v>
      </c>
    </row>
    <row r="70" spans="1:13" ht="15" customHeight="1" x14ac:dyDescent="0.3">
      <c r="A70" s="21" t="s">
        <v>221</v>
      </c>
      <c r="B70" s="22" t="s">
        <v>391</v>
      </c>
      <c r="C70" s="23"/>
      <c r="D70" s="24" t="s">
        <v>93</v>
      </c>
      <c r="E70" s="1" t="s">
        <v>59</v>
      </c>
      <c r="F70" s="20" t="s">
        <v>249</v>
      </c>
      <c r="G70">
        <f t="shared" si="7"/>
        <v>125</v>
      </c>
      <c r="H70">
        <f t="shared" si="8"/>
        <v>62.5</v>
      </c>
      <c r="I70">
        <f t="shared" si="9"/>
        <v>62.5</v>
      </c>
      <c r="J70">
        <f t="shared" si="10"/>
        <v>135.87</v>
      </c>
      <c r="K70">
        <f t="shared" si="11"/>
        <v>24.456600000000002</v>
      </c>
      <c r="L70">
        <f t="shared" si="12"/>
        <v>218.57</v>
      </c>
      <c r="M70">
        <f t="shared" si="13"/>
        <v>104.17</v>
      </c>
    </row>
    <row r="71" spans="1:13" ht="15" customHeight="1" x14ac:dyDescent="0.3">
      <c r="A71" s="16" t="s">
        <v>221</v>
      </c>
      <c r="B71" s="17" t="s">
        <v>228</v>
      </c>
      <c r="C71" s="18"/>
      <c r="D71" s="19" t="s">
        <v>93</v>
      </c>
      <c r="E71" s="1" t="s">
        <v>59</v>
      </c>
      <c r="F71" s="20" t="s">
        <v>229</v>
      </c>
      <c r="G71">
        <f t="shared" ref="G71:G106" si="14">IF($F71="","",IFERROR(VALUE(TRIM(LEFT($F71,FIND(":",$F71)-1)))*1.25,"N/A"))</f>
        <v>150</v>
      </c>
      <c r="H71">
        <f t="shared" ref="H71:H106" si="15">IF($F71="","",IFERROR(VALUE(TRIM(MID($F71,FIND(":",$F71)+1,FIND(":",$F71,FIND(":",$F71)+1)-FIND(":",$F71)-1)))*1.25,"N/A"))</f>
        <v>75</v>
      </c>
      <c r="I71">
        <f t="shared" ref="I71:I106" si="16">IF($F71="","",IFERROR(VALUE(TRIM(LEFT(MID($F71,FIND(":",$F71,FIND(":",$F71)+1)+1,LEN($F71)),FIND(" ",MID($F71,FIND(":",$F71,FIND(":",$F71)+1)+1,LEN($F71))&amp;" ")-1)))*1.25,"N/A"))</f>
        <v>37.5</v>
      </c>
      <c r="J71">
        <f t="shared" ref="J71:J106" si="17">IF(OR($F71="",$H71="N/A"),IF($F71="","","N/A"),ROUND($H71/0.46,2))</f>
        <v>163.04</v>
      </c>
      <c r="K71">
        <f t="shared" ref="K71:K106" si="18">IF(OR($F71="",$J71="N/A"),IF($F71="","","N/A"),$J71*0.18)</f>
        <v>29.347199999999997</v>
      </c>
      <c r="L71">
        <f t="shared" ref="L71:L106" si="19">IF(OR($F71="",$G71="N/A",$K71="N/A"),IF($F71="","","N/A"),ROUND(($G71-$K71)/0.46,2))</f>
        <v>262.29000000000002</v>
      </c>
      <c r="M71">
        <f t="shared" ref="M71:M106" si="20">IF(OR($F71="",$I71="N/A"),IF($F71="","","N/A"),ROUND($I71/0.6,2))</f>
        <v>62.5</v>
      </c>
    </row>
    <row r="72" spans="1:13" ht="18" customHeight="1" x14ac:dyDescent="0.3">
      <c r="A72" s="25" t="s">
        <v>252</v>
      </c>
      <c r="B72" s="25"/>
      <c r="C72" s="25"/>
      <c r="G72" t="str">
        <f t="shared" si="14"/>
        <v/>
      </c>
      <c r="H72" t="str">
        <f t="shared" si="15"/>
        <v/>
      </c>
      <c r="I72" t="str">
        <f t="shared" si="16"/>
        <v/>
      </c>
      <c r="J72" t="str">
        <f t="shared" si="17"/>
        <v/>
      </c>
      <c r="K72" t="str">
        <f t="shared" si="18"/>
        <v/>
      </c>
      <c r="L72" t="str">
        <f t="shared" si="19"/>
        <v/>
      </c>
      <c r="M72" t="str">
        <f t="shared" si="20"/>
        <v/>
      </c>
    </row>
    <row r="73" spans="1:13" ht="15" customHeight="1" x14ac:dyDescent="0.3">
      <c r="A73" s="21" t="s">
        <v>253</v>
      </c>
      <c r="B73" s="22" t="s">
        <v>259</v>
      </c>
      <c r="C73" s="23"/>
      <c r="D73" s="24" t="s">
        <v>93</v>
      </c>
      <c r="E73" s="1" t="s">
        <v>59</v>
      </c>
      <c r="F73" s="20" t="s">
        <v>260</v>
      </c>
      <c r="G73">
        <f t="shared" si="14"/>
        <v>125</v>
      </c>
      <c r="H73">
        <f t="shared" si="15"/>
        <v>50</v>
      </c>
      <c r="I73">
        <f t="shared" si="16"/>
        <v>175</v>
      </c>
      <c r="J73">
        <f t="shared" si="17"/>
        <v>108.7</v>
      </c>
      <c r="K73">
        <f t="shared" si="18"/>
        <v>19.565999999999999</v>
      </c>
      <c r="L73">
        <f t="shared" si="19"/>
        <v>229.2</v>
      </c>
      <c r="M73">
        <f t="shared" si="20"/>
        <v>291.67</v>
      </c>
    </row>
    <row r="74" spans="1:13" ht="15" customHeight="1" x14ac:dyDescent="0.3">
      <c r="A74" s="16" t="s">
        <v>253</v>
      </c>
      <c r="B74" s="17" t="s">
        <v>337</v>
      </c>
      <c r="C74" s="18"/>
      <c r="D74" s="19" t="s">
        <v>93</v>
      </c>
      <c r="E74" s="1" t="s">
        <v>59</v>
      </c>
      <c r="F74" s="20" t="s">
        <v>338</v>
      </c>
      <c r="G74">
        <f t="shared" si="14"/>
        <v>93.75</v>
      </c>
      <c r="H74">
        <f t="shared" si="15"/>
        <v>93.75</v>
      </c>
      <c r="I74">
        <f t="shared" si="16"/>
        <v>187.5</v>
      </c>
      <c r="J74">
        <f t="shared" si="17"/>
        <v>203.8</v>
      </c>
      <c r="K74">
        <f t="shared" si="18"/>
        <v>36.683999999999997</v>
      </c>
      <c r="L74">
        <f t="shared" si="19"/>
        <v>124.06</v>
      </c>
      <c r="M74">
        <f t="shared" si="20"/>
        <v>312.5</v>
      </c>
    </row>
    <row r="75" spans="1:13" ht="15" customHeight="1" x14ac:dyDescent="0.3">
      <c r="A75" s="21" t="s">
        <v>253</v>
      </c>
      <c r="B75" s="22" t="s">
        <v>546</v>
      </c>
      <c r="C75" s="23"/>
      <c r="D75" s="24" t="s">
        <v>93</v>
      </c>
      <c r="E75" s="1" t="s">
        <v>59</v>
      </c>
      <c r="F75" s="20" t="s">
        <v>345</v>
      </c>
      <c r="G75">
        <f t="shared" si="14"/>
        <v>168.75</v>
      </c>
      <c r="H75">
        <f t="shared" si="15"/>
        <v>42.5</v>
      </c>
      <c r="I75">
        <f t="shared" si="16"/>
        <v>181.25</v>
      </c>
      <c r="J75">
        <f t="shared" si="17"/>
        <v>92.39</v>
      </c>
      <c r="K75">
        <f t="shared" si="18"/>
        <v>16.630199999999999</v>
      </c>
      <c r="L75">
        <f t="shared" si="19"/>
        <v>330.7</v>
      </c>
      <c r="M75">
        <f t="shared" si="20"/>
        <v>302.08</v>
      </c>
    </row>
    <row r="76" spans="1:13" ht="15" customHeight="1" x14ac:dyDescent="0.3">
      <c r="A76" s="16" t="s">
        <v>253</v>
      </c>
      <c r="B76" s="17" t="s">
        <v>323</v>
      </c>
      <c r="C76" s="18"/>
      <c r="D76" s="19" t="s">
        <v>93</v>
      </c>
      <c r="E76" s="1" t="s">
        <v>59</v>
      </c>
      <c r="F76" s="20" t="s">
        <v>324</v>
      </c>
      <c r="G76">
        <f t="shared" si="14"/>
        <v>93.75</v>
      </c>
      <c r="H76">
        <f t="shared" si="15"/>
        <v>62.5</v>
      </c>
      <c r="I76">
        <f t="shared" si="16"/>
        <v>62.5</v>
      </c>
      <c r="J76">
        <f t="shared" si="17"/>
        <v>135.87</v>
      </c>
      <c r="K76">
        <f t="shared" si="18"/>
        <v>24.456600000000002</v>
      </c>
      <c r="L76">
        <f t="shared" si="19"/>
        <v>150.63999999999999</v>
      </c>
      <c r="M76">
        <f t="shared" si="20"/>
        <v>104.17</v>
      </c>
    </row>
    <row r="77" spans="1:13" ht="15" customHeight="1" x14ac:dyDescent="0.3">
      <c r="A77" s="21" t="s">
        <v>253</v>
      </c>
      <c r="B77" s="22" t="s">
        <v>255</v>
      </c>
      <c r="C77" s="23"/>
      <c r="D77" s="24" t="s">
        <v>93</v>
      </c>
      <c r="E77" s="1" t="s">
        <v>59</v>
      </c>
      <c r="F77" s="20" t="s">
        <v>256</v>
      </c>
      <c r="G77">
        <f t="shared" si="14"/>
        <v>31.25</v>
      </c>
      <c r="H77">
        <f t="shared" si="15"/>
        <v>75</v>
      </c>
      <c r="I77">
        <f t="shared" si="16"/>
        <v>22.5</v>
      </c>
      <c r="J77">
        <f t="shared" si="17"/>
        <v>163.04</v>
      </c>
      <c r="K77">
        <f t="shared" si="18"/>
        <v>29.347199999999997</v>
      </c>
      <c r="L77">
        <f t="shared" si="19"/>
        <v>4.1399999999999997</v>
      </c>
      <c r="M77">
        <f t="shared" si="20"/>
        <v>37.5</v>
      </c>
    </row>
    <row r="78" spans="1:13" ht="15" customHeight="1" x14ac:dyDescent="0.3">
      <c r="A78" s="16" t="s">
        <v>253</v>
      </c>
      <c r="B78" s="17" t="s">
        <v>547</v>
      </c>
      <c r="C78" s="18"/>
      <c r="D78" s="19" t="s">
        <v>93</v>
      </c>
      <c r="E78" s="1" t="s">
        <v>59</v>
      </c>
      <c r="F78" s="20" t="s">
        <v>548</v>
      </c>
      <c r="G78">
        <f t="shared" si="14"/>
        <v>62.5</v>
      </c>
      <c r="H78">
        <f t="shared" si="15"/>
        <v>31.25</v>
      </c>
      <c r="I78">
        <f t="shared" si="16"/>
        <v>100</v>
      </c>
      <c r="J78">
        <f t="shared" si="17"/>
        <v>67.930000000000007</v>
      </c>
      <c r="K78">
        <f t="shared" si="18"/>
        <v>12.227400000000001</v>
      </c>
      <c r="L78">
        <f t="shared" si="19"/>
        <v>109.29</v>
      </c>
      <c r="M78">
        <f t="shared" si="20"/>
        <v>166.67</v>
      </c>
    </row>
    <row r="79" spans="1:13" ht="15" customHeight="1" x14ac:dyDescent="0.3">
      <c r="A79" s="21" t="s">
        <v>253</v>
      </c>
      <c r="B79" s="22" t="s">
        <v>549</v>
      </c>
      <c r="C79" s="23"/>
      <c r="D79" s="24" t="s">
        <v>93</v>
      </c>
      <c r="E79" s="1" t="s">
        <v>59</v>
      </c>
      <c r="F79" s="20" t="s">
        <v>229</v>
      </c>
      <c r="G79">
        <f t="shared" si="14"/>
        <v>150</v>
      </c>
      <c r="H79">
        <f t="shared" si="15"/>
        <v>75</v>
      </c>
      <c r="I79">
        <f t="shared" si="16"/>
        <v>37.5</v>
      </c>
      <c r="J79">
        <f t="shared" si="17"/>
        <v>163.04</v>
      </c>
      <c r="K79">
        <f t="shared" si="18"/>
        <v>29.347199999999997</v>
      </c>
      <c r="L79">
        <f t="shared" si="19"/>
        <v>262.29000000000002</v>
      </c>
      <c r="M79">
        <f t="shared" si="20"/>
        <v>62.5</v>
      </c>
    </row>
    <row r="80" spans="1:13" ht="15" customHeight="1" x14ac:dyDescent="0.3">
      <c r="A80" s="16" t="s">
        <v>253</v>
      </c>
      <c r="B80" s="17" t="s">
        <v>365</v>
      </c>
      <c r="C80" s="18"/>
      <c r="D80" s="19" t="s">
        <v>93</v>
      </c>
      <c r="E80" s="1" t="s">
        <v>59</v>
      </c>
      <c r="F80" s="20" t="s">
        <v>366</v>
      </c>
      <c r="G80">
        <f t="shared" si="14"/>
        <v>93.75</v>
      </c>
      <c r="H80">
        <f t="shared" si="15"/>
        <v>93.75</v>
      </c>
      <c r="I80">
        <f t="shared" si="16"/>
        <v>93.75</v>
      </c>
      <c r="J80">
        <f t="shared" si="17"/>
        <v>203.8</v>
      </c>
      <c r="K80">
        <f t="shared" si="18"/>
        <v>36.683999999999997</v>
      </c>
      <c r="L80">
        <f t="shared" si="19"/>
        <v>124.06</v>
      </c>
      <c r="M80">
        <f t="shared" si="20"/>
        <v>156.25</v>
      </c>
    </row>
    <row r="81" spans="1:13" ht="15" customHeight="1" x14ac:dyDescent="0.3">
      <c r="A81" s="21" t="s">
        <v>253</v>
      </c>
      <c r="B81" s="22" t="s">
        <v>257</v>
      </c>
      <c r="C81" s="23"/>
      <c r="D81" s="24" t="s">
        <v>93</v>
      </c>
      <c r="E81" s="1" t="s">
        <v>59</v>
      </c>
      <c r="F81" s="20" t="s">
        <v>160</v>
      </c>
      <c r="G81">
        <f t="shared" si="14"/>
        <v>25</v>
      </c>
      <c r="H81">
        <f t="shared" si="15"/>
        <v>50</v>
      </c>
      <c r="I81">
        <f t="shared" si="16"/>
        <v>25</v>
      </c>
      <c r="J81">
        <f t="shared" si="17"/>
        <v>108.7</v>
      </c>
      <c r="K81">
        <f t="shared" si="18"/>
        <v>19.565999999999999</v>
      </c>
      <c r="L81">
        <f t="shared" si="19"/>
        <v>11.81</v>
      </c>
      <c r="M81">
        <f t="shared" si="20"/>
        <v>41.67</v>
      </c>
    </row>
    <row r="82" spans="1:13" ht="15" customHeight="1" x14ac:dyDescent="0.3">
      <c r="A82" s="16" t="s">
        <v>253</v>
      </c>
      <c r="B82" s="17" t="s">
        <v>419</v>
      </c>
      <c r="C82" s="18"/>
      <c r="D82" s="19" t="s">
        <v>93</v>
      </c>
      <c r="E82" s="1" t="s">
        <v>59</v>
      </c>
      <c r="F82" s="20" t="s">
        <v>420</v>
      </c>
      <c r="G82">
        <f t="shared" si="14"/>
        <v>375</v>
      </c>
      <c r="H82">
        <f t="shared" si="15"/>
        <v>375</v>
      </c>
      <c r="I82">
        <f t="shared" si="16"/>
        <v>1200</v>
      </c>
      <c r="J82">
        <f t="shared" si="17"/>
        <v>815.22</v>
      </c>
      <c r="K82">
        <f t="shared" si="18"/>
        <v>146.7396</v>
      </c>
      <c r="L82">
        <f t="shared" si="19"/>
        <v>496.22</v>
      </c>
      <c r="M82">
        <f t="shared" si="20"/>
        <v>2000</v>
      </c>
    </row>
    <row r="83" spans="1:13" ht="15" customHeight="1" x14ac:dyDescent="0.3">
      <c r="A83" s="21" t="s">
        <v>253</v>
      </c>
      <c r="B83" s="22" t="s">
        <v>421</v>
      </c>
      <c r="C83" s="23"/>
      <c r="D83" s="24" t="s">
        <v>93</v>
      </c>
      <c r="E83" s="1" t="s">
        <v>59</v>
      </c>
      <c r="F83" s="20" t="s">
        <v>420</v>
      </c>
      <c r="G83">
        <f t="shared" si="14"/>
        <v>375</v>
      </c>
      <c r="H83">
        <f t="shared" si="15"/>
        <v>375</v>
      </c>
      <c r="I83">
        <f t="shared" si="16"/>
        <v>1200</v>
      </c>
      <c r="J83">
        <f t="shared" si="17"/>
        <v>815.22</v>
      </c>
      <c r="K83">
        <f t="shared" si="18"/>
        <v>146.7396</v>
      </c>
      <c r="L83">
        <f t="shared" si="19"/>
        <v>496.22</v>
      </c>
      <c r="M83">
        <f t="shared" si="20"/>
        <v>2000</v>
      </c>
    </row>
    <row r="84" spans="1:13" ht="15" customHeight="1" x14ac:dyDescent="0.3">
      <c r="A84" s="16" t="s">
        <v>253</v>
      </c>
      <c r="B84" s="17" t="s">
        <v>340</v>
      </c>
      <c r="C84" s="18"/>
      <c r="D84" s="19" t="s">
        <v>93</v>
      </c>
      <c r="E84" s="1" t="s">
        <v>59</v>
      </c>
      <c r="F84" s="20" t="s">
        <v>341</v>
      </c>
      <c r="G84">
        <f t="shared" si="14"/>
        <v>250</v>
      </c>
      <c r="H84">
        <f t="shared" si="15"/>
        <v>225</v>
      </c>
      <c r="I84">
        <f t="shared" si="16"/>
        <v>312.5</v>
      </c>
      <c r="J84">
        <f t="shared" si="17"/>
        <v>489.13</v>
      </c>
      <c r="K84">
        <f t="shared" si="18"/>
        <v>88.043399999999991</v>
      </c>
      <c r="L84">
        <f t="shared" si="19"/>
        <v>352.08</v>
      </c>
      <c r="M84">
        <f t="shared" si="20"/>
        <v>520.83000000000004</v>
      </c>
    </row>
    <row r="85" spans="1:13" ht="15" customHeight="1" x14ac:dyDescent="0.3">
      <c r="A85" s="21" t="s">
        <v>253</v>
      </c>
      <c r="B85" s="22" t="s">
        <v>210</v>
      </c>
      <c r="C85" s="23"/>
      <c r="D85" s="24" t="s">
        <v>93</v>
      </c>
      <c r="E85" s="1" t="s">
        <v>59</v>
      </c>
      <c r="F85" s="20" t="s">
        <v>211</v>
      </c>
      <c r="G85">
        <f t="shared" si="14"/>
        <v>93.75</v>
      </c>
      <c r="H85">
        <f t="shared" si="15"/>
        <v>75</v>
      </c>
      <c r="I85">
        <f t="shared" si="16"/>
        <v>62.5</v>
      </c>
      <c r="J85">
        <f t="shared" si="17"/>
        <v>163.04</v>
      </c>
      <c r="K85">
        <f t="shared" si="18"/>
        <v>29.347199999999997</v>
      </c>
      <c r="L85">
        <f t="shared" si="19"/>
        <v>140.01</v>
      </c>
      <c r="M85">
        <f t="shared" si="20"/>
        <v>104.17</v>
      </c>
    </row>
    <row r="86" spans="1:13" ht="18" customHeight="1" x14ac:dyDescent="0.3">
      <c r="A86" s="25" t="s">
        <v>263</v>
      </c>
      <c r="B86" s="25"/>
      <c r="C86" s="25"/>
      <c r="G86" t="str">
        <f t="shared" si="14"/>
        <v/>
      </c>
      <c r="H86" t="str">
        <f t="shared" si="15"/>
        <v/>
      </c>
      <c r="I86" t="str">
        <f t="shared" si="16"/>
        <v/>
      </c>
      <c r="J86" t="str">
        <f t="shared" si="17"/>
        <v/>
      </c>
      <c r="K86" t="str">
        <f t="shared" si="18"/>
        <v/>
      </c>
      <c r="L86" t="str">
        <f t="shared" si="19"/>
        <v/>
      </c>
      <c r="M86" t="str">
        <f t="shared" si="20"/>
        <v/>
      </c>
    </row>
    <row r="87" spans="1:13" ht="15" customHeight="1" x14ac:dyDescent="0.3">
      <c r="A87" s="16" t="s">
        <v>264</v>
      </c>
      <c r="B87" s="17" t="s">
        <v>550</v>
      </c>
      <c r="C87" s="18"/>
      <c r="D87" s="19" t="s">
        <v>93</v>
      </c>
      <c r="E87" s="1" t="s">
        <v>59</v>
      </c>
      <c r="F87" s="20" t="s">
        <v>345</v>
      </c>
      <c r="G87">
        <f t="shared" si="14"/>
        <v>168.75</v>
      </c>
      <c r="H87">
        <f t="shared" si="15"/>
        <v>42.5</v>
      </c>
      <c r="I87">
        <f t="shared" si="16"/>
        <v>181.25</v>
      </c>
      <c r="J87">
        <f t="shared" si="17"/>
        <v>92.39</v>
      </c>
      <c r="K87">
        <f t="shared" si="18"/>
        <v>16.630199999999999</v>
      </c>
      <c r="L87">
        <f t="shared" si="19"/>
        <v>330.7</v>
      </c>
      <c r="M87">
        <f t="shared" si="20"/>
        <v>302.08</v>
      </c>
    </row>
    <row r="88" spans="1:13" ht="15" customHeight="1" x14ac:dyDescent="0.3">
      <c r="A88" s="21" t="s">
        <v>264</v>
      </c>
      <c r="B88" s="22" t="s">
        <v>206</v>
      </c>
      <c r="C88" s="23"/>
      <c r="D88" s="24" t="s">
        <v>93</v>
      </c>
      <c r="E88" s="1" t="s">
        <v>59</v>
      </c>
      <c r="F88" s="20" t="s">
        <v>207</v>
      </c>
      <c r="G88">
        <f t="shared" si="14"/>
        <v>700</v>
      </c>
      <c r="H88">
        <f t="shared" si="15"/>
        <v>400</v>
      </c>
      <c r="I88">
        <f t="shared" si="16"/>
        <v>1500</v>
      </c>
      <c r="J88">
        <f t="shared" si="17"/>
        <v>869.57</v>
      </c>
      <c r="K88">
        <f t="shared" si="18"/>
        <v>156.52260000000001</v>
      </c>
      <c r="L88">
        <f t="shared" si="19"/>
        <v>1181.47</v>
      </c>
      <c r="M88">
        <f t="shared" si="20"/>
        <v>2500</v>
      </c>
    </row>
    <row r="89" spans="1:13" ht="15" customHeight="1" x14ac:dyDescent="0.3">
      <c r="A89" s="16" t="s">
        <v>264</v>
      </c>
      <c r="B89" s="17" t="s">
        <v>551</v>
      </c>
      <c r="C89" s="18"/>
      <c r="D89" s="19" t="s">
        <v>93</v>
      </c>
      <c r="E89" s="1" t="s">
        <v>59</v>
      </c>
      <c r="F89" s="20" t="s">
        <v>266</v>
      </c>
      <c r="G89">
        <f t="shared" si="14"/>
        <v>125</v>
      </c>
      <c r="H89">
        <f t="shared" si="15"/>
        <v>50</v>
      </c>
      <c r="I89">
        <f t="shared" si="16"/>
        <v>187.5</v>
      </c>
      <c r="J89">
        <f t="shared" si="17"/>
        <v>108.7</v>
      </c>
      <c r="K89">
        <f t="shared" si="18"/>
        <v>19.565999999999999</v>
      </c>
      <c r="L89">
        <f t="shared" si="19"/>
        <v>229.2</v>
      </c>
      <c r="M89">
        <f t="shared" si="20"/>
        <v>312.5</v>
      </c>
    </row>
    <row r="90" spans="1:13" ht="15" customHeight="1" x14ac:dyDescent="0.3">
      <c r="A90" s="21" t="s">
        <v>264</v>
      </c>
      <c r="B90" s="22" t="s">
        <v>212</v>
      </c>
      <c r="C90" s="23"/>
      <c r="D90" s="24" t="s">
        <v>93</v>
      </c>
      <c r="E90" s="1" t="s">
        <v>59</v>
      </c>
      <c r="F90" s="20" t="s">
        <v>213</v>
      </c>
      <c r="G90">
        <f t="shared" si="14"/>
        <v>625</v>
      </c>
      <c r="H90">
        <f t="shared" si="15"/>
        <v>250</v>
      </c>
      <c r="I90">
        <f t="shared" si="16"/>
        <v>375</v>
      </c>
      <c r="J90">
        <f t="shared" si="17"/>
        <v>543.48</v>
      </c>
      <c r="K90">
        <f t="shared" si="18"/>
        <v>97.826400000000007</v>
      </c>
      <c r="L90">
        <f t="shared" si="19"/>
        <v>1146.03</v>
      </c>
      <c r="M90">
        <f t="shared" si="20"/>
        <v>625</v>
      </c>
    </row>
    <row r="91" spans="1:13" ht="15" customHeight="1" x14ac:dyDescent="0.3">
      <c r="A91" s="16" t="s">
        <v>264</v>
      </c>
      <c r="B91" s="17" t="s">
        <v>296</v>
      </c>
      <c r="C91" s="18"/>
      <c r="D91" s="19" t="s">
        <v>93</v>
      </c>
      <c r="E91" s="1" t="s">
        <v>59</v>
      </c>
      <c r="F91" s="20" t="s">
        <v>268</v>
      </c>
      <c r="G91">
        <f t="shared" si="14"/>
        <v>15</v>
      </c>
      <c r="H91">
        <f t="shared" si="15"/>
        <v>7.5</v>
      </c>
      <c r="I91">
        <f t="shared" si="16"/>
        <v>7.5</v>
      </c>
      <c r="J91">
        <f t="shared" si="17"/>
        <v>16.3</v>
      </c>
      <c r="K91">
        <f t="shared" si="18"/>
        <v>2.9340000000000002</v>
      </c>
      <c r="L91">
        <f t="shared" si="19"/>
        <v>26.23</v>
      </c>
      <c r="M91">
        <f t="shared" si="20"/>
        <v>12.5</v>
      </c>
    </row>
    <row r="92" spans="1:13" ht="15" customHeight="1" x14ac:dyDescent="0.3">
      <c r="A92" s="21" t="s">
        <v>264</v>
      </c>
      <c r="B92" s="22" t="s">
        <v>191</v>
      </c>
      <c r="C92" s="23"/>
      <c r="D92" s="24" t="s">
        <v>93</v>
      </c>
      <c r="E92" s="1" t="s">
        <v>59</v>
      </c>
      <c r="F92" s="20" t="s">
        <v>192</v>
      </c>
      <c r="G92">
        <f t="shared" si="14"/>
        <v>137.5</v>
      </c>
      <c r="H92">
        <f t="shared" si="15"/>
        <v>43.75</v>
      </c>
      <c r="I92">
        <f t="shared" si="16"/>
        <v>412.5</v>
      </c>
      <c r="J92">
        <f t="shared" si="17"/>
        <v>95.11</v>
      </c>
      <c r="K92">
        <f t="shared" si="18"/>
        <v>17.119799999999998</v>
      </c>
      <c r="L92">
        <f t="shared" si="19"/>
        <v>261.7</v>
      </c>
      <c r="M92">
        <f t="shared" si="20"/>
        <v>687.5</v>
      </c>
    </row>
    <row r="93" spans="1:13" ht="15" customHeight="1" x14ac:dyDescent="0.3">
      <c r="A93" s="16" t="s">
        <v>264</v>
      </c>
      <c r="B93" s="17" t="s">
        <v>552</v>
      </c>
      <c r="C93" s="18"/>
      <c r="D93" s="19" t="s">
        <v>93</v>
      </c>
      <c r="E93" s="1" t="s">
        <v>59</v>
      </c>
      <c r="F93" s="20" t="s">
        <v>343</v>
      </c>
      <c r="G93">
        <f t="shared" si="14"/>
        <v>275</v>
      </c>
      <c r="H93">
        <f t="shared" si="15"/>
        <v>56.25</v>
      </c>
      <c r="I93">
        <f t="shared" si="16"/>
        <v>225</v>
      </c>
      <c r="J93">
        <f t="shared" si="17"/>
        <v>122.28</v>
      </c>
      <c r="K93">
        <f t="shared" si="18"/>
        <v>22.010400000000001</v>
      </c>
      <c r="L93">
        <f t="shared" si="19"/>
        <v>549.98</v>
      </c>
      <c r="M93">
        <f t="shared" si="20"/>
        <v>375</v>
      </c>
    </row>
    <row r="94" spans="1:13" ht="18" customHeight="1" x14ac:dyDescent="0.3">
      <c r="A94" s="25" t="s">
        <v>269</v>
      </c>
      <c r="B94" s="25"/>
      <c r="C94" s="25"/>
      <c r="G94" t="str">
        <f t="shared" si="14"/>
        <v/>
      </c>
      <c r="H94" t="str">
        <f t="shared" si="15"/>
        <v/>
      </c>
      <c r="I94" t="str">
        <f t="shared" si="16"/>
        <v/>
      </c>
      <c r="J94" t="str">
        <f t="shared" si="17"/>
        <v/>
      </c>
      <c r="K94" t="str">
        <f t="shared" si="18"/>
        <v/>
      </c>
      <c r="L94" t="str">
        <f t="shared" si="19"/>
        <v/>
      </c>
      <c r="M94" t="str">
        <f t="shared" si="20"/>
        <v/>
      </c>
    </row>
    <row r="95" spans="1:13" ht="15" customHeight="1" x14ac:dyDescent="0.3">
      <c r="A95" s="21" t="s">
        <v>270</v>
      </c>
      <c r="B95" s="22" t="s">
        <v>271</v>
      </c>
      <c r="C95" s="23"/>
      <c r="D95" s="24" t="s">
        <v>93</v>
      </c>
      <c r="E95" s="1" t="s">
        <v>59</v>
      </c>
      <c r="F95" s="20" t="s">
        <v>241</v>
      </c>
      <c r="G95">
        <f t="shared" si="14"/>
        <v>7.5</v>
      </c>
      <c r="H95">
        <f t="shared" si="15"/>
        <v>15</v>
      </c>
      <c r="I95">
        <f t="shared" si="16"/>
        <v>15</v>
      </c>
      <c r="J95">
        <f t="shared" si="17"/>
        <v>32.61</v>
      </c>
      <c r="K95">
        <f t="shared" si="18"/>
        <v>5.8697999999999997</v>
      </c>
      <c r="L95">
        <f t="shared" si="19"/>
        <v>3.54</v>
      </c>
      <c r="M95">
        <f t="shared" si="20"/>
        <v>25</v>
      </c>
    </row>
    <row r="96" spans="1:13" ht="15" customHeight="1" x14ac:dyDescent="0.3">
      <c r="A96" s="16" t="s">
        <v>270</v>
      </c>
      <c r="B96" s="17" t="s">
        <v>553</v>
      </c>
      <c r="C96" s="18"/>
      <c r="D96" s="19" t="s">
        <v>93</v>
      </c>
      <c r="E96" s="1" t="s">
        <v>59</v>
      </c>
      <c r="F96" s="20" t="s">
        <v>275</v>
      </c>
      <c r="G96">
        <f t="shared" si="14"/>
        <v>75</v>
      </c>
      <c r="H96">
        <f t="shared" si="15"/>
        <v>150</v>
      </c>
      <c r="I96">
        <f t="shared" si="16"/>
        <v>150</v>
      </c>
      <c r="J96">
        <f t="shared" si="17"/>
        <v>326.08999999999997</v>
      </c>
      <c r="K96">
        <f t="shared" si="18"/>
        <v>58.69619999999999</v>
      </c>
      <c r="L96">
        <f t="shared" si="19"/>
        <v>35.44</v>
      </c>
      <c r="M96">
        <f t="shared" si="20"/>
        <v>250</v>
      </c>
    </row>
    <row r="97" spans="1:13" ht="15" customHeight="1" x14ac:dyDescent="0.3">
      <c r="A97" s="21" t="s">
        <v>270</v>
      </c>
      <c r="B97" s="22" t="s">
        <v>272</v>
      </c>
      <c r="C97" s="23"/>
      <c r="D97" s="24" t="s">
        <v>93</v>
      </c>
      <c r="E97" s="1" t="s">
        <v>59</v>
      </c>
      <c r="F97" s="20" t="s">
        <v>273</v>
      </c>
      <c r="G97">
        <f t="shared" si="14"/>
        <v>112.5</v>
      </c>
      <c r="H97">
        <f t="shared" si="15"/>
        <v>112.5</v>
      </c>
      <c r="I97">
        <f t="shared" si="16"/>
        <v>93.75</v>
      </c>
      <c r="J97">
        <f t="shared" si="17"/>
        <v>244.57</v>
      </c>
      <c r="K97">
        <f t="shared" si="18"/>
        <v>44.022599999999997</v>
      </c>
      <c r="L97">
        <f t="shared" si="19"/>
        <v>148.86000000000001</v>
      </c>
      <c r="M97">
        <f t="shared" si="20"/>
        <v>156.25</v>
      </c>
    </row>
    <row r="98" spans="1:13" ht="15" customHeight="1" x14ac:dyDescent="0.3">
      <c r="A98" s="16" t="s">
        <v>270</v>
      </c>
      <c r="B98" s="17" t="s">
        <v>495</v>
      </c>
      <c r="C98" s="18"/>
      <c r="D98" s="19" t="s">
        <v>93</v>
      </c>
      <c r="E98" s="1" t="s">
        <v>59</v>
      </c>
      <c r="F98" s="20" t="s">
        <v>492</v>
      </c>
      <c r="G98">
        <f t="shared" si="14"/>
        <v>125</v>
      </c>
      <c r="H98">
        <f t="shared" si="15"/>
        <v>75</v>
      </c>
      <c r="I98">
        <f t="shared" si="16"/>
        <v>93.75</v>
      </c>
      <c r="J98">
        <f t="shared" si="17"/>
        <v>163.04</v>
      </c>
      <c r="K98">
        <f t="shared" si="18"/>
        <v>29.347199999999997</v>
      </c>
      <c r="L98">
        <f t="shared" si="19"/>
        <v>207.94</v>
      </c>
      <c r="M98">
        <f t="shared" si="20"/>
        <v>156.25</v>
      </c>
    </row>
    <row r="99" spans="1:13" ht="15" customHeight="1" x14ac:dyDescent="0.3">
      <c r="A99" s="21" t="s">
        <v>270</v>
      </c>
      <c r="B99" s="22" t="s">
        <v>491</v>
      </c>
      <c r="C99" s="23"/>
      <c r="D99" s="24" t="s">
        <v>93</v>
      </c>
      <c r="E99" s="1" t="s">
        <v>59</v>
      </c>
      <c r="F99" s="20" t="s">
        <v>492</v>
      </c>
      <c r="G99">
        <f t="shared" si="14"/>
        <v>125</v>
      </c>
      <c r="H99">
        <f t="shared" si="15"/>
        <v>75</v>
      </c>
      <c r="I99">
        <f t="shared" si="16"/>
        <v>93.75</v>
      </c>
      <c r="J99">
        <f t="shared" si="17"/>
        <v>163.04</v>
      </c>
      <c r="K99">
        <f t="shared" si="18"/>
        <v>29.347199999999997</v>
      </c>
      <c r="L99">
        <f t="shared" si="19"/>
        <v>207.94</v>
      </c>
      <c r="M99">
        <f t="shared" si="20"/>
        <v>156.25</v>
      </c>
    </row>
    <row r="100" spans="1:13" ht="15" customHeight="1" x14ac:dyDescent="0.3">
      <c r="A100" s="16" t="s">
        <v>270</v>
      </c>
      <c r="B100" s="17" t="s">
        <v>348</v>
      </c>
      <c r="C100" s="18"/>
      <c r="D100" s="19" t="s">
        <v>93</v>
      </c>
      <c r="E100" s="1" t="s">
        <v>59</v>
      </c>
      <c r="F100" s="20" t="s">
        <v>349</v>
      </c>
      <c r="G100">
        <f t="shared" si="14"/>
        <v>37.5</v>
      </c>
      <c r="H100">
        <f t="shared" si="15"/>
        <v>12.5</v>
      </c>
      <c r="I100">
        <f t="shared" si="16"/>
        <v>12.5</v>
      </c>
      <c r="J100">
        <f t="shared" si="17"/>
        <v>27.17</v>
      </c>
      <c r="K100">
        <f t="shared" si="18"/>
        <v>4.8906000000000001</v>
      </c>
      <c r="L100">
        <f t="shared" si="19"/>
        <v>70.89</v>
      </c>
      <c r="M100">
        <f t="shared" si="20"/>
        <v>20.83</v>
      </c>
    </row>
    <row r="101" spans="1:13" ht="15" customHeight="1" x14ac:dyDescent="0.3">
      <c r="A101" s="21" t="s">
        <v>270</v>
      </c>
      <c r="B101" s="22" t="s">
        <v>346</v>
      </c>
      <c r="C101" s="23"/>
      <c r="D101" s="24" t="s">
        <v>93</v>
      </c>
      <c r="E101" s="1" t="s">
        <v>59</v>
      </c>
      <c r="F101" s="20" t="s">
        <v>347</v>
      </c>
      <c r="G101">
        <f t="shared" si="14"/>
        <v>25</v>
      </c>
      <c r="H101">
        <f t="shared" si="15"/>
        <v>12.5</v>
      </c>
      <c r="I101">
        <f t="shared" si="16"/>
        <v>12.5</v>
      </c>
      <c r="J101">
        <f t="shared" si="17"/>
        <v>27.17</v>
      </c>
      <c r="K101">
        <f t="shared" si="18"/>
        <v>4.8906000000000001</v>
      </c>
      <c r="L101">
        <f t="shared" si="19"/>
        <v>43.72</v>
      </c>
      <c r="M101">
        <f t="shared" si="20"/>
        <v>20.83</v>
      </c>
    </row>
    <row r="102" spans="1:13" ht="15" customHeight="1" x14ac:dyDescent="0.3">
      <c r="A102" s="16" t="s">
        <v>270</v>
      </c>
      <c r="B102" s="17" t="s">
        <v>493</v>
      </c>
      <c r="C102" s="18"/>
      <c r="D102" s="19" t="s">
        <v>93</v>
      </c>
      <c r="E102" s="1" t="s">
        <v>59</v>
      </c>
      <c r="F102" s="20" t="s">
        <v>494</v>
      </c>
      <c r="G102">
        <f t="shared" si="14"/>
        <v>187.5</v>
      </c>
      <c r="H102">
        <f t="shared" si="15"/>
        <v>125</v>
      </c>
      <c r="I102">
        <f t="shared" si="16"/>
        <v>125</v>
      </c>
      <c r="J102">
        <f t="shared" si="17"/>
        <v>271.74</v>
      </c>
      <c r="K102">
        <f t="shared" si="18"/>
        <v>48.913200000000003</v>
      </c>
      <c r="L102">
        <f t="shared" si="19"/>
        <v>301.27999999999997</v>
      </c>
      <c r="M102">
        <f t="shared" si="20"/>
        <v>208.33</v>
      </c>
    </row>
    <row r="103" spans="1:13" ht="15" customHeight="1" x14ac:dyDescent="0.3">
      <c r="A103" s="21" t="s">
        <v>270</v>
      </c>
      <c r="B103" s="22" t="s">
        <v>276</v>
      </c>
      <c r="C103" s="23"/>
      <c r="D103" s="24" t="s">
        <v>93</v>
      </c>
      <c r="E103" s="1" t="s">
        <v>59</v>
      </c>
      <c r="F103" s="20" t="s">
        <v>277</v>
      </c>
      <c r="G103">
        <f t="shared" si="14"/>
        <v>156.25</v>
      </c>
      <c r="H103">
        <f t="shared" si="15"/>
        <v>150</v>
      </c>
      <c r="I103">
        <f t="shared" si="16"/>
        <v>31.25</v>
      </c>
      <c r="J103">
        <f t="shared" si="17"/>
        <v>326.08999999999997</v>
      </c>
      <c r="K103">
        <f t="shared" si="18"/>
        <v>58.69619999999999</v>
      </c>
      <c r="L103">
        <f t="shared" si="19"/>
        <v>212.07</v>
      </c>
      <c r="M103">
        <f t="shared" si="20"/>
        <v>52.08</v>
      </c>
    </row>
    <row r="104" spans="1:13" ht="15" customHeight="1" x14ac:dyDescent="0.3">
      <c r="A104" s="16" t="s">
        <v>270</v>
      </c>
      <c r="B104" s="17" t="s">
        <v>278</v>
      </c>
      <c r="C104" s="18"/>
      <c r="D104" s="19" t="s">
        <v>93</v>
      </c>
      <c r="E104" s="1" t="s">
        <v>59</v>
      </c>
      <c r="F104" s="20" t="s">
        <v>279</v>
      </c>
      <c r="G104">
        <f t="shared" si="14"/>
        <v>250</v>
      </c>
      <c r="H104">
        <f t="shared" si="15"/>
        <v>250</v>
      </c>
      <c r="I104">
        <f t="shared" si="16"/>
        <v>250</v>
      </c>
      <c r="J104">
        <f t="shared" si="17"/>
        <v>543.48</v>
      </c>
      <c r="K104">
        <f t="shared" si="18"/>
        <v>97.826400000000007</v>
      </c>
      <c r="L104">
        <f t="shared" si="19"/>
        <v>330.81</v>
      </c>
      <c r="M104">
        <f t="shared" si="20"/>
        <v>416.67</v>
      </c>
    </row>
    <row r="105" spans="1:13" ht="15" customHeight="1" x14ac:dyDescent="0.3">
      <c r="A105" s="21" t="s">
        <v>270</v>
      </c>
      <c r="B105" s="22" t="s">
        <v>280</v>
      </c>
      <c r="C105" s="23"/>
      <c r="D105" s="24" t="s">
        <v>93</v>
      </c>
      <c r="E105" s="1" t="s">
        <v>59</v>
      </c>
      <c r="F105" s="20" t="s">
        <v>281</v>
      </c>
      <c r="G105">
        <f t="shared" si="14"/>
        <v>93.75</v>
      </c>
      <c r="H105">
        <f t="shared" si="15"/>
        <v>62.5</v>
      </c>
      <c r="I105">
        <f t="shared" si="16"/>
        <v>156.25</v>
      </c>
      <c r="J105">
        <f t="shared" si="17"/>
        <v>135.87</v>
      </c>
      <c r="K105">
        <f t="shared" si="18"/>
        <v>24.456600000000002</v>
      </c>
      <c r="L105">
        <f t="shared" si="19"/>
        <v>150.63999999999999</v>
      </c>
      <c r="M105">
        <f t="shared" si="20"/>
        <v>260.42</v>
      </c>
    </row>
    <row r="106" spans="1:13" ht="15" customHeight="1" x14ac:dyDescent="0.3">
      <c r="A106" s="16" t="s">
        <v>270</v>
      </c>
      <c r="B106" s="17" t="s">
        <v>554</v>
      </c>
      <c r="C106" s="18"/>
      <c r="D106" s="19" t="s">
        <v>93</v>
      </c>
      <c r="E106" s="1" t="s">
        <v>59</v>
      </c>
      <c r="F106" s="20" t="s">
        <v>555</v>
      </c>
      <c r="G106">
        <f t="shared" si="14"/>
        <v>87.5</v>
      </c>
      <c r="H106">
        <f t="shared" si="15"/>
        <v>218.75</v>
      </c>
      <c r="I106">
        <f t="shared" si="16"/>
        <v>93.75</v>
      </c>
      <c r="J106">
        <f t="shared" si="17"/>
        <v>475.54</v>
      </c>
      <c r="K106">
        <f t="shared" si="18"/>
        <v>85.597200000000001</v>
      </c>
      <c r="L106">
        <f t="shared" si="19"/>
        <v>4.1399999999999997</v>
      </c>
      <c r="M106">
        <f t="shared" si="20"/>
        <v>156.25</v>
      </c>
    </row>
    <row r="107" spans="1:13" x14ac:dyDescent="0.3">
      <c r="A107" s="34" t="s">
        <v>270</v>
      </c>
      <c r="B107" s="35" t="s">
        <v>848</v>
      </c>
      <c r="D107" s="24" t="s">
        <v>93</v>
      </c>
      <c r="E107" s="1" t="s">
        <v>59</v>
      </c>
      <c r="F107" s="36">
        <v>0.84039351851851851</v>
      </c>
      <c r="G107">
        <v>25</v>
      </c>
      <c r="H107">
        <v>12.5</v>
      </c>
      <c r="I107">
        <v>12.5</v>
      </c>
      <c r="J107">
        <v>27.17</v>
      </c>
      <c r="K107">
        <v>4.8906000000000001</v>
      </c>
      <c r="L107">
        <v>43.72</v>
      </c>
      <c r="M107">
        <v>20.83</v>
      </c>
    </row>
  </sheetData>
  <mergeCells count="13">
    <mergeCell ref="A1:C1"/>
    <mergeCell ref="A2:C2"/>
    <mergeCell ref="A3:C3"/>
    <mergeCell ref="A4:C4"/>
    <mergeCell ref="A7:C7"/>
    <mergeCell ref="A72:C72"/>
    <mergeCell ref="A86:C86"/>
    <mergeCell ref="A94:C94"/>
    <mergeCell ref="A16:C16"/>
    <mergeCell ref="A24:C24"/>
    <mergeCell ref="A33:C33"/>
    <mergeCell ref="A38:C38"/>
    <mergeCell ref="A54:C5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8F5E9"/>
  </sheetPr>
  <dimension ref="A1:M89"/>
  <sheetViews>
    <sheetView topLeftCell="F1" zoomScaleNormal="100" workbookViewId="0">
      <pane ySplit="6" topLeftCell="A90" activePane="bottomLeft" state="frozen"/>
      <selection pane="bottomLeft"/>
    </sheetView>
  </sheetViews>
  <sheetFormatPr defaultColWidth="8.6640625" defaultRowHeight="14.4" x14ac:dyDescent="0.3"/>
  <cols>
    <col min="1" max="1" width="13" bestFit="1" customWidth="1"/>
    <col min="2" max="2" width="36.109375" bestFit="1" customWidth="1"/>
    <col min="3" max="3" width="18.44140625" bestFit="1" customWidth="1"/>
    <col min="4" max="4" width="6.21875" bestFit="1" customWidth="1"/>
    <col min="5" max="5" width="28.109375" bestFit="1" customWidth="1"/>
    <col min="6" max="6" width="33.77734375" bestFit="1" customWidth="1"/>
    <col min="7" max="7" width="15.88671875" bestFit="1" customWidth="1"/>
    <col min="8" max="8" width="19.33203125" bestFit="1" customWidth="1"/>
    <col min="9" max="9" width="18.44140625" bestFit="1" customWidth="1"/>
    <col min="10" max="10" width="11.44140625" bestFit="1" customWidth="1"/>
    <col min="11" max="11" width="24.44140625" bestFit="1" customWidth="1"/>
    <col min="12" max="13" width="11.77734375" bestFit="1" customWidth="1"/>
    <col min="14" max="18" width="16" customWidth="1"/>
    <col min="19" max="19" width="26" customWidth="1"/>
  </cols>
  <sheetData>
    <row r="1" spans="1:13" ht="31.5" customHeight="1" x14ac:dyDescent="0.3">
      <c r="A1" s="26" t="s">
        <v>556</v>
      </c>
      <c r="B1" s="26"/>
      <c r="C1" s="26"/>
    </row>
    <row r="2" spans="1:13" ht="19.5" customHeight="1" x14ac:dyDescent="0.3">
      <c r="A2" s="27" t="s">
        <v>557</v>
      </c>
      <c r="B2" s="27"/>
      <c r="C2" s="27"/>
    </row>
    <row r="3" spans="1:13" ht="19.5" customHeight="1" x14ac:dyDescent="0.3">
      <c r="A3" s="27" t="s">
        <v>558</v>
      </c>
      <c r="B3" s="27"/>
      <c r="C3" s="27"/>
    </row>
    <row r="4" spans="1:13" ht="19.5" customHeight="1" x14ac:dyDescent="0.3">
      <c r="A4" s="27" t="s">
        <v>559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560</v>
      </c>
      <c r="C8" s="18"/>
      <c r="D8" s="19" t="s">
        <v>95</v>
      </c>
      <c r="E8" s="1" t="s">
        <v>63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561</v>
      </c>
      <c r="C9" s="23"/>
      <c r="D9" s="24" t="s">
        <v>95</v>
      </c>
      <c r="E9" s="1" t="s">
        <v>63</v>
      </c>
      <c r="F9" s="20" t="s">
        <v>562</v>
      </c>
      <c r="G9">
        <f t="shared" si="0"/>
        <v>112.5</v>
      </c>
      <c r="H9">
        <f t="shared" si="1"/>
        <v>112.5</v>
      </c>
      <c r="I9">
        <f t="shared" si="2"/>
        <v>300</v>
      </c>
      <c r="J9">
        <f t="shared" si="3"/>
        <v>244.57</v>
      </c>
      <c r="K9">
        <f t="shared" si="4"/>
        <v>44.022599999999997</v>
      </c>
      <c r="L9">
        <f t="shared" si="5"/>
        <v>148.86000000000001</v>
      </c>
      <c r="M9">
        <f t="shared" si="6"/>
        <v>500</v>
      </c>
    </row>
    <row r="10" spans="1:13" ht="18" customHeight="1" x14ac:dyDescent="0.3">
      <c r="A10" s="25" t="s">
        <v>155</v>
      </c>
      <c r="B10" s="25"/>
      <c r="C10" s="25"/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  <c r="L10" t="str">
        <f t="shared" si="5"/>
        <v/>
      </c>
      <c r="M10" t="str">
        <f t="shared" si="6"/>
        <v/>
      </c>
    </row>
    <row r="11" spans="1:13" ht="15" customHeight="1" x14ac:dyDescent="0.3">
      <c r="A11" s="16" t="s">
        <v>156</v>
      </c>
      <c r="B11" s="17" t="s">
        <v>165</v>
      </c>
      <c r="C11" s="18"/>
      <c r="D11" s="19" t="s">
        <v>95</v>
      </c>
      <c r="E11" s="1" t="s">
        <v>63</v>
      </c>
      <c r="F11" s="20" t="s">
        <v>160</v>
      </c>
      <c r="G11">
        <f t="shared" si="0"/>
        <v>25</v>
      </c>
      <c r="H11">
        <f t="shared" si="1"/>
        <v>50</v>
      </c>
      <c r="I11">
        <f t="shared" si="2"/>
        <v>25</v>
      </c>
      <c r="J11">
        <f t="shared" si="3"/>
        <v>108.7</v>
      </c>
      <c r="K11">
        <f t="shared" si="4"/>
        <v>19.565999999999999</v>
      </c>
      <c r="L11">
        <f t="shared" si="5"/>
        <v>11.81</v>
      </c>
      <c r="M11">
        <f t="shared" si="6"/>
        <v>41.67</v>
      </c>
    </row>
    <row r="12" spans="1:13" ht="15" customHeight="1" x14ac:dyDescent="0.3">
      <c r="A12" s="21" t="s">
        <v>156</v>
      </c>
      <c r="B12" s="22" t="s">
        <v>163</v>
      </c>
      <c r="C12" s="23"/>
      <c r="D12" s="24" t="s">
        <v>95</v>
      </c>
      <c r="E12" s="1" t="s">
        <v>63</v>
      </c>
      <c r="F12" s="20" t="s">
        <v>164</v>
      </c>
      <c r="G12">
        <f t="shared" si="0"/>
        <v>12.5</v>
      </c>
      <c r="H12">
        <f t="shared" si="1"/>
        <v>25</v>
      </c>
      <c r="I12">
        <f t="shared" si="2"/>
        <v>12.5</v>
      </c>
      <c r="J12">
        <f t="shared" si="3"/>
        <v>54.35</v>
      </c>
      <c r="K12">
        <f t="shared" si="4"/>
        <v>9.7829999999999995</v>
      </c>
      <c r="L12">
        <f t="shared" si="5"/>
        <v>5.91</v>
      </c>
      <c r="M12">
        <f t="shared" si="6"/>
        <v>20.83</v>
      </c>
    </row>
    <row r="13" spans="1:13" ht="15" customHeight="1" x14ac:dyDescent="0.3">
      <c r="A13" s="16" t="s">
        <v>156</v>
      </c>
      <c r="B13" s="17" t="s">
        <v>293</v>
      </c>
      <c r="C13" s="18"/>
      <c r="D13" s="19" t="s">
        <v>95</v>
      </c>
      <c r="E13" s="1" t="s">
        <v>63</v>
      </c>
      <c r="F13" s="20" t="s">
        <v>160</v>
      </c>
      <c r="G13">
        <f t="shared" si="0"/>
        <v>25</v>
      </c>
      <c r="H13">
        <f t="shared" si="1"/>
        <v>50</v>
      </c>
      <c r="I13">
        <f t="shared" si="2"/>
        <v>25</v>
      </c>
      <c r="J13">
        <f t="shared" si="3"/>
        <v>108.7</v>
      </c>
      <c r="K13">
        <f t="shared" si="4"/>
        <v>19.565999999999999</v>
      </c>
      <c r="L13">
        <f t="shared" si="5"/>
        <v>11.81</v>
      </c>
      <c r="M13">
        <f t="shared" si="6"/>
        <v>41.67</v>
      </c>
    </row>
    <row r="14" spans="1:13" ht="15" customHeight="1" x14ac:dyDescent="0.3">
      <c r="A14" s="21" t="s">
        <v>156</v>
      </c>
      <c r="B14" s="22" t="s">
        <v>292</v>
      </c>
      <c r="C14" s="23"/>
      <c r="D14" s="24" t="s">
        <v>95</v>
      </c>
      <c r="E14" s="1" t="s">
        <v>63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8" customHeight="1" x14ac:dyDescent="0.3">
      <c r="A15" s="25" t="s">
        <v>167</v>
      </c>
      <c r="B15" s="25"/>
      <c r="C15" s="25"/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  <c r="L15" t="str">
        <f t="shared" si="5"/>
        <v/>
      </c>
      <c r="M15" t="str">
        <f t="shared" si="6"/>
        <v/>
      </c>
    </row>
    <row r="16" spans="1:13" ht="15" customHeight="1" x14ac:dyDescent="0.3">
      <c r="A16" s="16" t="s">
        <v>168</v>
      </c>
      <c r="B16" s="17" t="s">
        <v>414</v>
      </c>
      <c r="C16" s="18"/>
      <c r="D16" s="19" t="s">
        <v>95</v>
      </c>
      <c r="E16" s="1" t="s">
        <v>63</v>
      </c>
      <c r="F16" s="20" t="s">
        <v>207</v>
      </c>
      <c r="G16">
        <f t="shared" si="0"/>
        <v>700</v>
      </c>
      <c r="H16">
        <f t="shared" si="1"/>
        <v>400</v>
      </c>
      <c r="I16">
        <f t="shared" si="2"/>
        <v>1500</v>
      </c>
      <c r="J16">
        <f t="shared" si="3"/>
        <v>869.57</v>
      </c>
      <c r="K16">
        <f t="shared" si="4"/>
        <v>156.52260000000001</v>
      </c>
      <c r="L16">
        <f t="shared" si="5"/>
        <v>1181.47</v>
      </c>
      <c r="M16">
        <f t="shared" si="6"/>
        <v>2500</v>
      </c>
    </row>
    <row r="17" spans="1:13" ht="15" customHeight="1" x14ac:dyDescent="0.3">
      <c r="A17" s="21" t="s">
        <v>168</v>
      </c>
      <c r="B17" s="22" t="s">
        <v>502</v>
      </c>
      <c r="C17" s="23"/>
      <c r="D17" s="24" t="s">
        <v>95</v>
      </c>
      <c r="E17" s="1" t="s">
        <v>63</v>
      </c>
      <c r="F17" s="20" t="s">
        <v>149</v>
      </c>
      <c r="G17">
        <f t="shared" si="0"/>
        <v>50</v>
      </c>
      <c r="H17">
        <f t="shared" si="1"/>
        <v>25</v>
      </c>
      <c r="I17">
        <f t="shared" si="2"/>
        <v>25</v>
      </c>
      <c r="J17">
        <f t="shared" si="3"/>
        <v>54.35</v>
      </c>
      <c r="K17">
        <f t="shared" si="4"/>
        <v>9.7829999999999995</v>
      </c>
      <c r="L17">
        <f t="shared" si="5"/>
        <v>87.43</v>
      </c>
      <c r="M17">
        <f t="shared" si="6"/>
        <v>41.67</v>
      </c>
    </row>
    <row r="18" spans="1:13" ht="15" customHeight="1" x14ac:dyDescent="0.3">
      <c r="A18" s="16" t="s">
        <v>168</v>
      </c>
      <c r="B18" s="17" t="s">
        <v>415</v>
      </c>
      <c r="C18" s="18"/>
      <c r="D18" s="19" t="s">
        <v>95</v>
      </c>
      <c r="E18" s="1" t="s">
        <v>63</v>
      </c>
      <c r="F18" s="20" t="s">
        <v>170</v>
      </c>
      <c r="G18">
        <f t="shared" si="0"/>
        <v>25</v>
      </c>
      <c r="H18">
        <f t="shared" si="1"/>
        <v>50</v>
      </c>
      <c r="I18">
        <f t="shared" si="2"/>
        <v>50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83.33</v>
      </c>
    </row>
    <row r="19" spans="1:13" ht="18" customHeight="1" x14ac:dyDescent="0.3">
      <c r="A19" s="25" t="s">
        <v>180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21" t="s">
        <v>181</v>
      </c>
      <c r="B20" s="22" t="s">
        <v>563</v>
      </c>
      <c r="C20" s="23"/>
      <c r="D20" s="24" t="s">
        <v>95</v>
      </c>
      <c r="E20" s="1" t="s">
        <v>63</v>
      </c>
      <c r="F20" s="20" t="s">
        <v>268</v>
      </c>
      <c r="G20">
        <f t="shared" si="0"/>
        <v>15</v>
      </c>
      <c r="H20">
        <f t="shared" si="1"/>
        <v>7.5</v>
      </c>
      <c r="I20">
        <f t="shared" si="2"/>
        <v>7.5</v>
      </c>
      <c r="J20">
        <f t="shared" si="3"/>
        <v>16.3</v>
      </c>
      <c r="K20">
        <f t="shared" si="4"/>
        <v>2.9340000000000002</v>
      </c>
      <c r="L20">
        <f t="shared" si="5"/>
        <v>26.23</v>
      </c>
      <c r="M20">
        <f t="shared" si="6"/>
        <v>12.5</v>
      </c>
    </row>
    <row r="21" spans="1:13" ht="15" customHeight="1" x14ac:dyDescent="0.3">
      <c r="A21" s="16" t="s">
        <v>181</v>
      </c>
      <c r="B21" s="17" t="s">
        <v>342</v>
      </c>
      <c r="C21" s="18"/>
      <c r="D21" s="19" t="s">
        <v>95</v>
      </c>
      <c r="E21" s="1" t="s">
        <v>63</v>
      </c>
      <c r="F21" s="20" t="s">
        <v>343</v>
      </c>
      <c r="G21">
        <f t="shared" si="0"/>
        <v>275</v>
      </c>
      <c r="H21">
        <f t="shared" si="1"/>
        <v>56.25</v>
      </c>
      <c r="I21">
        <f t="shared" si="2"/>
        <v>225</v>
      </c>
      <c r="J21">
        <f t="shared" si="3"/>
        <v>122.28</v>
      </c>
      <c r="K21">
        <f t="shared" si="4"/>
        <v>22.010400000000001</v>
      </c>
      <c r="L21">
        <f t="shared" si="5"/>
        <v>549.98</v>
      </c>
      <c r="M21">
        <f t="shared" si="6"/>
        <v>375</v>
      </c>
    </row>
    <row r="22" spans="1:13" ht="15" customHeight="1" x14ac:dyDescent="0.3">
      <c r="A22" s="21" t="s">
        <v>181</v>
      </c>
      <c r="B22" s="22" t="s">
        <v>344</v>
      </c>
      <c r="C22" s="23"/>
      <c r="D22" s="24" t="s">
        <v>95</v>
      </c>
      <c r="E22" s="1" t="s">
        <v>63</v>
      </c>
      <c r="F22" s="20" t="s">
        <v>345</v>
      </c>
      <c r="G22">
        <f t="shared" si="0"/>
        <v>168.75</v>
      </c>
      <c r="H22">
        <f t="shared" si="1"/>
        <v>42.5</v>
      </c>
      <c r="I22">
        <f t="shared" si="2"/>
        <v>181.25</v>
      </c>
      <c r="J22">
        <f t="shared" si="3"/>
        <v>92.39</v>
      </c>
      <c r="K22">
        <f t="shared" si="4"/>
        <v>16.630199999999999</v>
      </c>
      <c r="L22">
        <f t="shared" si="5"/>
        <v>330.7</v>
      </c>
      <c r="M22">
        <f t="shared" si="6"/>
        <v>302.08</v>
      </c>
    </row>
    <row r="23" spans="1:13" ht="15" customHeight="1" x14ac:dyDescent="0.3">
      <c r="A23" s="16" t="s">
        <v>181</v>
      </c>
      <c r="B23" s="17" t="s">
        <v>206</v>
      </c>
      <c r="C23" s="18"/>
      <c r="D23" s="19" t="s">
        <v>95</v>
      </c>
      <c r="E23" s="1" t="s">
        <v>63</v>
      </c>
      <c r="F23" s="20" t="s">
        <v>207</v>
      </c>
      <c r="G23">
        <f t="shared" si="0"/>
        <v>700</v>
      </c>
      <c r="H23">
        <f t="shared" si="1"/>
        <v>400</v>
      </c>
      <c r="I23">
        <f t="shared" si="2"/>
        <v>1500</v>
      </c>
      <c r="J23">
        <f t="shared" si="3"/>
        <v>869.57</v>
      </c>
      <c r="K23">
        <f t="shared" si="4"/>
        <v>156.52260000000001</v>
      </c>
      <c r="L23">
        <f t="shared" si="5"/>
        <v>1181.47</v>
      </c>
      <c r="M23">
        <f t="shared" si="6"/>
        <v>2500</v>
      </c>
    </row>
    <row r="24" spans="1:13" ht="18" customHeight="1" x14ac:dyDescent="0.3">
      <c r="A24" s="25" t="s">
        <v>187</v>
      </c>
      <c r="B24" s="25"/>
      <c r="C24" s="25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5"/>
        <v/>
      </c>
      <c r="M24" t="str">
        <f t="shared" si="6"/>
        <v/>
      </c>
    </row>
    <row r="25" spans="1:13" ht="15" customHeight="1" x14ac:dyDescent="0.3">
      <c r="A25" s="21" t="s">
        <v>188</v>
      </c>
      <c r="B25" s="22" t="s">
        <v>206</v>
      </c>
      <c r="C25" s="23"/>
      <c r="D25" s="24" t="s">
        <v>95</v>
      </c>
      <c r="E25" s="1" t="s">
        <v>63</v>
      </c>
      <c r="F25" s="20" t="s">
        <v>207</v>
      </c>
      <c r="G25">
        <f t="shared" si="0"/>
        <v>700</v>
      </c>
      <c r="H25">
        <f t="shared" si="1"/>
        <v>400</v>
      </c>
      <c r="I25">
        <f t="shared" si="2"/>
        <v>1500</v>
      </c>
      <c r="J25">
        <f t="shared" si="3"/>
        <v>869.57</v>
      </c>
      <c r="K25">
        <f t="shared" si="4"/>
        <v>156.52260000000001</v>
      </c>
      <c r="L25">
        <f t="shared" si="5"/>
        <v>1181.47</v>
      </c>
      <c r="M25">
        <f t="shared" si="6"/>
        <v>2500</v>
      </c>
    </row>
    <row r="26" spans="1:13" ht="15" customHeight="1" x14ac:dyDescent="0.3">
      <c r="A26" s="16" t="s">
        <v>188</v>
      </c>
      <c r="B26" s="17" t="s">
        <v>564</v>
      </c>
      <c r="C26" s="18"/>
      <c r="D26" s="19" t="s">
        <v>95</v>
      </c>
      <c r="E26" s="1" t="s">
        <v>63</v>
      </c>
      <c r="F26" s="20" t="s">
        <v>192</v>
      </c>
      <c r="G26">
        <f t="shared" si="0"/>
        <v>137.5</v>
      </c>
      <c r="H26">
        <f t="shared" si="1"/>
        <v>43.75</v>
      </c>
      <c r="I26">
        <f t="shared" si="2"/>
        <v>412.5</v>
      </c>
      <c r="J26">
        <f t="shared" si="3"/>
        <v>95.11</v>
      </c>
      <c r="K26">
        <f t="shared" si="4"/>
        <v>17.119799999999998</v>
      </c>
      <c r="L26">
        <f t="shared" si="5"/>
        <v>261.7</v>
      </c>
      <c r="M26">
        <f t="shared" si="6"/>
        <v>687.5</v>
      </c>
    </row>
    <row r="27" spans="1:13" ht="15" customHeight="1" x14ac:dyDescent="0.3">
      <c r="A27" s="21" t="s">
        <v>188</v>
      </c>
      <c r="B27" s="22" t="s">
        <v>312</v>
      </c>
      <c r="C27" s="23"/>
      <c r="D27" s="24" t="s">
        <v>95</v>
      </c>
      <c r="E27" s="1" t="s">
        <v>63</v>
      </c>
      <c r="F27" s="20" t="s">
        <v>190</v>
      </c>
      <c r="G27">
        <f t="shared" si="0"/>
        <v>125</v>
      </c>
      <c r="H27">
        <f t="shared" si="1"/>
        <v>125</v>
      </c>
      <c r="I27">
        <f t="shared" si="2"/>
        <v>187.5</v>
      </c>
      <c r="J27">
        <f t="shared" si="3"/>
        <v>271.74</v>
      </c>
      <c r="K27">
        <f t="shared" si="4"/>
        <v>48.913200000000003</v>
      </c>
      <c r="L27">
        <f t="shared" si="5"/>
        <v>165.41</v>
      </c>
      <c r="M27">
        <f t="shared" si="6"/>
        <v>312.5</v>
      </c>
    </row>
    <row r="28" spans="1:13" ht="15" customHeight="1" x14ac:dyDescent="0.3">
      <c r="A28" s="16" t="s">
        <v>188</v>
      </c>
      <c r="B28" s="17" t="s">
        <v>214</v>
      </c>
      <c r="C28" s="18"/>
      <c r="D28" s="19" t="s">
        <v>95</v>
      </c>
      <c r="E28" s="1" t="s">
        <v>63</v>
      </c>
      <c r="F28" s="20" t="s">
        <v>215</v>
      </c>
      <c r="G28">
        <f t="shared" si="0"/>
        <v>93.75</v>
      </c>
      <c r="H28">
        <f t="shared" si="1"/>
        <v>50</v>
      </c>
      <c r="I28">
        <f t="shared" si="2"/>
        <v>62.5</v>
      </c>
      <c r="J28">
        <f t="shared" si="3"/>
        <v>108.7</v>
      </c>
      <c r="K28">
        <f t="shared" si="4"/>
        <v>19.565999999999999</v>
      </c>
      <c r="L28">
        <f t="shared" si="5"/>
        <v>161.27000000000001</v>
      </c>
      <c r="M28">
        <f t="shared" si="6"/>
        <v>104.17</v>
      </c>
    </row>
    <row r="29" spans="1:13" ht="15" customHeight="1" x14ac:dyDescent="0.3">
      <c r="A29" s="21" t="s">
        <v>188</v>
      </c>
      <c r="B29" s="22" t="s">
        <v>193</v>
      </c>
      <c r="C29" s="23"/>
      <c r="D29" s="24" t="s">
        <v>95</v>
      </c>
      <c r="E29" s="1" t="s">
        <v>63</v>
      </c>
      <c r="F29" s="20" t="s">
        <v>194</v>
      </c>
      <c r="G29">
        <f t="shared" si="0"/>
        <v>125</v>
      </c>
      <c r="H29">
        <f t="shared" si="1"/>
        <v>125</v>
      </c>
      <c r="I29">
        <f t="shared" si="2"/>
        <v>125</v>
      </c>
      <c r="J29">
        <f t="shared" si="3"/>
        <v>271.74</v>
      </c>
      <c r="K29">
        <f t="shared" si="4"/>
        <v>48.913200000000003</v>
      </c>
      <c r="L29">
        <f t="shared" si="5"/>
        <v>165.41</v>
      </c>
      <c r="M29">
        <f t="shared" si="6"/>
        <v>208.33</v>
      </c>
    </row>
    <row r="30" spans="1:13" ht="15" customHeight="1" x14ac:dyDescent="0.3">
      <c r="A30" s="16" t="s">
        <v>188</v>
      </c>
      <c r="B30" s="17" t="s">
        <v>305</v>
      </c>
      <c r="C30" s="18"/>
      <c r="D30" s="19" t="s">
        <v>95</v>
      </c>
      <c r="E30" s="1" t="s">
        <v>63</v>
      </c>
      <c r="F30" s="20" t="s">
        <v>306</v>
      </c>
      <c r="G30">
        <f t="shared" si="0"/>
        <v>20</v>
      </c>
      <c r="H30">
        <f t="shared" si="1"/>
        <v>5</v>
      </c>
      <c r="I30">
        <f t="shared" si="2"/>
        <v>15</v>
      </c>
      <c r="J30">
        <f t="shared" si="3"/>
        <v>10.87</v>
      </c>
      <c r="K30">
        <f t="shared" si="4"/>
        <v>1.9565999999999999</v>
      </c>
      <c r="L30">
        <f t="shared" si="5"/>
        <v>39.22</v>
      </c>
      <c r="M30">
        <f t="shared" si="6"/>
        <v>25</v>
      </c>
    </row>
    <row r="31" spans="1:13" ht="15" customHeight="1" x14ac:dyDescent="0.3">
      <c r="A31" s="21" t="s">
        <v>188</v>
      </c>
      <c r="B31" s="22" t="s">
        <v>195</v>
      </c>
      <c r="C31" s="23"/>
      <c r="D31" s="24" t="s">
        <v>95</v>
      </c>
      <c r="E31" s="1" t="s">
        <v>63</v>
      </c>
      <c r="F31" s="20" t="s">
        <v>194</v>
      </c>
      <c r="G31">
        <f t="shared" si="0"/>
        <v>125</v>
      </c>
      <c r="H31">
        <f t="shared" si="1"/>
        <v>125</v>
      </c>
      <c r="I31">
        <f t="shared" si="2"/>
        <v>125</v>
      </c>
      <c r="J31">
        <f t="shared" si="3"/>
        <v>271.74</v>
      </c>
      <c r="K31">
        <f t="shared" si="4"/>
        <v>48.913200000000003</v>
      </c>
      <c r="L31">
        <f t="shared" si="5"/>
        <v>165.41</v>
      </c>
      <c r="M31">
        <f t="shared" si="6"/>
        <v>208.33</v>
      </c>
    </row>
    <row r="32" spans="1:13" ht="15" customHeight="1" x14ac:dyDescent="0.3">
      <c r="A32" s="16" t="s">
        <v>188</v>
      </c>
      <c r="B32" s="17" t="s">
        <v>565</v>
      </c>
      <c r="C32" s="18"/>
      <c r="D32" s="19" t="s">
        <v>95</v>
      </c>
      <c r="E32" s="1" t="s">
        <v>63</v>
      </c>
      <c r="F32" s="20" t="s">
        <v>199</v>
      </c>
      <c r="G32">
        <f t="shared" si="0"/>
        <v>750</v>
      </c>
      <c r="H32">
        <f t="shared" si="1"/>
        <v>250</v>
      </c>
      <c r="I32">
        <f t="shared" si="2"/>
        <v>375</v>
      </c>
      <c r="J32">
        <f t="shared" si="3"/>
        <v>543.48</v>
      </c>
      <c r="K32">
        <f t="shared" si="4"/>
        <v>97.826400000000007</v>
      </c>
      <c r="L32">
        <f t="shared" si="5"/>
        <v>1417.77</v>
      </c>
      <c r="M32">
        <f t="shared" si="6"/>
        <v>625</v>
      </c>
    </row>
    <row r="33" spans="1:13" ht="15" customHeight="1" x14ac:dyDescent="0.3">
      <c r="A33" s="21" t="s">
        <v>188</v>
      </c>
      <c r="B33" s="22" t="s">
        <v>418</v>
      </c>
      <c r="C33" s="23"/>
      <c r="D33" s="24" t="s">
        <v>95</v>
      </c>
      <c r="E33" s="1" t="s">
        <v>63</v>
      </c>
      <c r="F33" s="20" t="s">
        <v>190</v>
      </c>
      <c r="G33">
        <f t="shared" si="0"/>
        <v>125</v>
      </c>
      <c r="H33">
        <f t="shared" si="1"/>
        <v>125</v>
      </c>
      <c r="I33">
        <f t="shared" si="2"/>
        <v>187.5</v>
      </c>
      <c r="J33">
        <f t="shared" si="3"/>
        <v>271.74</v>
      </c>
      <c r="K33">
        <f t="shared" si="4"/>
        <v>48.913200000000003</v>
      </c>
      <c r="L33">
        <f t="shared" si="5"/>
        <v>165.41</v>
      </c>
      <c r="M33">
        <f t="shared" si="6"/>
        <v>312.5</v>
      </c>
    </row>
    <row r="34" spans="1:13" ht="15" customHeight="1" x14ac:dyDescent="0.3">
      <c r="A34" s="16" t="s">
        <v>188</v>
      </c>
      <c r="B34" s="17" t="s">
        <v>566</v>
      </c>
      <c r="C34" s="18"/>
      <c r="D34" s="19" t="s">
        <v>95</v>
      </c>
      <c r="E34" s="1" t="s">
        <v>63</v>
      </c>
      <c r="F34" s="20" t="s">
        <v>567</v>
      </c>
      <c r="G34">
        <f t="shared" si="0"/>
        <v>8.75</v>
      </c>
      <c r="H34">
        <f t="shared" si="1"/>
        <v>12.5</v>
      </c>
      <c r="I34">
        <f t="shared" si="2"/>
        <v>6.25</v>
      </c>
      <c r="J34">
        <f t="shared" si="3"/>
        <v>27.17</v>
      </c>
      <c r="K34">
        <f t="shared" si="4"/>
        <v>4.8906000000000001</v>
      </c>
      <c r="L34">
        <f t="shared" si="5"/>
        <v>8.39</v>
      </c>
      <c r="M34">
        <f t="shared" si="6"/>
        <v>10.42</v>
      </c>
    </row>
    <row r="35" spans="1:13" ht="15" customHeight="1" x14ac:dyDescent="0.3">
      <c r="A35" s="21" t="s">
        <v>188</v>
      </c>
      <c r="B35" s="22" t="s">
        <v>568</v>
      </c>
      <c r="C35" s="23"/>
      <c r="D35" s="24" t="s">
        <v>95</v>
      </c>
      <c r="E35" s="1" t="s">
        <v>63</v>
      </c>
      <c r="F35" s="20" t="s">
        <v>211</v>
      </c>
      <c r="G35">
        <f t="shared" si="0"/>
        <v>93.75</v>
      </c>
      <c r="H35">
        <f t="shared" si="1"/>
        <v>75</v>
      </c>
      <c r="I35">
        <f t="shared" si="2"/>
        <v>62.5</v>
      </c>
      <c r="J35">
        <f t="shared" si="3"/>
        <v>163.04</v>
      </c>
      <c r="K35">
        <f t="shared" si="4"/>
        <v>29.347199999999997</v>
      </c>
      <c r="L35">
        <f t="shared" si="5"/>
        <v>140.01</v>
      </c>
      <c r="M35">
        <f t="shared" si="6"/>
        <v>104.17</v>
      </c>
    </row>
    <row r="36" spans="1:13" ht="15" customHeight="1" x14ac:dyDescent="0.3">
      <c r="A36" s="16" t="s">
        <v>188</v>
      </c>
      <c r="B36" s="17" t="s">
        <v>569</v>
      </c>
      <c r="C36" s="18"/>
      <c r="D36" s="19" t="s">
        <v>95</v>
      </c>
      <c r="E36" s="1" t="s">
        <v>63</v>
      </c>
      <c r="F36" s="20" t="s">
        <v>570</v>
      </c>
      <c r="G36">
        <f t="shared" si="0"/>
        <v>47.875</v>
      </c>
      <c r="H36">
        <f t="shared" si="1"/>
        <v>10.25</v>
      </c>
      <c r="I36">
        <f t="shared" si="2"/>
        <v>26.125</v>
      </c>
      <c r="J36">
        <f t="shared" si="3"/>
        <v>22.28</v>
      </c>
      <c r="K36">
        <f t="shared" si="4"/>
        <v>4.0103999999999997</v>
      </c>
      <c r="L36">
        <f t="shared" si="5"/>
        <v>95.36</v>
      </c>
      <c r="M36">
        <f t="shared" si="6"/>
        <v>43.54</v>
      </c>
    </row>
    <row r="37" spans="1:13" ht="15" customHeight="1" x14ac:dyDescent="0.3">
      <c r="A37" s="21" t="s">
        <v>188</v>
      </c>
      <c r="B37" s="22" t="s">
        <v>571</v>
      </c>
      <c r="C37" s="23"/>
      <c r="D37" s="24" t="s">
        <v>95</v>
      </c>
      <c r="E37" s="1" t="s">
        <v>63</v>
      </c>
      <c r="F37" s="20" t="s">
        <v>572</v>
      </c>
      <c r="G37">
        <f t="shared" si="0"/>
        <v>1250</v>
      </c>
      <c r="H37">
        <f t="shared" si="1"/>
        <v>1000</v>
      </c>
      <c r="I37">
        <f t="shared" si="2"/>
        <v>3750</v>
      </c>
      <c r="J37">
        <f t="shared" si="3"/>
        <v>2173.91</v>
      </c>
      <c r="K37">
        <f t="shared" si="4"/>
        <v>391.30379999999997</v>
      </c>
      <c r="L37">
        <f t="shared" si="5"/>
        <v>1866.73</v>
      </c>
      <c r="M37">
        <f t="shared" si="6"/>
        <v>6250</v>
      </c>
    </row>
    <row r="38" spans="1:13" ht="15" customHeight="1" x14ac:dyDescent="0.3">
      <c r="A38" s="16" t="s">
        <v>188</v>
      </c>
      <c r="B38" s="17" t="s">
        <v>313</v>
      </c>
      <c r="C38" s="18"/>
      <c r="D38" s="19" t="s">
        <v>95</v>
      </c>
      <c r="E38" s="1" t="s">
        <v>63</v>
      </c>
      <c r="F38" s="20" t="s">
        <v>217</v>
      </c>
      <c r="G38">
        <f t="shared" si="0"/>
        <v>2.5</v>
      </c>
      <c r="H38">
        <f t="shared" si="1"/>
        <v>1.25</v>
      </c>
      <c r="I38">
        <f t="shared" si="2"/>
        <v>2.5</v>
      </c>
      <c r="J38">
        <f t="shared" si="3"/>
        <v>2.72</v>
      </c>
      <c r="K38">
        <f t="shared" si="4"/>
        <v>0.48960000000000004</v>
      </c>
      <c r="L38">
        <f t="shared" si="5"/>
        <v>4.37</v>
      </c>
      <c r="M38">
        <f t="shared" si="6"/>
        <v>4.17</v>
      </c>
    </row>
    <row r="39" spans="1:13" ht="15" customHeight="1" x14ac:dyDescent="0.3">
      <c r="A39" s="21" t="s">
        <v>188</v>
      </c>
      <c r="B39" s="22" t="s">
        <v>314</v>
      </c>
      <c r="C39" s="23"/>
      <c r="D39" s="24" t="s">
        <v>95</v>
      </c>
      <c r="E39" s="1" t="s">
        <v>63</v>
      </c>
      <c r="F39" s="20" t="s">
        <v>315</v>
      </c>
      <c r="G39">
        <f t="shared" ref="G39:G70" si="7">IF($F39="","",IFERROR(VALUE(TRIM(LEFT($F39,FIND(":",$F39)-1)))*1.25,"N/A"))</f>
        <v>25</v>
      </c>
      <c r="H39">
        <f t="shared" ref="H39:H70" si="8">IF($F39="","",IFERROR(VALUE(TRIM(MID($F39,FIND(":",$F39)+1,FIND(":",$F39,FIND(":",$F39)+1)-FIND(":",$F39)-1)))*1.25,"N/A"))</f>
        <v>25</v>
      </c>
      <c r="I39">
        <f t="shared" ref="I39:I70" si="9">IF($F39="","",IFERROR(VALUE(TRIM(LEFT(MID($F39,FIND(":",$F39,FIND(":",$F39)+1)+1,LEN($F39)),FIND(" ",MID($F39,FIND(":",$F39,FIND(":",$F39)+1)+1,LEN($F39))&amp;" ")-1)))*1.25,"N/A"))</f>
        <v>18.75</v>
      </c>
      <c r="J39">
        <f t="shared" ref="J39:J70" si="10">IF(OR($F39="",$H39="N/A"),IF($F39="","","N/A"),ROUND($H39/0.46,2))</f>
        <v>54.35</v>
      </c>
      <c r="K39">
        <f t="shared" ref="K39:K70" si="11">IF(OR($F39="",$J39="N/A"),IF($F39="","","N/A"),$J39*0.18)</f>
        <v>9.7829999999999995</v>
      </c>
      <c r="L39">
        <f t="shared" ref="L39:L70" si="12">IF(OR($F39="",$G39="N/A",$K39="N/A"),IF($F39="","","N/A"),ROUND(($G39-$K39)/0.46,2))</f>
        <v>33.08</v>
      </c>
      <c r="M39">
        <f t="shared" ref="M39:M70" si="13">IF(OR($F39="",$I39="N/A"),IF($F39="","","N/A"),ROUND($I39/0.6,2))</f>
        <v>31.25</v>
      </c>
    </row>
    <row r="40" spans="1:13" ht="15" customHeight="1" x14ac:dyDescent="0.3">
      <c r="A40" s="16" t="s">
        <v>188</v>
      </c>
      <c r="B40" s="17" t="s">
        <v>210</v>
      </c>
      <c r="C40" s="18"/>
      <c r="D40" s="19" t="s">
        <v>95</v>
      </c>
      <c r="E40" s="1" t="s">
        <v>63</v>
      </c>
      <c r="F40" s="20" t="s">
        <v>211</v>
      </c>
      <c r="G40">
        <f t="shared" si="7"/>
        <v>93.75</v>
      </c>
      <c r="H40">
        <f t="shared" si="8"/>
        <v>75</v>
      </c>
      <c r="I40">
        <f t="shared" si="9"/>
        <v>62.5</v>
      </c>
      <c r="J40">
        <f t="shared" si="10"/>
        <v>163.04</v>
      </c>
      <c r="K40">
        <f t="shared" si="11"/>
        <v>29.347199999999997</v>
      </c>
      <c r="L40">
        <f t="shared" si="12"/>
        <v>140.01</v>
      </c>
      <c r="M40">
        <f t="shared" si="13"/>
        <v>104.17</v>
      </c>
    </row>
    <row r="41" spans="1:13" ht="18" customHeight="1" x14ac:dyDescent="0.3">
      <c r="A41" s="25" t="s">
        <v>220</v>
      </c>
      <c r="B41" s="25"/>
      <c r="C41" s="25"/>
      <c r="G41" t="str">
        <f t="shared" si="7"/>
        <v/>
      </c>
      <c r="H41" t="str">
        <f t="shared" si="8"/>
        <v/>
      </c>
      <c r="I41" t="str">
        <f t="shared" si="9"/>
        <v/>
      </c>
      <c r="J41" t="str">
        <f t="shared" si="10"/>
        <v/>
      </c>
      <c r="K41" t="str">
        <f t="shared" si="11"/>
        <v/>
      </c>
      <c r="L41" t="str">
        <f t="shared" si="12"/>
        <v/>
      </c>
      <c r="M41" t="str">
        <f t="shared" si="13"/>
        <v/>
      </c>
    </row>
    <row r="42" spans="1:13" ht="15" customHeight="1" x14ac:dyDescent="0.3">
      <c r="A42" s="21" t="s">
        <v>221</v>
      </c>
      <c r="B42" s="22" t="s">
        <v>573</v>
      </c>
      <c r="C42" s="23"/>
      <c r="D42" s="24" t="s">
        <v>95</v>
      </c>
      <c r="E42" s="1" t="s">
        <v>63</v>
      </c>
      <c r="F42" s="20" t="s">
        <v>562</v>
      </c>
      <c r="G42">
        <f t="shared" si="7"/>
        <v>112.5</v>
      </c>
      <c r="H42">
        <f t="shared" si="8"/>
        <v>112.5</v>
      </c>
      <c r="I42">
        <f t="shared" si="9"/>
        <v>300</v>
      </c>
      <c r="J42">
        <f t="shared" si="10"/>
        <v>244.57</v>
      </c>
      <c r="K42">
        <f t="shared" si="11"/>
        <v>44.022599999999997</v>
      </c>
      <c r="L42">
        <f t="shared" si="12"/>
        <v>148.86000000000001</v>
      </c>
      <c r="M42">
        <f t="shared" si="13"/>
        <v>500</v>
      </c>
    </row>
    <row r="43" spans="1:13" ht="15" customHeight="1" x14ac:dyDescent="0.3">
      <c r="A43" s="16" t="s">
        <v>221</v>
      </c>
      <c r="B43" s="17" t="s">
        <v>574</v>
      </c>
      <c r="C43" s="18"/>
      <c r="D43" s="19" t="s">
        <v>95</v>
      </c>
      <c r="E43" s="1" t="s">
        <v>63</v>
      </c>
      <c r="F43" s="20" t="s">
        <v>336</v>
      </c>
      <c r="G43">
        <f t="shared" si="7"/>
        <v>112.5</v>
      </c>
      <c r="H43">
        <f t="shared" si="8"/>
        <v>75</v>
      </c>
      <c r="I43">
        <f t="shared" si="9"/>
        <v>300</v>
      </c>
      <c r="J43">
        <f t="shared" si="10"/>
        <v>163.04</v>
      </c>
      <c r="K43">
        <f t="shared" si="11"/>
        <v>29.347199999999997</v>
      </c>
      <c r="L43">
        <f t="shared" si="12"/>
        <v>180.77</v>
      </c>
      <c r="M43">
        <f t="shared" si="13"/>
        <v>500</v>
      </c>
    </row>
    <row r="44" spans="1:13" ht="15" customHeight="1" x14ac:dyDescent="0.3">
      <c r="A44" s="21" t="s">
        <v>221</v>
      </c>
      <c r="B44" s="22" t="s">
        <v>333</v>
      </c>
      <c r="C44" s="23"/>
      <c r="D44" s="24" t="s">
        <v>95</v>
      </c>
      <c r="E44" s="1" t="s">
        <v>63</v>
      </c>
      <c r="F44" s="20" t="s">
        <v>334</v>
      </c>
      <c r="G44">
        <f t="shared" si="7"/>
        <v>50</v>
      </c>
      <c r="H44">
        <f t="shared" si="8"/>
        <v>75</v>
      </c>
      <c r="I44">
        <f t="shared" si="9"/>
        <v>150</v>
      </c>
      <c r="J44">
        <f t="shared" si="10"/>
        <v>163.04</v>
      </c>
      <c r="K44">
        <f t="shared" si="11"/>
        <v>29.347199999999997</v>
      </c>
      <c r="L44">
        <f t="shared" si="12"/>
        <v>44.9</v>
      </c>
      <c r="M44">
        <f t="shared" si="13"/>
        <v>250</v>
      </c>
    </row>
    <row r="45" spans="1:13" ht="15" customHeight="1" x14ac:dyDescent="0.3">
      <c r="A45" s="16" t="s">
        <v>221</v>
      </c>
      <c r="B45" s="17" t="s">
        <v>240</v>
      </c>
      <c r="C45" s="18"/>
      <c r="D45" s="19" t="s">
        <v>95</v>
      </c>
      <c r="E45" s="1" t="s">
        <v>63</v>
      </c>
      <c r="F45" s="20" t="s">
        <v>241</v>
      </c>
      <c r="G45">
        <f t="shared" si="7"/>
        <v>7.5</v>
      </c>
      <c r="H45">
        <f t="shared" si="8"/>
        <v>15</v>
      </c>
      <c r="I45">
        <f t="shared" si="9"/>
        <v>15</v>
      </c>
      <c r="J45">
        <f t="shared" si="10"/>
        <v>32.61</v>
      </c>
      <c r="K45">
        <f t="shared" si="11"/>
        <v>5.8697999999999997</v>
      </c>
      <c r="L45">
        <f t="shared" si="12"/>
        <v>3.54</v>
      </c>
      <c r="M45">
        <f t="shared" si="13"/>
        <v>25</v>
      </c>
    </row>
    <row r="46" spans="1:13" ht="15" customHeight="1" x14ac:dyDescent="0.3">
      <c r="A46" s="21" t="s">
        <v>221</v>
      </c>
      <c r="B46" s="22" t="s">
        <v>245</v>
      </c>
      <c r="C46" s="23"/>
      <c r="D46" s="24" t="s">
        <v>95</v>
      </c>
      <c r="E46" s="1" t="s">
        <v>63</v>
      </c>
      <c r="F46" s="20" t="s">
        <v>241</v>
      </c>
      <c r="G46">
        <f t="shared" si="7"/>
        <v>7.5</v>
      </c>
      <c r="H46">
        <f t="shared" si="8"/>
        <v>15</v>
      </c>
      <c r="I46">
        <f t="shared" si="9"/>
        <v>15</v>
      </c>
      <c r="J46">
        <f t="shared" si="10"/>
        <v>32.61</v>
      </c>
      <c r="K46">
        <f t="shared" si="11"/>
        <v>5.8697999999999997</v>
      </c>
      <c r="L46">
        <f t="shared" si="12"/>
        <v>3.54</v>
      </c>
      <c r="M46">
        <f t="shared" si="13"/>
        <v>25</v>
      </c>
    </row>
    <row r="47" spans="1:13" ht="15" customHeight="1" x14ac:dyDescent="0.3">
      <c r="A47" s="16" t="s">
        <v>221</v>
      </c>
      <c r="B47" s="17" t="s">
        <v>575</v>
      </c>
      <c r="C47" s="18"/>
      <c r="D47" s="19" t="s">
        <v>95</v>
      </c>
      <c r="E47" s="1" t="s">
        <v>63</v>
      </c>
      <c r="F47" s="20" t="s">
        <v>241</v>
      </c>
      <c r="G47">
        <f t="shared" si="7"/>
        <v>7.5</v>
      </c>
      <c r="H47">
        <f t="shared" si="8"/>
        <v>15</v>
      </c>
      <c r="I47">
        <f t="shared" si="9"/>
        <v>15</v>
      </c>
      <c r="J47">
        <f t="shared" si="10"/>
        <v>32.61</v>
      </c>
      <c r="K47">
        <f t="shared" si="11"/>
        <v>5.8697999999999997</v>
      </c>
      <c r="L47">
        <f t="shared" si="12"/>
        <v>3.54</v>
      </c>
      <c r="M47">
        <f t="shared" si="13"/>
        <v>25</v>
      </c>
    </row>
    <row r="48" spans="1:13" ht="15" customHeight="1" x14ac:dyDescent="0.3">
      <c r="A48" s="21" t="s">
        <v>221</v>
      </c>
      <c r="B48" s="22" t="s">
        <v>576</v>
      </c>
      <c r="C48" s="23"/>
      <c r="D48" s="24" t="s">
        <v>95</v>
      </c>
      <c r="E48" s="1" t="s">
        <v>63</v>
      </c>
      <c r="F48" s="20" t="s">
        <v>577</v>
      </c>
      <c r="G48">
        <f t="shared" si="7"/>
        <v>93.75</v>
      </c>
      <c r="H48">
        <f t="shared" si="8"/>
        <v>50</v>
      </c>
      <c r="I48">
        <f t="shared" si="9"/>
        <v>93.75</v>
      </c>
      <c r="J48">
        <f t="shared" si="10"/>
        <v>108.7</v>
      </c>
      <c r="K48">
        <f t="shared" si="11"/>
        <v>19.565999999999999</v>
      </c>
      <c r="L48">
        <f t="shared" si="12"/>
        <v>161.27000000000001</v>
      </c>
      <c r="M48">
        <f t="shared" si="13"/>
        <v>156.25</v>
      </c>
    </row>
    <row r="49" spans="1:13" ht="15" customHeight="1" x14ac:dyDescent="0.3">
      <c r="A49" s="16" t="s">
        <v>221</v>
      </c>
      <c r="B49" s="17" t="s">
        <v>248</v>
      </c>
      <c r="C49" s="18"/>
      <c r="D49" s="19" t="s">
        <v>95</v>
      </c>
      <c r="E49" s="1" t="s">
        <v>63</v>
      </c>
      <c r="F49" s="20" t="s">
        <v>249</v>
      </c>
      <c r="G49">
        <f t="shared" si="7"/>
        <v>125</v>
      </c>
      <c r="H49">
        <f t="shared" si="8"/>
        <v>62.5</v>
      </c>
      <c r="I49">
        <f t="shared" si="9"/>
        <v>62.5</v>
      </c>
      <c r="J49">
        <f t="shared" si="10"/>
        <v>135.87</v>
      </c>
      <c r="K49">
        <f t="shared" si="11"/>
        <v>24.456600000000002</v>
      </c>
      <c r="L49">
        <f t="shared" si="12"/>
        <v>218.57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326</v>
      </c>
      <c r="C50" s="23"/>
      <c r="D50" s="24" t="s">
        <v>95</v>
      </c>
      <c r="E50" s="1" t="s">
        <v>63</v>
      </c>
      <c r="F50" s="20" t="s">
        <v>227</v>
      </c>
      <c r="G50">
        <f t="shared" si="7"/>
        <v>50</v>
      </c>
      <c r="H50">
        <f t="shared" si="8"/>
        <v>62.5</v>
      </c>
      <c r="I50">
        <f t="shared" si="9"/>
        <v>37.5</v>
      </c>
      <c r="J50">
        <f t="shared" si="10"/>
        <v>135.87</v>
      </c>
      <c r="K50">
        <f t="shared" si="11"/>
        <v>24.456600000000002</v>
      </c>
      <c r="L50">
        <f t="shared" si="12"/>
        <v>55.53</v>
      </c>
      <c r="M50">
        <f t="shared" si="13"/>
        <v>62.5</v>
      </c>
    </row>
    <row r="51" spans="1:13" ht="15" customHeight="1" x14ac:dyDescent="0.3">
      <c r="A51" s="16" t="s">
        <v>221</v>
      </c>
      <c r="B51" s="17" t="s">
        <v>325</v>
      </c>
      <c r="C51" s="18"/>
      <c r="D51" s="19" t="s">
        <v>95</v>
      </c>
      <c r="E51" s="1" t="s">
        <v>63</v>
      </c>
      <c r="F51" s="20" t="s">
        <v>225</v>
      </c>
      <c r="G51">
        <f t="shared" si="7"/>
        <v>125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218.57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222</v>
      </c>
      <c r="C52" s="23"/>
      <c r="D52" s="24" t="s">
        <v>95</v>
      </c>
      <c r="E52" s="1" t="s">
        <v>63</v>
      </c>
      <c r="F52" s="20" t="s">
        <v>223</v>
      </c>
      <c r="G52">
        <f t="shared" si="7"/>
        <v>187.5</v>
      </c>
      <c r="H52">
        <f t="shared" si="8"/>
        <v>125</v>
      </c>
      <c r="I52">
        <f t="shared" si="9"/>
        <v>62.5</v>
      </c>
      <c r="J52">
        <f t="shared" si="10"/>
        <v>271.74</v>
      </c>
      <c r="K52">
        <f t="shared" si="11"/>
        <v>48.913200000000003</v>
      </c>
      <c r="L52">
        <f t="shared" si="12"/>
        <v>301.27999999999997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232</v>
      </c>
      <c r="C53" s="18"/>
      <c r="D53" s="19" t="s">
        <v>95</v>
      </c>
      <c r="E53" s="1" t="s">
        <v>63</v>
      </c>
      <c r="F53" s="20" t="s">
        <v>233</v>
      </c>
      <c r="G53">
        <f t="shared" si="7"/>
        <v>125</v>
      </c>
      <c r="H53">
        <f t="shared" si="8"/>
        <v>156.25</v>
      </c>
      <c r="I53">
        <f t="shared" si="9"/>
        <v>31.25</v>
      </c>
      <c r="J53">
        <f t="shared" si="10"/>
        <v>339.67</v>
      </c>
      <c r="K53">
        <f t="shared" si="11"/>
        <v>61.140599999999999</v>
      </c>
      <c r="L53">
        <f t="shared" si="12"/>
        <v>138.82</v>
      </c>
      <c r="M53">
        <f t="shared" si="13"/>
        <v>52.08</v>
      </c>
    </row>
    <row r="54" spans="1:13" ht="15" customHeight="1" x14ac:dyDescent="0.3">
      <c r="A54" s="21" t="s">
        <v>221</v>
      </c>
      <c r="B54" s="22" t="s">
        <v>236</v>
      </c>
      <c r="C54" s="23"/>
      <c r="D54" s="24" t="s">
        <v>95</v>
      </c>
      <c r="E54" s="1" t="s">
        <v>63</v>
      </c>
      <c r="F54" s="20" t="s">
        <v>237</v>
      </c>
      <c r="G54">
        <f t="shared" si="7"/>
        <v>62.5</v>
      </c>
      <c r="H54">
        <f t="shared" si="8"/>
        <v>62.5</v>
      </c>
      <c r="I54">
        <f t="shared" si="9"/>
        <v>62.5</v>
      </c>
      <c r="J54">
        <f t="shared" si="10"/>
        <v>135.87</v>
      </c>
      <c r="K54">
        <f t="shared" si="11"/>
        <v>24.456600000000002</v>
      </c>
      <c r="L54">
        <f t="shared" si="12"/>
        <v>82.7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165</v>
      </c>
      <c r="C55" s="18"/>
      <c r="D55" s="19" t="s">
        <v>95</v>
      </c>
      <c r="E55" s="1" t="s">
        <v>63</v>
      </c>
      <c r="F55" s="20" t="s">
        <v>160</v>
      </c>
      <c r="G55">
        <f t="shared" si="7"/>
        <v>25</v>
      </c>
      <c r="H55">
        <f t="shared" si="8"/>
        <v>50</v>
      </c>
      <c r="I55">
        <f t="shared" si="9"/>
        <v>25</v>
      </c>
      <c r="J55">
        <f t="shared" si="10"/>
        <v>108.7</v>
      </c>
      <c r="K55">
        <f t="shared" si="11"/>
        <v>19.565999999999999</v>
      </c>
      <c r="L55">
        <f t="shared" si="12"/>
        <v>11.81</v>
      </c>
      <c r="M55">
        <f t="shared" si="13"/>
        <v>41.67</v>
      </c>
    </row>
    <row r="56" spans="1:13" ht="15" customHeight="1" x14ac:dyDescent="0.3">
      <c r="A56" s="21" t="s">
        <v>221</v>
      </c>
      <c r="B56" s="22" t="s">
        <v>228</v>
      </c>
      <c r="C56" s="23"/>
      <c r="D56" s="24" t="s">
        <v>95</v>
      </c>
      <c r="E56" s="1" t="s">
        <v>63</v>
      </c>
      <c r="F56" s="20" t="s">
        <v>229</v>
      </c>
      <c r="G56">
        <f t="shared" si="7"/>
        <v>150</v>
      </c>
      <c r="H56">
        <f t="shared" si="8"/>
        <v>75</v>
      </c>
      <c r="I56">
        <f t="shared" si="9"/>
        <v>37.5</v>
      </c>
      <c r="J56">
        <f t="shared" si="10"/>
        <v>163.04</v>
      </c>
      <c r="K56">
        <f t="shared" si="11"/>
        <v>29.347199999999997</v>
      </c>
      <c r="L56">
        <f t="shared" si="12"/>
        <v>262.29000000000002</v>
      </c>
      <c r="M56">
        <f t="shared" si="13"/>
        <v>62.5</v>
      </c>
    </row>
    <row r="57" spans="1:13" ht="15" customHeight="1" x14ac:dyDescent="0.3">
      <c r="A57" s="16" t="s">
        <v>221</v>
      </c>
      <c r="B57" s="17" t="s">
        <v>238</v>
      </c>
      <c r="C57" s="18"/>
      <c r="D57" s="19" t="s">
        <v>95</v>
      </c>
      <c r="E57" s="1" t="s">
        <v>63</v>
      </c>
      <c r="F57" s="20" t="s">
        <v>239</v>
      </c>
      <c r="G57">
        <f t="shared" si="7"/>
        <v>150</v>
      </c>
      <c r="H57">
        <f t="shared" si="8"/>
        <v>75</v>
      </c>
      <c r="I57">
        <f t="shared" si="9"/>
        <v>75</v>
      </c>
      <c r="J57">
        <f t="shared" si="10"/>
        <v>163.04</v>
      </c>
      <c r="K57">
        <f t="shared" si="11"/>
        <v>29.347199999999997</v>
      </c>
      <c r="L57">
        <f t="shared" si="12"/>
        <v>262.29000000000002</v>
      </c>
      <c r="M57">
        <f t="shared" si="13"/>
        <v>125</v>
      </c>
    </row>
    <row r="58" spans="1:13" ht="15" customHeight="1" x14ac:dyDescent="0.3">
      <c r="A58" s="21" t="s">
        <v>221</v>
      </c>
      <c r="B58" s="22" t="s">
        <v>244</v>
      </c>
      <c r="C58" s="23"/>
      <c r="D58" s="24" t="s">
        <v>95</v>
      </c>
      <c r="E58" s="1" t="s">
        <v>63</v>
      </c>
      <c r="F58" s="20" t="s">
        <v>241</v>
      </c>
      <c r="G58">
        <f t="shared" si="7"/>
        <v>7.5</v>
      </c>
      <c r="H58">
        <f t="shared" si="8"/>
        <v>15</v>
      </c>
      <c r="I58">
        <f t="shared" si="9"/>
        <v>15</v>
      </c>
      <c r="J58">
        <f t="shared" si="10"/>
        <v>32.61</v>
      </c>
      <c r="K58">
        <f t="shared" si="11"/>
        <v>5.8697999999999997</v>
      </c>
      <c r="L58">
        <f t="shared" si="12"/>
        <v>3.54</v>
      </c>
      <c r="M58">
        <f t="shared" si="13"/>
        <v>25</v>
      </c>
    </row>
    <row r="59" spans="1:13" ht="15" customHeight="1" x14ac:dyDescent="0.3">
      <c r="A59" s="16" t="s">
        <v>221</v>
      </c>
      <c r="B59" s="17" t="s">
        <v>578</v>
      </c>
      <c r="C59" s="18"/>
      <c r="D59" s="19" t="s">
        <v>95</v>
      </c>
      <c r="E59" s="1" t="s">
        <v>63</v>
      </c>
      <c r="F59" s="20" t="s">
        <v>192</v>
      </c>
      <c r="G59">
        <f t="shared" si="7"/>
        <v>137.5</v>
      </c>
      <c r="H59">
        <f t="shared" si="8"/>
        <v>43.75</v>
      </c>
      <c r="I59">
        <f t="shared" si="9"/>
        <v>412.5</v>
      </c>
      <c r="J59">
        <f t="shared" si="10"/>
        <v>95.11</v>
      </c>
      <c r="K59">
        <f t="shared" si="11"/>
        <v>17.119799999999998</v>
      </c>
      <c r="L59">
        <f t="shared" si="12"/>
        <v>261.7</v>
      </c>
      <c r="M59">
        <f t="shared" si="13"/>
        <v>687.5</v>
      </c>
    </row>
    <row r="60" spans="1:13" ht="18" customHeight="1" x14ac:dyDescent="0.3">
      <c r="A60" s="25" t="s">
        <v>252</v>
      </c>
      <c r="B60" s="25"/>
      <c r="C60" s="25"/>
      <c r="G60" t="str">
        <f t="shared" si="7"/>
        <v/>
      </c>
      <c r="H60" t="str">
        <f t="shared" si="8"/>
        <v/>
      </c>
      <c r="I60" t="str">
        <f t="shared" si="9"/>
        <v/>
      </c>
      <c r="J60" t="str">
        <f t="shared" si="10"/>
        <v/>
      </c>
      <c r="K60" t="str">
        <f t="shared" si="11"/>
        <v/>
      </c>
      <c r="L60" t="str">
        <f t="shared" si="12"/>
        <v/>
      </c>
      <c r="M60" t="str">
        <f t="shared" si="13"/>
        <v/>
      </c>
    </row>
    <row r="61" spans="1:13" ht="15" customHeight="1" x14ac:dyDescent="0.3">
      <c r="A61" s="21" t="s">
        <v>253</v>
      </c>
      <c r="B61" s="22" t="s">
        <v>579</v>
      </c>
      <c r="C61" s="23"/>
      <c r="D61" s="24" t="s">
        <v>95</v>
      </c>
      <c r="E61" s="1" t="s">
        <v>63</v>
      </c>
      <c r="F61" s="20" t="s">
        <v>260</v>
      </c>
      <c r="G61">
        <f t="shared" si="7"/>
        <v>125</v>
      </c>
      <c r="H61">
        <f t="shared" si="8"/>
        <v>50</v>
      </c>
      <c r="I61">
        <f t="shared" si="9"/>
        <v>175</v>
      </c>
      <c r="J61">
        <f t="shared" si="10"/>
        <v>108.7</v>
      </c>
      <c r="K61">
        <f t="shared" si="11"/>
        <v>19.565999999999999</v>
      </c>
      <c r="L61">
        <f t="shared" si="12"/>
        <v>229.2</v>
      </c>
      <c r="M61">
        <f t="shared" si="13"/>
        <v>291.67</v>
      </c>
    </row>
    <row r="62" spans="1:13" ht="15" customHeight="1" x14ac:dyDescent="0.3">
      <c r="A62" s="16" t="s">
        <v>253</v>
      </c>
      <c r="B62" s="17" t="s">
        <v>580</v>
      </c>
      <c r="C62" s="18"/>
      <c r="D62" s="19" t="s">
        <v>95</v>
      </c>
      <c r="E62" s="1" t="s">
        <v>63</v>
      </c>
      <c r="F62" s="20" t="s">
        <v>338</v>
      </c>
      <c r="G62">
        <f t="shared" si="7"/>
        <v>93.75</v>
      </c>
      <c r="H62">
        <f t="shared" si="8"/>
        <v>93.75</v>
      </c>
      <c r="I62">
        <f t="shared" si="9"/>
        <v>187.5</v>
      </c>
      <c r="J62">
        <f t="shared" si="10"/>
        <v>203.8</v>
      </c>
      <c r="K62">
        <f t="shared" si="11"/>
        <v>36.683999999999997</v>
      </c>
      <c r="L62">
        <f t="shared" si="12"/>
        <v>124.06</v>
      </c>
      <c r="M62">
        <f t="shared" si="13"/>
        <v>312.5</v>
      </c>
    </row>
    <row r="63" spans="1:13" ht="15" customHeight="1" x14ac:dyDescent="0.3">
      <c r="A63" s="21" t="s">
        <v>253</v>
      </c>
      <c r="B63" s="22" t="s">
        <v>323</v>
      </c>
      <c r="C63" s="23"/>
      <c r="D63" s="24" t="s">
        <v>95</v>
      </c>
      <c r="E63" s="1" t="s">
        <v>63</v>
      </c>
      <c r="F63" s="20" t="s">
        <v>324</v>
      </c>
      <c r="G63">
        <f t="shared" si="7"/>
        <v>93.75</v>
      </c>
      <c r="H63">
        <f t="shared" si="8"/>
        <v>62.5</v>
      </c>
      <c r="I63">
        <f t="shared" si="9"/>
        <v>62.5</v>
      </c>
      <c r="J63">
        <f t="shared" si="10"/>
        <v>135.87</v>
      </c>
      <c r="K63">
        <f t="shared" si="11"/>
        <v>24.456600000000002</v>
      </c>
      <c r="L63">
        <f t="shared" si="12"/>
        <v>150.63999999999999</v>
      </c>
      <c r="M63">
        <f t="shared" si="13"/>
        <v>104.17</v>
      </c>
    </row>
    <row r="64" spans="1:13" ht="15" customHeight="1" x14ac:dyDescent="0.3">
      <c r="A64" s="16" t="s">
        <v>253</v>
      </c>
      <c r="B64" s="17" t="s">
        <v>255</v>
      </c>
      <c r="C64" s="18"/>
      <c r="D64" s="19" t="s">
        <v>95</v>
      </c>
      <c r="E64" s="1" t="s">
        <v>63</v>
      </c>
      <c r="F64" s="20" t="s">
        <v>256</v>
      </c>
      <c r="G64">
        <f t="shared" si="7"/>
        <v>31.25</v>
      </c>
      <c r="H64">
        <f t="shared" si="8"/>
        <v>75</v>
      </c>
      <c r="I64">
        <f t="shared" si="9"/>
        <v>22.5</v>
      </c>
      <c r="J64">
        <f t="shared" si="10"/>
        <v>163.04</v>
      </c>
      <c r="K64">
        <f t="shared" si="11"/>
        <v>29.347199999999997</v>
      </c>
      <c r="L64">
        <f t="shared" si="12"/>
        <v>4.1399999999999997</v>
      </c>
      <c r="M64">
        <f t="shared" si="13"/>
        <v>37.5</v>
      </c>
    </row>
    <row r="65" spans="1:13" ht="15" customHeight="1" x14ac:dyDescent="0.3">
      <c r="A65" s="21" t="s">
        <v>253</v>
      </c>
      <c r="B65" s="22" t="s">
        <v>419</v>
      </c>
      <c r="C65" s="23"/>
      <c r="D65" s="24" t="s">
        <v>95</v>
      </c>
      <c r="E65" s="1" t="s">
        <v>63</v>
      </c>
      <c r="F65" s="20" t="s">
        <v>420</v>
      </c>
      <c r="G65">
        <f t="shared" si="7"/>
        <v>375</v>
      </c>
      <c r="H65">
        <f t="shared" si="8"/>
        <v>375</v>
      </c>
      <c r="I65">
        <f t="shared" si="9"/>
        <v>1200</v>
      </c>
      <c r="J65">
        <f t="shared" si="10"/>
        <v>815.22</v>
      </c>
      <c r="K65">
        <f t="shared" si="11"/>
        <v>146.7396</v>
      </c>
      <c r="L65">
        <f t="shared" si="12"/>
        <v>496.22</v>
      </c>
      <c r="M65">
        <f t="shared" si="13"/>
        <v>2000</v>
      </c>
    </row>
    <row r="66" spans="1:13" ht="15" customHeight="1" x14ac:dyDescent="0.3">
      <c r="A66" s="16" t="s">
        <v>253</v>
      </c>
      <c r="B66" s="17" t="s">
        <v>581</v>
      </c>
      <c r="C66" s="18"/>
      <c r="D66" s="19" t="s">
        <v>95</v>
      </c>
      <c r="E66" s="1" t="s">
        <v>63</v>
      </c>
      <c r="F66" s="20" t="s">
        <v>420</v>
      </c>
      <c r="G66">
        <f t="shared" si="7"/>
        <v>375</v>
      </c>
      <c r="H66">
        <f t="shared" si="8"/>
        <v>375</v>
      </c>
      <c r="I66">
        <f t="shared" si="9"/>
        <v>1200</v>
      </c>
      <c r="J66">
        <f t="shared" si="10"/>
        <v>815.22</v>
      </c>
      <c r="K66">
        <f t="shared" si="11"/>
        <v>146.7396</v>
      </c>
      <c r="L66">
        <f t="shared" si="12"/>
        <v>496.22</v>
      </c>
      <c r="M66">
        <f t="shared" si="13"/>
        <v>2000</v>
      </c>
    </row>
    <row r="67" spans="1:13" ht="15" customHeight="1" x14ac:dyDescent="0.3">
      <c r="A67" s="21" t="s">
        <v>253</v>
      </c>
      <c r="B67" s="22" t="s">
        <v>340</v>
      </c>
      <c r="C67" s="23"/>
      <c r="D67" s="24" t="s">
        <v>95</v>
      </c>
      <c r="E67" s="1" t="s">
        <v>63</v>
      </c>
      <c r="F67" s="20" t="s">
        <v>341</v>
      </c>
      <c r="G67">
        <f t="shared" si="7"/>
        <v>250</v>
      </c>
      <c r="H67">
        <f t="shared" si="8"/>
        <v>225</v>
      </c>
      <c r="I67">
        <f t="shared" si="9"/>
        <v>312.5</v>
      </c>
      <c r="J67">
        <f t="shared" si="10"/>
        <v>489.13</v>
      </c>
      <c r="K67">
        <f t="shared" si="11"/>
        <v>88.043399999999991</v>
      </c>
      <c r="L67">
        <f t="shared" si="12"/>
        <v>352.08</v>
      </c>
      <c r="M67">
        <f t="shared" si="13"/>
        <v>520.83000000000004</v>
      </c>
    </row>
    <row r="68" spans="1:13" ht="15" customHeight="1" x14ac:dyDescent="0.3">
      <c r="A68" s="16" t="s">
        <v>253</v>
      </c>
      <c r="B68" s="17" t="s">
        <v>547</v>
      </c>
      <c r="C68" s="18"/>
      <c r="D68" s="19" t="s">
        <v>95</v>
      </c>
      <c r="E68" s="1" t="s">
        <v>63</v>
      </c>
      <c r="F68" s="20" t="s">
        <v>548</v>
      </c>
      <c r="G68">
        <f t="shared" si="7"/>
        <v>62.5</v>
      </c>
      <c r="H68">
        <f t="shared" si="8"/>
        <v>31.25</v>
      </c>
      <c r="I68">
        <f t="shared" si="9"/>
        <v>100</v>
      </c>
      <c r="J68">
        <f t="shared" si="10"/>
        <v>67.930000000000007</v>
      </c>
      <c r="K68">
        <f t="shared" si="11"/>
        <v>12.227400000000001</v>
      </c>
      <c r="L68">
        <f t="shared" si="12"/>
        <v>109.29</v>
      </c>
      <c r="M68">
        <f t="shared" si="13"/>
        <v>166.67</v>
      </c>
    </row>
    <row r="69" spans="1:13" ht="15" customHeight="1" x14ac:dyDescent="0.3">
      <c r="A69" s="21" t="s">
        <v>253</v>
      </c>
      <c r="B69" s="22" t="s">
        <v>582</v>
      </c>
      <c r="C69" s="23"/>
      <c r="D69" s="24" t="s">
        <v>95</v>
      </c>
      <c r="E69" s="1" t="s">
        <v>63</v>
      </c>
      <c r="F69" s="20" t="s">
        <v>583</v>
      </c>
      <c r="G69">
        <f t="shared" si="7"/>
        <v>62.5</v>
      </c>
      <c r="H69">
        <f t="shared" si="8"/>
        <v>31.25</v>
      </c>
      <c r="I69">
        <f t="shared" si="9"/>
        <v>31.25</v>
      </c>
      <c r="J69">
        <f t="shared" si="10"/>
        <v>67.930000000000007</v>
      </c>
      <c r="K69">
        <f t="shared" si="11"/>
        <v>12.227400000000001</v>
      </c>
      <c r="L69">
        <f t="shared" si="12"/>
        <v>109.29</v>
      </c>
      <c r="M69">
        <f t="shared" si="13"/>
        <v>52.08</v>
      </c>
    </row>
    <row r="70" spans="1:13" ht="15" customHeight="1" x14ac:dyDescent="0.3">
      <c r="A70" s="16" t="s">
        <v>253</v>
      </c>
      <c r="B70" s="17" t="s">
        <v>440</v>
      </c>
      <c r="C70" s="18"/>
      <c r="D70" s="19" t="s">
        <v>95</v>
      </c>
      <c r="E70" s="1" t="s">
        <v>63</v>
      </c>
      <c r="F70" s="20" t="s">
        <v>441</v>
      </c>
      <c r="G70">
        <f t="shared" si="7"/>
        <v>62.5</v>
      </c>
      <c r="H70">
        <f t="shared" si="8"/>
        <v>31.25</v>
      </c>
      <c r="I70">
        <f t="shared" si="9"/>
        <v>50</v>
      </c>
      <c r="J70">
        <f t="shared" si="10"/>
        <v>67.930000000000007</v>
      </c>
      <c r="K70">
        <f t="shared" si="11"/>
        <v>12.227400000000001</v>
      </c>
      <c r="L70">
        <f t="shared" si="12"/>
        <v>109.29</v>
      </c>
      <c r="M70">
        <f t="shared" si="13"/>
        <v>83.33</v>
      </c>
    </row>
    <row r="71" spans="1:13" ht="15" customHeight="1" x14ac:dyDescent="0.3">
      <c r="A71" s="21" t="s">
        <v>253</v>
      </c>
      <c r="B71" s="22" t="s">
        <v>584</v>
      </c>
      <c r="C71" s="23"/>
      <c r="D71" s="24" t="s">
        <v>95</v>
      </c>
      <c r="E71" s="1" t="s">
        <v>63</v>
      </c>
      <c r="F71" s="20" t="s">
        <v>211</v>
      </c>
      <c r="G71">
        <f t="shared" ref="G71:G89" si="14">IF($F71="","",IFERROR(VALUE(TRIM(LEFT($F71,FIND(":",$F71)-1)))*1.25,"N/A"))</f>
        <v>93.75</v>
      </c>
      <c r="H71">
        <f t="shared" ref="H71:H89" si="15">IF($F71="","",IFERROR(VALUE(TRIM(MID($F71,FIND(":",$F71)+1,FIND(":",$F71,FIND(":",$F71)+1)-FIND(":",$F71)-1)))*1.25,"N/A"))</f>
        <v>75</v>
      </c>
      <c r="I71">
        <f t="shared" ref="I71:I89" si="16">IF($F71="","",IFERROR(VALUE(TRIM(LEFT(MID($F71,FIND(":",$F71,FIND(":",$F71)+1)+1,LEN($F71)),FIND(" ",MID($F71,FIND(":",$F71,FIND(":",$F71)+1)+1,LEN($F71))&amp;" ")-1)))*1.25,"N/A"))</f>
        <v>62.5</v>
      </c>
      <c r="J71">
        <f t="shared" ref="J71:J89" si="17">IF(OR($F71="",$H71="N/A"),IF($F71="","","N/A"),ROUND($H71/0.46,2))</f>
        <v>163.04</v>
      </c>
      <c r="K71">
        <f t="shared" ref="K71:K89" si="18">IF(OR($F71="",$J71="N/A"),IF($F71="","","N/A"),$J71*0.18)</f>
        <v>29.347199999999997</v>
      </c>
      <c r="L71">
        <f t="shared" ref="L71:L89" si="19">IF(OR($F71="",$G71="N/A",$K71="N/A"),IF($F71="","","N/A"),ROUND(($G71-$K71)/0.46,2))</f>
        <v>140.01</v>
      </c>
      <c r="M71">
        <f t="shared" ref="M71:M89" si="20">IF(OR($F71="",$I71="N/A"),IF($F71="","","N/A"),ROUND($I71/0.6,2))</f>
        <v>104.17</v>
      </c>
    </row>
    <row r="72" spans="1:13" ht="15" customHeight="1" x14ac:dyDescent="0.3">
      <c r="A72" s="16" t="s">
        <v>253</v>
      </c>
      <c r="B72" s="17" t="s">
        <v>261</v>
      </c>
      <c r="C72" s="18"/>
      <c r="D72" s="19" t="s">
        <v>95</v>
      </c>
      <c r="E72" s="1" t="s">
        <v>63</v>
      </c>
      <c r="F72" s="20" t="s">
        <v>262</v>
      </c>
      <c r="G72">
        <f t="shared" si="14"/>
        <v>187.5</v>
      </c>
      <c r="H72">
        <f t="shared" si="15"/>
        <v>125</v>
      </c>
      <c r="I72">
        <f t="shared" si="16"/>
        <v>37.5</v>
      </c>
      <c r="J72">
        <f t="shared" si="17"/>
        <v>271.74</v>
      </c>
      <c r="K72">
        <f t="shared" si="18"/>
        <v>48.913200000000003</v>
      </c>
      <c r="L72">
        <f t="shared" si="19"/>
        <v>301.27999999999997</v>
      </c>
      <c r="M72">
        <f t="shared" si="20"/>
        <v>62.5</v>
      </c>
    </row>
    <row r="73" spans="1:13" ht="15" customHeight="1" x14ac:dyDescent="0.3">
      <c r="A73" s="21" t="s">
        <v>253</v>
      </c>
      <c r="B73" s="22" t="s">
        <v>367</v>
      </c>
      <c r="C73" s="23"/>
      <c r="D73" s="24" t="s">
        <v>95</v>
      </c>
      <c r="E73" s="1" t="s">
        <v>63</v>
      </c>
      <c r="F73" s="20" t="s">
        <v>266</v>
      </c>
      <c r="G73">
        <f t="shared" si="14"/>
        <v>125</v>
      </c>
      <c r="H73">
        <f t="shared" si="15"/>
        <v>50</v>
      </c>
      <c r="I73">
        <f t="shared" si="16"/>
        <v>187.5</v>
      </c>
      <c r="J73">
        <f t="shared" si="17"/>
        <v>108.7</v>
      </c>
      <c r="K73">
        <f t="shared" si="18"/>
        <v>19.565999999999999</v>
      </c>
      <c r="L73">
        <f t="shared" si="19"/>
        <v>229.2</v>
      </c>
      <c r="M73">
        <f t="shared" si="20"/>
        <v>312.5</v>
      </c>
    </row>
    <row r="74" spans="1:13" ht="18" customHeight="1" x14ac:dyDescent="0.3">
      <c r="A74" s="25" t="s">
        <v>263</v>
      </c>
      <c r="B74" s="25"/>
      <c r="C74" s="25"/>
      <c r="G74" t="str">
        <f t="shared" si="14"/>
        <v/>
      </c>
      <c r="H74" t="str">
        <f t="shared" si="15"/>
        <v/>
      </c>
      <c r="I74" t="str">
        <f t="shared" si="16"/>
        <v/>
      </c>
      <c r="J74" t="str">
        <f t="shared" si="17"/>
        <v/>
      </c>
      <c r="K74" t="str">
        <f t="shared" si="18"/>
        <v/>
      </c>
      <c r="L74" t="str">
        <f t="shared" si="19"/>
        <v/>
      </c>
      <c r="M74" t="str">
        <f t="shared" si="20"/>
        <v/>
      </c>
    </row>
    <row r="75" spans="1:13" ht="15" customHeight="1" x14ac:dyDescent="0.3">
      <c r="A75" s="16" t="s">
        <v>264</v>
      </c>
      <c r="B75" s="17" t="s">
        <v>296</v>
      </c>
      <c r="C75" s="18"/>
      <c r="D75" s="19" t="s">
        <v>95</v>
      </c>
      <c r="E75" s="1" t="s">
        <v>63</v>
      </c>
      <c r="F75" s="20" t="s">
        <v>268</v>
      </c>
      <c r="G75">
        <f t="shared" si="14"/>
        <v>15</v>
      </c>
      <c r="H75">
        <f t="shared" si="15"/>
        <v>7.5</v>
      </c>
      <c r="I75">
        <f t="shared" si="16"/>
        <v>7.5</v>
      </c>
      <c r="J75">
        <f t="shared" si="17"/>
        <v>16.3</v>
      </c>
      <c r="K75">
        <f t="shared" si="18"/>
        <v>2.9340000000000002</v>
      </c>
      <c r="L75">
        <f t="shared" si="19"/>
        <v>26.23</v>
      </c>
      <c r="M75">
        <f t="shared" si="20"/>
        <v>12.5</v>
      </c>
    </row>
    <row r="76" spans="1:13" ht="15" customHeight="1" x14ac:dyDescent="0.3">
      <c r="A76" s="21" t="s">
        <v>264</v>
      </c>
      <c r="B76" s="22" t="s">
        <v>342</v>
      </c>
      <c r="C76" s="23"/>
      <c r="D76" s="24" t="s">
        <v>95</v>
      </c>
      <c r="E76" s="1" t="s">
        <v>63</v>
      </c>
      <c r="F76" s="20" t="s">
        <v>343</v>
      </c>
      <c r="G76">
        <f t="shared" si="14"/>
        <v>275</v>
      </c>
      <c r="H76">
        <f t="shared" si="15"/>
        <v>56.25</v>
      </c>
      <c r="I76">
        <f t="shared" si="16"/>
        <v>225</v>
      </c>
      <c r="J76">
        <f t="shared" si="17"/>
        <v>122.28</v>
      </c>
      <c r="K76">
        <f t="shared" si="18"/>
        <v>22.010400000000001</v>
      </c>
      <c r="L76">
        <f t="shared" si="19"/>
        <v>549.98</v>
      </c>
      <c r="M76">
        <f t="shared" si="20"/>
        <v>375</v>
      </c>
    </row>
    <row r="77" spans="1:13" ht="15" customHeight="1" x14ac:dyDescent="0.3">
      <c r="A77" s="16" t="s">
        <v>264</v>
      </c>
      <c r="B77" s="17" t="s">
        <v>344</v>
      </c>
      <c r="C77" s="18"/>
      <c r="D77" s="19" t="s">
        <v>95</v>
      </c>
      <c r="E77" s="1" t="s">
        <v>63</v>
      </c>
      <c r="F77" s="20" t="s">
        <v>345</v>
      </c>
      <c r="G77">
        <f t="shared" si="14"/>
        <v>168.75</v>
      </c>
      <c r="H77">
        <f t="shared" si="15"/>
        <v>42.5</v>
      </c>
      <c r="I77">
        <f t="shared" si="16"/>
        <v>181.25</v>
      </c>
      <c r="J77">
        <f t="shared" si="17"/>
        <v>92.39</v>
      </c>
      <c r="K77">
        <f t="shared" si="18"/>
        <v>16.630199999999999</v>
      </c>
      <c r="L77">
        <f t="shared" si="19"/>
        <v>330.7</v>
      </c>
      <c r="M77">
        <f t="shared" si="20"/>
        <v>302.08</v>
      </c>
    </row>
    <row r="78" spans="1:13" ht="15" customHeight="1" x14ac:dyDescent="0.3">
      <c r="A78" s="21" t="s">
        <v>264</v>
      </c>
      <c r="B78" s="22" t="s">
        <v>206</v>
      </c>
      <c r="C78" s="23"/>
      <c r="D78" s="24" t="s">
        <v>95</v>
      </c>
      <c r="E78" s="1" t="s">
        <v>63</v>
      </c>
      <c r="F78" s="20" t="s">
        <v>207</v>
      </c>
      <c r="G78">
        <f t="shared" si="14"/>
        <v>700</v>
      </c>
      <c r="H78">
        <f t="shared" si="15"/>
        <v>400</v>
      </c>
      <c r="I78">
        <f t="shared" si="16"/>
        <v>1500</v>
      </c>
      <c r="J78">
        <f t="shared" si="17"/>
        <v>869.57</v>
      </c>
      <c r="K78">
        <f t="shared" si="18"/>
        <v>156.52260000000001</v>
      </c>
      <c r="L78">
        <f t="shared" si="19"/>
        <v>1181.47</v>
      </c>
      <c r="M78">
        <f t="shared" si="20"/>
        <v>2500</v>
      </c>
    </row>
    <row r="79" spans="1:13" ht="15" customHeight="1" x14ac:dyDescent="0.3">
      <c r="A79" s="16" t="s">
        <v>264</v>
      </c>
      <c r="B79" s="17" t="s">
        <v>265</v>
      </c>
      <c r="C79" s="18"/>
      <c r="D79" s="19" t="s">
        <v>95</v>
      </c>
      <c r="E79" s="1" t="s">
        <v>63</v>
      </c>
      <c r="F79" s="20" t="s">
        <v>266</v>
      </c>
      <c r="G79">
        <f t="shared" si="14"/>
        <v>125</v>
      </c>
      <c r="H79">
        <f t="shared" si="15"/>
        <v>50</v>
      </c>
      <c r="I79">
        <f t="shared" si="16"/>
        <v>187.5</v>
      </c>
      <c r="J79">
        <f t="shared" si="17"/>
        <v>108.7</v>
      </c>
      <c r="K79">
        <f t="shared" si="18"/>
        <v>19.565999999999999</v>
      </c>
      <c r="L79">
        <f t="shared" si="19"/>
        <v>229.2</v>
      </c>
      <c r="M79">
        <f t="shared" si="20"/>
        <v>312.5</v>
      </c>
    </row>
    <row r="80" spans="1:13" ht="15" customHeight="1" x14ac:dyDescent="0.3">
      <c r="A80" s="21" t="s">
        <v>264</v>
      </c>
      <c r="B80" s="22" t="s">
        <v>212</v>
      </c>
      <c r="C80" s="23"/>
      <c r="D80" s="24" t="s">
        <v>95</v>
      </c>
      <c r="E80" s="1" t="s">
        <v>63</v>
      </c>
      <c r="F80" s="20" t="s">
        <v>213</v>
      </c>
      <c r="G80">
        <f t="shared" si="14"/>
        <v>625</v>
      </c>
      <c r="H80">
        <f t="shared" si="15"/>
        <v>250</v>
      </c>
      <c r="I80">
        <f t="shared" si="16"/>
        <v>375</v>
      </c>
      <c r="J80">
        <f t="shared" si="17"/>
        <v>543.48</v>
      </c>
      <c r="K80">
        <f t="shared" si="18"/>
        <v>97.826400000000007</v>
      </c>
      <c r="L80">
        <f t="shared" si="19"/>
        <v>1146.03</v>
      </c>
      <c r="M80">
        <f t="shared" si="20"/>
        <v>625</v>
      </c>
    </row>
    <row r="81" spans="1:13" ht="18" customHeight="1" x14ac:dyDescent="0.3">
      <c r="A81" s="25" t="s">
        <v>269</v>
      </c>
      <c r="B81" s="25"/>
      <c r="C81" s="25"/>
      <c r="G81" t="str">
        <f t="shared" si="14"/>
        <v/>
      </c>
      <c r="H81" t="str">
        <f t="shared" si="15"/>
        <v/>
      </c>
      <c r="I81" t="str">
        <f t="shared" si="16"/>
        <v/>
      </c>
      <c r="J81" t="str">
        <f t="shared" si="17"/>
        <v/>
      </c>
      <c r="K81" t="str">
        <f t="shared" si="18"/>
        <v/>
      </c>
      <c r="L81" t="str">
        <f t="shared" si="19"/>
        <v/>
      </c>
      <c r="M81" t="str">
        <f t="shared" si="20"/>
        <v/>
      </c>
    </row>
    <row r="82" spans="1:13" ht="15" customHeight="1" x14ac:dyDescent="0.3">
      <c r="A82" s="16" t="s">
        <v>270</v>
      </c>
      <c r="B82" s="17" t="s">
        <v>271</v>
      </c>
      <c r="C82" s="18"/>
      <c r="D82" s="19" t="s">
        <v>95</v>
      </c>
      <c r="E82" s="1" t="s">
        <v>63</v>
      </c>
      <c r="F82" s="20" t="s">
        <v>241</v>
      </c>
      <c r="G82">
        <f t="shared" si="14"/>
        <v>7.5</v>
      </c>
      <c r="H82">
        <f t="shared" si="15"/>
        <v>15</v>
      </c>
      <c r="I82">
        <f t="shared" si="16"/>
        <v>15</v>
      </c>
      <c r="J82">
        <f t="shared" si="17"/>
        <v>32.61</v>
      </c>
      <c r="K82">
        <f t="shared" si="18"/>
        <v>5.8697999999999997</v>
      </c>
      <c r="L82">
        <f t="shared" si="19"/>
        <v>3.54</v>
      </c>
      <c r="M82">
        <f t="shared" si="20"/>
        <v>25</v>
      </c>
    </row>
    <row r="83" spans="1:13" ht="15" customHeight="1" x14ac:dyDescent="0.3">
      <c r="A83" s="21" t="s">
        <v>270</v>
      </c>
      <c r="B83" s="22" t="s">
        <v>274</v>
      </c>
      <c r="C83" s="23"/>
      <c r="D83" s="24" t="s">
        <v>95</v>
      </c>
      <c r="E83" s="1" t="s">
        <v>63</v>
      </c>
      <c r="F83" s="20" t="s">
        <v>275</v>
      </c>
      <c r="G83">
        <f t="shared" si="14"/>
        <v>75</v>
      </c>
      <c r="H83">
        <f t="shared" si="15"/>
        <v>150</v>
      </c>
      <c r="I83">
        <f t="shared" si="16"/>
        <v>150</v>
      </c>
      <c r="J83">
        <f t="shared" si="17"/>
        <v>326.08999999999997</v>
      </c>
      <c r="K83">
        <f t="shared" si="18"/>
        <v>58.69619999999999</v>
      </c>
      <c r="L83">
        <f t="shared" si="19"/>
        <v>35.44</v>
      </c>
      <c r="M83">
        <f t="shared" si="20"/>
        <v>250</v>
      </c>
    </row>
    <row r="84" spans="1:13" ht="15" customHeight="1" x14ac:dyDescent="0.3">
      <c r="A84" s="16" t="s">
        <v>270</v>
      </c>
      <c r="B84" s="17" t="s">
        <v>272</v>
      </c>
      <c r="C84" s="18"/>
      <c r="D84" s="19" t="s">
        <v>95</v>
      </c>
      <c r="E84" s="1" t="s">
        <v>63</v>
      </c>
      <c r="F84" s="20" t="s">
        <v>273</v>
      </c>
      <c r="G84">
        <f t="shared" si="14"/>
        <v>112.5</v>
      </c>
      <c r="H84">
        <f t="shared" si="15"/>
        <v>112.5</v>
      </c>
      <c r="I84">
        <f t="shared" si="16"/>
        <v>93.75</v>
      </c>
      <c r="J84">
        <f t="shared" si="17"/>
        <v>244.57</v>
      </c>
      <c r="K84">
        <f t="shared" si="18"/>
        <v>44.022599999999997</v>
      </c>
      <c r="L84">
        <f t="shared" si="19"/>
        <v>148.86000000000001</v>
      </c>
      <c r="M84">
        <f t="shared" si="20"/>
        <v>156.25</v>
      </c>
    </row>
    <row r="85" spans="1:13" ht="15" customHeight="1" x14ac:dyDescent="0.3">
      <c r="A85" s="21" t="s">
        <v>270</v>
      </c>
      <c r="B85" s="22" t="s">
        <v>278</v>
      </c>
      <c r="C85" s="23"/>
      <c r="D85" s="24" t="s">
        <v>95</v>
      </c>
      <c r="E85" s="1" t="s">
        <v>63</v>
      </c>
      <c r="F85" s="20" t="s">
        <v>279</v>
      </c>
      <c r="G85">
        <f t="shared" si="14"/>
        <v>250</v>
      </c>
      <c r="H85">
        <f t="shared" si="15"/>
        <v>250</v>
      </c>
      <c r="I85">
        <f t="shared" si="16"/>
        <v>250</v>
      </c>
      <c r="J85">
        <f t="shared" si="17"/>
        <v>543.48</v>
      </c>
      <c r="K85">
        <f t="shared" si="18"/>
        <v>97.826400000000007</v>
      </c>
      <c r="L85">
        <f t="shared" si="19"/>
        <v>330.81</v>
      </c>
      <c r="M85">
        <f t="shared" si="20"/>
        <v>416.67</v>
      </c>
    </row>
    <row r="86" spans="1:13" ht="15" customHeight="1" x14ac:dyDescent="0.3">
      <c r="A86" s="16" t="s">
        <v>270</v>
      </c>
      <c r="B86" s="17" t="s">
        <v>346</v>
      </c>
      <c r="C86" s="18"/>
      <c r="D86" s="19" t="s">
        <v>95</v>
      </c>
      <c r="E86" s="1" t="s">
        <v>63</v>
      </c>
      <c r="F86" s="20" t="s">
        <v>347</v>
      </c>
      <c r="G86">
        <f t="shared" si="14"/>
        <v>25</v>
      </c>
      <c r="H86">
        <f t="shared" si="15"/>
        <v>12.5</v>
      </c>
      <c r="I86">
        <f t="shared" si="16"/>
        <v>12.5</v>
      </c>
      <c r="J86">
        <f t="shared" si="17"/>
        <v>27.17</v>
      </c>
      <c r="K86">
        <f t="shared" si="18"/>
        <v>4.8906000000000001</v>
      </c>
      <c r="L86">
        <f t="shared" si="19"/>
        <v>43.72</v>
      </c>
      <c r="M86">
        <f t="shared" si="20"/>
        <v>20.83</v>
      </c>
    </row>
    <row r="87" spans="1:13" ht="15" customHeight="1" x14ac:dyDescent="0.3">
      <c r="A87" s="21" t="s">
        <v>270</v>
      </c>
      <c r="B87" s="22" t="s">
        <v>348</v>
      </c>
      <c r="C87" s="23"/>
      <c r="D87" s="24" t="s">
        <v>95</v>
      </c>
      <c r="E87" s="1" t="s">
        <v>63</v>
      </c>
      <c r="F87" s="20" t="s">
        <v>349</v>
      </c>
      <c r="G87">
        <f t="shared" si="14"/>
        <v>37.5</v>
      </c>
      <c r="H87">
        <f t="shared" si="15"/>
        <v>12.5</v>
      </c>
      <c r="I87">
        <f t="shared" si="16"/>
        <v>12.5</v>
      </c>
      <c r="J87">
        <f t="shared" si="17"/>
        <v>27.17</v>
      </c>
      <c r="K87">
        <f t="shared" si="18"/>
        <v>4.8906000000000001</v>
      </c>
      <c r="L87">
        <f t="shared" si="19"/>
        <v>70.89</v>
      </c>
      <c r="M87">
        <f t="shared" si="20"/>
        <v>20.83</v>
      </c>
    </row>
    <row r="88" spans="1:13" ht="15" customHeight="1" x14ac:dyDescent="0.3">
      <c r="A88" s="16" t="s">
        <v>270</v>
      </c>
      <c r="B88" s="17" t="s">
        <v>276</v>
      </c>
      <c r="C88" s="18"/>
      <c r="D88" s="19" t="s">
        <v>95</v>
      </c>
      <c r="E88" s="1" t="s">
        <v>63</v>
      </c>
      <c r="F88" s="20" t="s">
        <v>277</v>
      </c>
      <c r="G88">
        <f t="shared" si="14"/>
        <v>156.25</v>
      </c>
      <c r="H88">
        <f t="shared" si="15"/>
        <v>150</v>
      </c>
      <c r="I88">
        <f t="shared" si="16"/>
        <v>31.25</v>
      </c>
      <c r="J88">
        <f t="shared" si="17"/>
        <v>326.08999999999997</v>
      </c>
      <c r="K88">
        <f t="shared" si="18"/>
        <v>58.69619999999999</v>
      </c>
      <c r="L88">
        <f t="shared" si="19"/>
        <v>212.07</v>
      </c>
      <c r="M88">
        <f t="shared" si="20"/>
        <v>52.08</v>
      </c>
    </row>
    <row r="89" spans="1:13" ht="15" customHeight="1" x14ac:dyDescent="0.3">
      <c r="A89" s="21" t="s">
        <v>270</v>
      </c>
      <c r="B89" s="22" t="s">
        <v>585</v>
      </c>
      <c r="C89" s="23"/>
      <c r="D89" s="24" t="s">
        <v>95</v>
      </c>
      <c r="E89" s="1" t="s">
        <v>63</v>
      </c>
      <c r="F89" s="20" t="s">
        <v>586</v>
      </c>
      <c r="G89">
        <f t="shared" si="14"/>
        <v>125</v>
      </c>
      <c r="H89">
        <f t="shared" si="15"/>
        <v>62.5</v>
      </c>
      <c r="I89">
        <f t="shared" si="16"/>
        <v>125</v>
      </c>
      <c r="J89">
        <f t="shared" si="17"/>
        <v>135.87</v>
      </c>
      <c r="K89">
        <f t="shared" si="18"/>
        <v>24.456600000000002</v>
      </c>
      <c r="L89">
        <f t="shared" si="19"/>
        <v>218.57</v>
      </c>
      <c r="M89">
        <f t="shared" si="20"/>
        <v>208.33</v>
      </c>
    </row>
  </sheetData>
  <mergeCells count="13">
    <mergeCell ref="A1:C1"/>
    <mergeCell ref="A2:C2"/>
    <mergeCell ref="A3:C3"/>
    <mergeCell ref="A4:C4"/>
    <mergeCell ref="A7:C7"/>
    <mergeCell ref="A60:C60"/>
    <mergeCell ref="A74:C74"/>
    <mergeCell ref="A81:C81"/>
    <mergeCell ref="A10:C10"/>
    <mergeCell ref="A15:C15"/>
    <mergeCell ref="A19:C19"/>
    <mergeCell ref="A24:C24"/>
    <mergeCell ref="A41:C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B5E20"/>
  </sheetPr>
  <dimension ref="A1:M87"/>
  <sheetViews>
    <sheetView zoomScale="53" zoomScaleNormal="53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13.33203125" bestFit="1" customWidth="1"/>
    <col min="2" max="2" width="29.88671875" bestFit="1" customWidth="1"/>
    <col min="3" max="3" width="20.88671875" bestFit="1" customWidth="1"/>
    <col min="4" max="4" width="16.21875" bestFit="1" customWidth="1"/>
    <col min="5" max="5" width="28.6640625" bestFit="1" customWidth="1"/>
    <col min="6" max="6" width="37.88671875" bestFit="1" customWidth="1"/>
    <col min="7" max="7" width="17.6640625" bestFit="1" customWidth="1"/>
    <col min="8" max="8" width="21.33203125" bestFit="1" customWidth="1"/>
    <col min="9" max="9" width="20.44140625" bestFit="1" customWidth="1"/>
    <col min="10" max="10" width="12.21875" bestFit="1" customWidth="1"/>
    <col min="11" max="11" width="27" bestFit="1" customWidth="1"/>
    <col min="12" max="12" width="12.88671875" bestFit="1" customWidth="1"/>
    <col min="13" max="13" width="12.6640625" bestFit="1" customWidth="1"/>
    <col min="14" max="18" width="16" customWidth="1"/>
    <col min="19" max="19" width="26" customWidth="1"/>
  </cols>
  <sheetData>
    <row r="1" spans="1:13" ht="31.5" customHeight="1" x14ac:dyDescent="0.3">
      <c r="A1" s="26" t="s">
        <v>587</v>
      </c>
      <c r="B1" s="26"/>
      <c r="C1" s="26"/>
    </row>
    <row r="2" spans="1:13" ht="19.5" customHeight="1" x14ac:dyDescent="0.3">
      <c r="A2" s="27" t="s">
        <v>588</v>
      </c>
      <c r="B2" s="27"/>
      <c r="C2" s="27"/>
    </row>
    <row r="3" spans="1:13" ht="19.5" customHeight="1" x14ac:dyDescent="0.3">
      <c r="A3" s="27" t="s">
        <v>589</v>
      </c>
      <c r="B3" s="27"/>
      <c r="C3" s="27"/>
    </row>
    <row r="4" spans="1:13" ht="19.5" customHeight="1" x14ac:dyDescent="0.3">
      <c r="A4" s="27" t="s">
        <v>590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372</v>
      </c>
      <c r="C8" s="18"/>
      <c r="D8" s="19" t="s">
        <v>56</v>
      </c>
      <c r="E8" s="1" t="s">
        <v>55</v>
      </c>
      <c r="F8" s="20" t="s">
        <v>291</v>
      </c>
      <c r="G8">
        <f t="shared" si="0"/>
        <v>150</v>
      </c>
      <c r="H8">
        <f t="shared" si="1"/>
        <v>75</v>
      </c>
      <c r="I8">
        <f t="shared" si="2"/>
        <v>50</v>
      </c>
      <c r="J8">
        <f t="shared" si="3"/>
        <v>163.04</v>
      </c>
      <c r="K8">
        <f t="shared" si="4"/>
        <v>29.347199999999997</v>
      </c>
      <c r="L8">
        <f t="shared" si="5"/>
        <v>262.29000000000002</v>
      </c>
      <c r="M8">
        <f t="shared" si="6"/>
        <v>83.33</v>
      </c>
    </row>
    <row r="9" spans="1:13" ht="15" customHeight="1" x14ac:dyDescent="0.3">
      <c r="A9" s="21" t="s">
        <v>141</v>
      </c>
      <c r="B9" s="22" t="s">
        <v>142</v>
      </c>
      <c r="C9" s="23"/>
      <c r="D9" s="24" t="s">
        <v>56</v>
      </c>
      <c r="E9" s="1" t="s">
        <v>55</v>
      </c>
      <c r="F9" s="20" t="s">
        <v>143</v>
      </c>
      <c r="G9">
        <f t="shared" si="0"/>
        <v>187.5</v>
      </c>
      <c r="H9">
        <f t="shared" si="1"/>
        <v>62.5</v>
      </c>
      <c r="I9">
        <f t="shared" si="2"/>
        <v>62.5</v>
      </c>
      <c r="J9">
        <f t="shared" si="3"/>
        <v>135.87</v>
      </c>
      <c r="K9">
        <f t="shared" si="4"/>
        <v>24.456600000000002</v>
      </c>
      <c r="L9">
        <f t="shared" si="5"/>
        <v>354.44</v>
      </c>
      <c r="M9">
        <f t="shared" si="6"/>
        <v>104.17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56</v>
      </c>
      <c r="E10" s="1" t="s">
        <v>55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376</v>
      </c>
      <c r="C11" s="23"/>
      <c r="D11" s="24" t="s">
        <v>56</v>
      </c>
      <c r="E11" s="1" t="s">
        <v>55</v>
      </c>
      <c r="F11" s="20" t="s">
        <v>147</v>
      </c>
      <c r="G11">
        <f t="shared" si="0"/>
        <v>100</v>
      </c>
      <c r="H11">
        <f t="shared" si="1"/>
        <v>50</v>
      </c>
      <c r="I11">
        <f t="shared" si="2"/>
        <v>50</v>
      </c>
      <c r="J11">
        <f t="shared" si="3"/>
        <v>108.7</v>
      </c>
      <c r="K11">
        <f t="shared" si="4"/>
        <v>19.565999999999999</v>
      </c>
      <c r="L11">
        <f t="shared" si="5"/>
        <v>174.86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375</v>
      </c>
      <c r="C12" s="18"/>
      <c r="D12" s="19" t="s">
        <v>56</v>
      </c>
      <c r="E12" s="1" t="s">
        <v>55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400</v>
      </c>
      <c r="C13" s="23"/>
      <c r="D13" s="24" t="s">
        <v>56</v>
      </c>
      <c r="E13" s="1" t="s">
        <v>55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398</v>
      </c>
      <c r="C14" s="18"/>
      <c r="D14" s="19" t="s">
        <v>56</v>
      </c>
      <c r="E14" s="1" t="s">
        <v>55</v>
      </c>
      <c r="F14" s="20" t="s">
        <v>153</v>
      </c>
      <c r="G14">
        <f t="shared" si="0"/>
        <v>25</v>
      </c>
      <c r="H14">
        <f t="shared" si="1"/>
        <v>25</v>
      </c>
      <c r="I14">
        <f t="shared" si="2"/>
        <v>12.5</v>
      </c>
      <c r="J14">
        <f t="shared" si="3"/>
        <v>54.35</v>
      </c>
      <c r="K14">
        <f t="shared" si="4"/>
        <v>9.7829999999999995</v>
      </c>
      <c r="L14">
        <f t="shared" si="5"/>
        <v>33.08</v>
      </c>
      <c r="M14">
        <f t="shared" si="6"/>
        <v>20.83</v>
      </c>
    </row>
    <row r="15" spans="1:13" ht="15" customHeight="1" x14ac:dyDescent="0.3">
      <c r="A15" s="21" t="s">
        <v>141</v>
      </c>
      <c r="B15" s="22" t="s">
        <v>373</v>
      </c>
      <c r="C15" s="23"/>
      <c r="D15" s="24" t="s">
        <v>56</v>
      </c>
      <c r="E15" s="1" t="s">
        <v>55</v>
      </c>
      <c r="F15" s="20" t="s">
        <v>374</v>
      </c>
      <c r="G15">
        <f t="shared" si="0"/>
        <v>75</v>
      </c>
      <c r="H15">
        <f t="shared" si="1"/>
        <v>37.5</v>
      </c>
      <c r="I15">
        <f t="shared" si="2"/>
        <v>25</v>
      </c>
      <c r="J15">
        <f t="shared" si="3"/>
        <v>81.52</v>
      </c>
      <c r="K15">
        <f t="shared" si="4"/>
        <v>14.673599999999999</v>
      </c>
      <c r="L15">
        <f t="shared" si="5"/>
        <v>131.13999999999999</v>
      </c>
      <c r="M15">
        <f t="shared" si="6"/>
        <v>41.67</v>
      </c>
    </row>
    <row r="16" spans="1:13" ht="18" customHeight="1" x14ac:dyDescent="0.3">
      <c r="A16" s="25" t="s">
        <v>155</v>
      </c>
      <c r="B16" s="25"/>
      <c r="C16" s="25"/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  <c r="M16" t="str">
        <f t="shared" si="6"/>
        <v/>
      </c>
    </row>
    <row r="17" spans="1:13" ht="15" customHeight="1" x14ac:dyDescent="0.3">
      <c r="A17" s="16" t="s">
        <v>156</v>
      </c>
      <c r="B17" s="17" t="s">
        <v>591</v>
      </c>
      <c r="C17" s="18"/>
      <c r="D17" s="19" t="s">
        <v>56</v>
      </c>
      <c r="E17" s="1" t="s">
        <v>55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592</v>
      </c>
      <c r="C18" s="23"/>
      <c r="D18" s="24" t="s">
        <v>56</v>
      </c>
      <c r="E18" s="1" t="s">
        <v>55</v>
      </c>
      <c r="F18" s="20" t="s">
        <v>158</v>
      </c>
      <c r="G18">
        <f t="shared" si="0"/>
        <v>31.25</v>
      </c>
      <c r="H18">
        <f t="shared" si="1"/>
        <v>62.5</v>
      </c>
      <c r="I18">
        <f t="shared" si="2"/>
        <v>37.5</v>
      </c>
      <c r="J18">
        <f t="shared" si="3"/>
        <v>135.87</v>
      </c>
      <c r="K18">
        <f t="shared" si="4"/>
        <v>24.456600000000002</v>
      </c>
      <c r="L18">
        <f t="shared" si="5"/>
        <v>14.77</v>
      </c>
      <c r="M18">
        <f t="shared" si="6"/>
        <v>62.5</v>
      </c>
    </row>
    <row r="19" spans="1:13" ht="15" customHeight="1" x14ac:dyDescent="0.3">
      <c r="A19" s="16" t="s">
        <v>156</v>
      </c>
      <c r="B19" s="17" t="s">
        <v>293</v>
      </c>
      <c r="C19" s="18"/>
      <c r="D19" s="19" t="s">
        <v>56</v>
      </c>
      <c r="E19" s="1" t="s">
        <v>55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292</v>
      </c>
      <c r="C20" s="23"/>
      <c r="D20" s="24" t="s">
        <v>56</v>
      </c>
      <c r="E20" s="1" t="s">
        <v>55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166</v>
      </c>
      <c r="C21" s="18"/>
      <c r="D21" s="19" t="s">
        <v>56</v>
      </c>
      <c r="E21" s="1" t="s">
        <v>55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537</v>
      </c>
      <c r="C22" s="23"/>
      <c r="D22" s="24" t="s">
        <v>56</v>
      </c>
      <c r="E22" s="1" t="s">
        <v>55</v>
      </c>
      <c r="F22" s="20" t="s">
        <v>328</v>
      </c>
      <c r="G22">
        <f t="shared" si="0"/>
        <v>150</v>
      </c>
      <c r="H22">
        <f t="shared" si="1"/>
        <v>100</v>
      </c>
      <c r="I22">
        <f t="shared" si="2"/>
        <v>87.5</v>
      </c>
      <c r="J22">
        <f t="shared" si="3"/>
        <v>217.39</v>
      </c>
      <c r="K22">
        <f t="shared" si="4"/>
        <v>39.130199999999995</v>
      </c>
      <c r="L22">
        <f t="shared" si="5"/>
        <v>241.02</v>
      </c>
      <c r="M22">
        <f t="shared" si="6"/>
        <v>145.83000000000001</v>
      </c>
    </row>
    <row r="23" spans="1:13" ht="15" customHeight="1" x14ac:dyDescent="0.3">
      <c r="A23" s="16" t="s">
        <v>156</v>
      </c>
      <c r="B23" s="17" t="s">
        <v>165</v>
      </c>
      <c r="C23" s="18"/>
      <c r="D23" s="19" t="s">
        <v>56</v>
      </c>
      <c r="E23" s="1" t="s">
        <v>55</v>
      </c>
      <c r="F23" s="20" t="s">
        <v>160</v>
      </c>
      <c r="G23">
        <f t="shared" si="0"/>
        <v>25</v>
      </c>
      <c r="H23">
        <f t="shared" si="1"/>
        <v>50</v>
      </c>
      <c r="I23">
        <f t="shared" si="2"/>
        <v>25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41.67</v>
      </c>
    </row>
    <row r="24" spans="1:13" ht="15" customHeight="1" x14ac:dyDescent="0.3">
      <c r="A24" s="21" t="s">
        <v>156</v>
      </c>
      <c r="B24" s="22" t="s">
        <v>163</v>
      </c>
      <c r="C24" s="23"/>
      <c r="D24" s="24" t="s">
        <v>56</v>
      </c>
      <c r="E24" s="1" t="s">
        <v>55</v>
      </c>
      <c r="F24" s="20" t="s">
        <v>164</v>
      </c>
      <c r="G24">
        <f t="shared" si="0"/>
        <v>12.5</v>
      </c>
      <c r="H24">
        <f t="shared" si="1"/>
        <v>25</v>
      </c>
      <c r="I24">
        <f t="shared" si="2"/>
        <v>12.5</v>
      </c>
      <c r="J24">
        <f t="shared" si="3"/>
        <v>54.35</v>
      </c>
      <c r="K24">
        <f t="shared" si="4"/>
        <v>9.7829999999999995</v>
      </c>
      <c r="L24">
        <f t="shared" si="5"/>
        <v>5.91</v>
      </c>
      <c r="M24">
        <f t="shared" si="6"/>
        <v>20.83</v>
      </c>
    </row>
    <row r="25" spans="1:13" ht="18" customHeight="1" x14ac:dyDescent="0.3">
      <c r="A25" s="25" t="s">
        <v>167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16" t="s">
        <v>168</v>
      </c>
      <c r="B26" s="17" t="s">
        <v>593</v>
      </c>
      <c r="C26" s="18"/>
      <c r="D26" s="19" t="s">
        <v>56</v>
      </c>
      <c r="E26" s="1" t="s">
        <v>55</v>
      </c>
      <c r="F26" s="20" t="s">
        <v>177</v>
      </c>
      <c r="G26">
        <f t="shared" si="0"/>
        <v>25</v>
      </c>
      <c r="H26">
        <f t="shared" si="1"/>
        <v>75</v>
      </c>
      <c r="I26">
        <f t="shared" si="2"/>
        <v>50</v>
      </c>
      <c r="J26">
        <f t="shared" si="3"/>
        <v>163.04</v>
      </c>
      <c r="K26">
        <f t="shared" si="4"/>
        <v>29.347199999999997</v>
      </c>
      <c r="L26">
        <f t="shared" si="5"/>
        <v>-9.4499999999999993</v>
      </c>
      <c r="M26">
        <f t="shared" si="6"/>
        <v>83.33</v>
      </c>
    </row>
    <row r="27" spans="1:13" ht="15" customHeight="1" x14ac:dyDescent="0.3">
      <c r="A27" s="21" t="s">
        <v>168</v>
      </c>
      <c r="B27" s="22" t="s">
        <v>175</v>
      </c>
      <c r="C27" s="23"/>
      <c r="D27" s="24" t="s">
        <v>56</v>
      </c>
      <c r="E27" s="1" t="s">
        <v>55</v>
      </c>
      <c r="F27" s="20" t="s">
        <v>147</v>
      </c>
      <c r="G27">
        <f t="shared" si="0"/>
        <v>100</v>
      </c>
      <c r="H27">
        <f t="shared" si="1"/>
        <v>50</v>
      </c>
      <c r="I27">
        <f t="shared" si="2"/>
        <v>50</v>
      </c>
      <c r="J27">
        <f t="shared" si="3"/>
        <v>108.7</v>
      </c>
      <c r="K27">
        <f t="shared" si="4"/>
        <v>19.565999999999999</v>
      </c>
      <c r="L27">
        <f t="shared" si="5"/>
        <v>174.86</v>
      </c>
      <c r="M27">
        <f t="shared" si="6"/>
        <v>83.33</v>
      </c>
    </row>
    <row r="28" spans="1:13" ht="15" customHeight="1" x14ac:dyDescent="0.3">
      <c r="A28" s="16" t="s">
        <v>168</v>
      </c>
      <c r="B28" s="17" t="s">
        <v>169</v>
      </c>
      <c r="C28" s="18"/>
      <c r="D28" s="19" t="s">
        <v>56</v>
      </c>
      <c r="E28" s="1" t="s">
        <v>55</v>
      </c>
      <c r="F28" s="20" t="s">
        <v>170</v>
      </c>
      <c r="G28">
        <f t="shared" si="0"/>
        <v>25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11.81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294</v>
      </c>
      <c r="C29" s="23"/>
      <c r="D29" s="24" t="s">
        <v>56</v>
      </c>
      <c r="E29" s="1" t="s">
        <v>55</v>
      </c>
      <c r="F29" s="20" t="s">
        <v>149</v>
      </c>
      <c r="G29">
        <f t="shared" si="0"/>
        <v>50</v>
      </c>
      <c r="H29">
        <f t="shared" si="1"/>
        <v>25</v>
      </c>
      <c r="I29">
        <f t="shared" si="2"/>
        <v>25</v>
      </c>
      <c r="J29">
        <f t="shared" si="3"/>
        <v>54.35</v>
      </c>
      <c r="K29">
        <f t="shared" si="4"/>
        <v>9.7829999999999995</v>
      </c>
      <c r="L29">
        <f t="shared" si="5"/>
        <v>87.43</v>
      </c>
      <c r="M29">
        <f t="shared" si="6"/>
        <v>41.67</v>
      </c>
    </row>
    <row r="30" spans="1:13" ht="15" customHeight="1" x14ac:dyDescent="0.3">
      <c r="A30" s="16" t="s">
        <v>168</v>
      </c>
      <c r="B30" s="17" t="s">
        <v>295</v>
      </c>
      <c r="C30" s="18"/>
      <c r="D30" s="19" t="s">
        <v>56</v>
      </c>
      <c r="E30" s="1" t="s">
        <v>55</v>
      </c>
      <c r="F30" s="20" t="s">
        <v>149</v>
      </c>
      <c r="G30">
        <f t="shared" si="0"/>
        <v>50</v>
      </c>
      <c r="H30">
        <f t="shared" si="1"/>
        <v>25</v>
      </c>
      <c r="I30">
        <f t="shared" si="2"/>
        <v>25</v>
      </c>
      <c r="J30">
        <f t="shared" si="3"/>
        <v>54.35</v>
      </c>
      <c r="K30">
        <f t="shared" si="4"/>
        <v>9.7829999999999995</v>
      </c>
      <c r="L30">
        <f t="shared" si="5"/>
        <v>87.43</v>
      </c>
      <c r="M30">
        <f t="shared" si="6"/>
        <v>41.67</v>
      </c>
    </row>
    <row r="31" spans="1:13" ht="15" customHeight="1" x14ac:dyDescent="0.3">
      <c r="A31" s="21" t="s">
        <v>168</v>
      </c>
      <c r="B31" s="22" t="s">
        <v>172</v>
      </c>
      <c r="C31" s="23"/>
      <c r="D31" s="24" t="s">
        <v>56</v>
      </c>
      <c r="E31" s="1" t="s">
        <v>55</v>
      </c>
      <c r="F31" s="20" t="s">
        <v>173</v>
      </c>
      <c r="G31">
        <f t="shared" si="0"/>
        <v>75</v>
      </c>
      <c r="H31">
        <f t="shared" si="1"/>
        <v>112.5</v>
      </c>
      <c r="I31">
        <f t="shared" si="2"/>
        <v>75</v>
      </c>
      <c r="J31">
        <f t="shared" si="3"/>
        <v>244.57</v>
      </c>
      <c r="K31">
        <f t="shared" si="4"/>
        <v>44.022599999999997</v>
      </c>
      <c r="L31">
        <f t="shared" si="5"/>
        <v>67.34</v>
      </c>
      <c r="M31">
        <f t="shared" si="6"/>
        <v>125</v>
      </c>
    </row>
    <row r="32" spans="1:13" ht="15" customHeight="1" x14ac:dyDescent="0.3">
      <c r="A32" s="16" t="s">
        <v>168</v>
      </c>
      <c r="B32" s="17" t="s">
        <v>171</v>
      </c>
      <c r="C32" s="18"/>
      <c r="D32" s="19" t="s">
        <v>56</v>
      </c>
      <c r="E32" s="1" t="s">
        <v>55</v>
      </c>
      <c r="F32" s="20" t="s">
        <v>147</v>
      </c>
      <c r="G32">
        <f t="shared" si="0"/>
        <v>100</v>
      </c>
      <c r="H32">
        <f t="shared" si="1"/>
        <v>50</v>
      </c>
      <c r="I32">
        <f t="shared" si="2"/>
        <v>50</v>
      </c>
      <c r="J32">
        <f t="shared" si="3"/>
        <v>108.7</v>
      </c>
      <c r="K32">
        <f t="shared" si="4"/>
        <v>19.565999999999999</v>
      </c>
      <c r="L32">
        <f t="shared" si="5"/>
        <v>174.86</v>
      </c>
      <c r="M32">
        <f t="shared" si="6"/>
        <v>83.33</v>
      </c>
    </row>
    <row r="33" spans="1:13" ht="15" customHeight="1" x14ac:dyDescent="0.3">
      <c r="A33" s="21" t="s">
        <v>168</v>
      </c>
      <c r="B33" s="22" t="s">
        <v>594</v>
      </c>
      <c r="C33" s="23"/>
      <c r="D33" s="24" t="s">
        <v>56</v>
      </c>
      <c r="E33" s="1" t="s">
        <v>55</v>
      </c>
      <c r="F33" s="20" t="s">
        <v>160</v>
      </c>
      <c r="G33">
        <f t="shared" si="0"/>
        <v>25</v>
      </c>
      <c r="H33">
        <f t="shared" si="1"/>
        <v>50</v>
      </c>
      <c r="I33">
        <f t="shared" si="2"/>
        <v>25</v>
      </c>
      <c r="J33">
        <f t="shared" si="3"/>
        <v>108.7</v>
      </c>
      <c r="K33">
        <f t="shared" si="4"/>
        <v>19.565999999999999</v>
      </c>
      <c r="L33">
        <f t="shared" si="5"/>
        <v>11.81</v>
      </c>
      <c r="M33">
        <f t="shared" si="6"/>
        <v>41.67</v>
      </c>
    </row>
    <row r="34" spans="1:13" ht="18" customHeight="1" x14ac:dyDescent="0.3">
      <c r="A34" s="25" t="s">
        <v>180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16" t="s">
        <v>181</v>
      </c>
      <c r="B35" s="17" t="s">
        <v>182</v>
      </c>
      <c r="C35" s="18"/>
      <c r="D35" s="19" t="s">
        <v>56</v>
      </c>
      <c r="E35" s="1" t="s">
        <v>55</v>
      </c>
      <c r="F35" s="20" t="s">
        <v>183</v>
      </c>
      <c r="G35">
        <f t="shared" si="0"/>
        <v>350</v>
      </c>
      <c r="H35">
        <f t="shared" si="1"/>
        <v>112.5</v>
      </c>
      <c r="I35">
        <f t="shared" si="2"/>
        <v>112.5</v>
      </c>
      <c r="J35">
        <f t="shared" si="3"/>
        <v>244.57</v>
      </c>
      <c r="K35">
        <f t="shared" si="4"/>
        <v>44.022599999999997</v>
      </c>
      <c r="L35">
        <f t="shared" si="5"/>
        <v>665.17</v>
      </c>
      <c r="M35">
        <f t="shared" si="6"/>
        <v>187.5</v>
      </c>
    </row>
    <row r="36" spans="1:13" ht="15" customHeight="1" x14ac:dyDescent="0.3">
      <c r="A36" s="21" t="s">
        <v>181</v>
      </c>
      <c r="B36" s="22" t="s">
        <v>184</v>
      </c>
      <c r="C36" s="23"/>
      <c r="D36" s="24" t="s">
        <v>56</v>
      </c>
      <c r="E36" s="1" t="s">
        <v>55</v>
      </c>
      <c r="F36" s="20" t="s">
        <v>185</v>
      </c>
      <c r="G36">
        <f t="shared" si="0"/>
        <v>125</v>
      </c>
      <c r="H36">
        <f t="shared" si="1"/>
        <v>62.5</v>
      </c>
      <c r="I36">
        <f t="shared" si="2"/>
        <v>62.5</v>
      </c>
      <c r="J36">
        <f t="shared" si="3"/>
        <v>135.87</v>
      </c>
      <c r="K36">
        <f t="shared" si="4"/>
        <v>24.456600000000002</v>
      </c>
      <c r="L36">
        <f t="shared" si="5"/>
        <v>218.57</v>
      </c>
      <c r="M36">
        <f t="shared" si="6"/>
        <v>104.17</v>
      </c>
    </row>
    <row r="37" spans="1:13" ht="15" customHeight="1" x14ac:dyDescent="0.3">
      <c r="A37" s="16" t="s">
        <v>181</v>
      </c>
      <c r="B37" s="17" t="s">
        <v>595</v>
      </c>
      <c r="C37" s="18"/>
      <c r="D37" s="19" t="s">
        <v>56</v>
      </c>
      <c r="E37" s="1" t="s">
        <v>55</v>
      </c>
      <c r="F37" s="20" t="s">
        <v>596</v>
      </c>
      <c r="G37">
        <f t="shared" si="0"/>
        <v>75</v>
      </c>
      <c r="H37">
        <f t="shared" si="1"/>
        <v>50</v>
      </c>
      <c r="I37">
        <f t="shared" si="2"/>
        <v>50</v>
      </c>
      <c r="J37">
        <f t="shared" si="3"/>
        <v>108.7</v>
      </c>
      <c r="K37">
        <f t="shared" si="4"/>
        <v>19.565999999999999</v>
      </c>
      <c r="L37">
        <f t="shared" si="5"/>
        <v>120.51</v>
      </c>
      <c r="M37">
        <f t="shared" si="6"/>
        <v>83.33</v>
      </c>
    </row>
    <row r="38" spans="1:13" ht="15" customHeight="1" x14ac:dyDescent="0.3">
      <c r="A38" s="21" t="s">
        <v>181</v>
      </c>
      <c r="B38" s="22" t="s">
        <v>186</v>
      </c>
      <c r="C38" s="23"/>
      <c r="D38" s="24" t="s">
        <v>56</v>
      </c>
      <c r="E38" s="1" t="s">
        <v>55</v>
      </c>
      <c r="F38" s="20" t="s">
        <v>185</v>
      </c>
      <c r="G38">
        <f t="shared" si="0"/>
        <v>125</v>
      </c>
      <c r="H38">
        <f t="shared" si="1"/>
        <v>62.5</v>
      </c>
      <c r="I38">
        <f t="shared" si="2"/>
        <v>62.5</v>
      </c>
      <c r="J38">
        <f t="shared" si="3"/>
        <v>135.87</v>
      </c>
      <c r="K38">
        <f t="shared" si="4"/>
        <v>24.456600000000002</v>
      </c>
      <c r="L38">
        <f t="shared" si="5"/>
        <v>218.57</v>
      </c>
      <c r="M38">
        <f t="shared" si="6"/>
        <v>104.17</v>
      </c>
    </row>
    <row r="39" spans="1:13" ht="18" customHeight="1" x14ac:dyDescent="0.3">
      <c r="A39" s="25" t="s">
        <v>187</v>
      </c>
      <c r="B39" s="25"/>
      <c r="C39" s="25"/>
      <c r="G39" t="str">
        <f t="shared" ref="G39:G70" si="7">IF($F39="","",IFERROR(VALUE(TRIM(LEFT($F39,FIND(":",$F39)-1)))*1.25,"N/A"))</f>
        <v/>
      </c>
      <c r="H39" t="str">
        <f t="shared" ref="H39:H70" si="8">IF($F39="","",IFERROR(VALUE(TRIM(MID($F39,FIND(":",$F39)+1,FIND(":",$F39,FIND(":",$F39)+1)-FIND(":",$F39)-1)))*1.25,"N/A"))</f>
        <v/>
      </c>
      <c r="I39" t="str">
        <f t="shared" ref="I39:I70" si="9">IF($F39="","",IFERROR(VALUE(TRIM(LEFT(MID($F39,FIND(":",$F39,FIND(":",$F39)+1)+1,LEN($F39)),FIND(" ",MID($F39,FIND(":",$F39,FIND(":",$F39)+1)+1,LEN($F39))&amp;" ")-1)))*1.25,"N/A"))</f>
        <v/>
      </c>
      <c r="J39" t="str">
        <f t="shared" ref="J39:J70" si="10">IF(OR($F39="",$H39="N/A"),IF($F39="","","N/A"),ROUND($H39/0.46,2))</f>
        <v/>
      </c>
      <c r="K39" t="str">
        <f t="shared" ref="K39:K70" si="11">IF(OR($F39="",$J39="N/A"),IF($F39="","","N/A"),$J39*0.18)</f>
        <v/>
      </c>
      <c r="L39" t="str">
        <f t="shared" ref="L39:L70" si="12">IF(OR($F39="",$G39="N/A",$K39="N/A"),IF($F39="","","N/A"),ROUND(($G39-$K39)/0.46,2))</f>
        <v/>
      </c>
      <c r="M39" t="str">
        <f t="shared" ref="M39:M70" si="13">IF(OR($F39="",$I39="N/A"),IF($F39="","","N/A"),ROUND($I39/0.6,2))</f>
        <v/>
      </c>
    </row>
    <row r="40" spans="1:13" ht="15" customHeight="1" x14ac:dyDescent="0.3">
      <c r="A40" s="16" t="s">
        <v>188</v>
      </c>
      <c r="B40" s="17" t="s">
        <v>312</v>
      </c>
      <c r="C40" s="18"/>
      <c r="D40" s="19" t="s">
        <v>56</v>
      </c>
      <c r="E40" s="1" t="s">
        <v>55</v>
      </c>
      <c r="F40" s="20" t="s">
        <v>190</v>
      </c>
      <c r="G40">
        <f t="shared" si="7"/>
        <v>125</v>
      </c>
      <c r="H40">
        <f t="shared" si="8"/>
        <v>125</v>
      </c>
      <c r="I40">
        <f t="shared" si="9"/>
        <v>187.5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312.5</v>
      </c>
    </row>
    <row r="41" spans="1:13" ht="15" customHeight="1" x14ac:dyDescent="0.3">
      <c r="A41" s="21" t="s">
        <v>188</v>
      </c>
      <c r="B41" s="22" t="s">
        <v>191</v>
      </c>
      <c r="C41" s="23"/>
      <c r="D41" s="24" t="s">
        <v>56</v>
      </c>
      <c r="E41" s="1" t="s">
        <v>55</v>
      </c>
      <c r="F41" s="20" t="s">
        <v>192</v>
      </c>
      <c r="G41">
        <f t="shared" si="7"/>
        <v>137.5</v>
      </c>
      <c r="H41">
        <f t="shared" si="8"/>
        <v>43.75</v>
      </c>
      <c r="I41">
        <f t="shared" si="9"/>
        <v>412.5</v>
      </c>
      <c r="J41">
        <f t="shared" si="10"/>
        <v>95.11</v>
      </c>
      <c r="K41">
        <f t="shared" si="11"/>
        <v>17.119799999999998</v>
      </c>
      <c r="L41">
        <f t="shared" si="12"/>
        <v>261.7</v>
      </c>
      <c r="M41">
        <f t="shared" si="13"/>
        <v>687.5</v>
      </c>
    </row>
    <row r="42" spans="1:13" ht="15" customHeight="1" x14ac:dyDescent="0.3">
      <c r="A42" s="16" t="s">
        <v>188</v>
      </c>
      <c r="B42" s="17" t="s">
        <v>195</v>
      </c>
      <c r="C42" s="18"/>
      <c r="D42" s="19" t="s">
        <v>56</v>
      </c>
      <c r="E42" s="1" t="s">
        <v>55</v>
      </c>
      <c r="F42" s="20" t="s">
        <v>194</v>
      </c>
      <c r="G42">
        <f t="shared" si="7"/>
        <v>125</v>
      </c>
      <c r="H42">
        <f t="shared" si="8"/>
        <v>125</v>
      </c>
      <c r="I42">
        <f t="shared" si="9"/>
        <v>125</v>
      </c>
      <c r="J42">
        <f t="shared" si="10"/>
        <v>271.74</v>
      </c>
      <c r="K42">
        <f t="shared" si="11"/>
        <v>48.913200000000003</v>
      </c>
      <c r="L42">
        <f t="shared" si="12"/>
        <v>165.41</v>
      </c>
      <c r="M42">
        <f t="shared" si="13"/>
        <v>208.33</v>
      </c>
    </row>
    <row r="43" spans="1:13" ht="15" customHeight="1" x14ac:dyDescent="0.3">
      <c r="A43" s="21" t="s">
        <v>188</v>
      </c>
      <c r="B43" s="22" t="s">
        <v>193</v>
      </c>
      <c r="C43" s="23"/>
      <c r="D43" s="24" t="s">
        <v>56</v>
      </c>
      <c r="E43" s="1" t="s">
        <v>55</v>
      </c>
      <c r="F43" s="20" t="s">
        <v>194</v>
      </c>
      <c r="G43">
        <f t="shared" si="7"/>
        <v>125</v>
      </c>
      <c r="H43">
        <f t="shared" si="8"/>
        <v>125</v>
      </c>
      <c r="I43">
        <f t="shared" si="9"/>
        <v>125</v>
      </c>
      <c r="J43">
        <f t="shared" si="10"/>
        <v>271.74</v>
      </c>
      <c r="K43">
        <f t="shared" si="11"/>
        <v>48.913200000000003</v>
      </c>
      <c r="L43">
        <f t="shared" si="12"/>
        <v>165.41</v>
      </c>
      <c r="M43">
        <f t="shared" si="13"/>
        <v>208.33</v>
      </c>
    </row>
    <row r="44" spans="1:13" ht="15" customHeight="1" x14ac:dyDescent="0.3">
      <c r="A44" s="16" t="s">
        <v>188</v>
      </c>
      <c r="B44" s="17" t="s">
        <v>451</v>
      </c>
      <c r="C44" s="18"/>
      <c r="D44" s="19" t="s">
        <v>56</v>
      </c>
      <c r="E44" s="1" t="s">
        <v>55</v>
      </c>
      <c r="F44" s="20" t="s">
        <v>452</v>
      </c>
      <c r="G44">
        <f t="shared" si="7"/>
        <v>250</v>
      </c>
      <c r="H44">
        <f t="shared" si="8"/>
        <v>625</v>
      </c>
      <c r="I44">
        <f t="shared" si="9"/>
        <v>250</v>
      </c>
      <c r="J44">
        <f t="shared" si="10"/>
        <v>1358.7</v>
      </c>
      <c r="K44">
        <f t="shared" si="11"/>
        <v>244.566</v>
      </c>
      <c r="L44">
        <f t="shared" si="12"/>
        <v>11.81</v>
      </c>
      <c r="M44">
        <f t="shared" si="13"/>
        <v>416.67</v>
      </c>
    </row>
    <row r="45" spans="1:13" ht="15" customHeight="1" x14ac:dyDescent="0.3">
      <c r="A45" s="21" t="s">
        <v>188</v>
      </c>
      <c r="B45" s="22" t="s">
        <v>404</v>
      </c>
      <c r="C45" s="23"/>
      <c r="D45" s="24" t="s">
        <v>56</v>
      </c>
      <c r="E45" s="1" t="s">
        <v>55</v>
      </c>
      <c r="F45" s="20" t="s">
        <v>388</v>
      </c>
      <c r="G45">
        <f t="shared" si="7"/>
        <v>625</v>
      </c>
      <c r="H45">
        <f t="shared" si="8"/>
        <v>250</v>
      </c>
      <c r="I45">
        <f t="shared" si="9"/>
        <v>625</v>
      </c>
      <c r="J45">
        <f t="shared" si="10"/>
        <v>543.48</v>
      </c>
      <c r="K45">
        <f t="shared" si="11"/>
        <v>97.826400000000007</v>
      </c>
      <c r="L45">
        <f t="shared" si="12"/>
        <v>1146.03</v>
      </c>
      <c r="M45">
        <f t="shared" si="13"/>
        <v>1041.67</v>
      </c>
    </row>
    <row r="46" spans="1:13" ht="15" customHeight="1" x14ac:dyDescent="0.3">
      <c r="A46" s="16" t="s">
        <v>188</v>
      </c>
      <c r="B46" s="17" t="s">
        <v>405</v>
      </c>
      <c r="C46" s="18"/>
      <c r="D46" s="19" t="s">
        <v>56</v>
      </c>
      <c r="E46" s="1" t="s">
        <v>55</v>
      </c>
      <c r="F46" s="20" t="s">
        <v>199</v>
      </c>
      <c r="G46">
        <f t="shared" si="7"/>
        <v>750</v>
      </c>
      <c r="H46">
        <f t="shared" si="8"/>
        <v>250</v>
      </c>
      <c r="I46">
        <f t="shared" si="9"/>
        <v>375</v>
      </c>
      <c r="J46">
        <f t="shared" si="10"/>
        <v>543.48</v>
      </c>
      <c r="K46">
        <f t="shared" si="11"/>
        <v>97.826400000000007</v>
      </c>
      <c r="L46">
        <f t="shared" si="12"/>
        <v>1417.77</v>
      </c>
      <c r="M46">
        <f t="shared" si="13"/>
        <v>625</v>
      </c>
    </row>
    <row r="47" spans="1:13" ht="15" customHeight="1" x14ac:dyDescent="0.3">
      <c r="A47" s="21" t="s">
        <v>188</v>
      </c>
      <c r="B47" s="22" t="s">
        <v>386</v>
      </c>
      <c r="C47" s="23"/>
      <c r="D47" s="24" t="s">
        <v>56</v>
      </c>
      <c r="E47" s="1" t="s">
        <v>55</v>
      </c>
      <c r="F47" s="20" t="s">
        <v>211</v>
      </c>
      <c r="G47">
        <f t="shared" si="7"/>
        <v>93.75</v>
      </c>
      <c r="H47">
        <f t="shared" si="8"/>
        <v>75</v>
      </c>
      <c r="I47">
        <f t="shared" si="9"/>
        <v>62.5</v>
      </c>
      <c r="J47">
        <f t="shared" si="10"/>
        <v>163.04</v>
      </c>
      <c r="K47">
        <f t="shared" si="11"/>
        <v>29.347199999999997</v>
      </c>
      <c r="L47">
        <f t="shared" si="12"/>
        <v>140.01</v>
      </c>
      <c r="M47">
        <f t="shared" si="13"/>
        <v>104.17</v>
      </c>
    </row>
    <row r="48" spans="1:13" ht="15" customHeight="1" x14ac:dyDescent="0.3">
      <c r="A48" s="16" t="s">
        <v>188</v>
      </c>
      <c r="B48" s="17" t="s">
        <v>214</v>
      </c>
      <c r="C48" s="18"/>
      <c r="D48" s="19" t="s">
        <v>56</v>
      </c>
      <c r="E48" s="1" t="s">
        <v>55</v>
      </c>
      <c r="F48" s="20" t="s">
        <v>215</v>
      </c>
      <c r="G48">
        <f t="shared" si="7"/>
        <v>93.75</v>
      </c>
      <c r="H48">
        <f t="shared" si="8"/>
        <v>50</v>
      </c>
      <c r="I48">
        <f t="shared" si="9"/>
        <v>62.5</v>
      </c>
      <c r="J48">
        <f t="shared" si="10"/>
        <v>108.7</v>
      </c>
      <c r="K48">
        <f t="shared" si="11"/>
        <v>19.565999999999999</v>
      </c>
      <c r="L48">
        <f t="shared" si="12"/>
        <v>161.27000000000001</v>
      </c>
      <c r="M48">
        <f t="shared" si="13"/>
        <v>104.17</v>
      </c>
    </row>
    <row r="49" spans="1:13" ht="15" customHeight="1" x14ac:dyDescent="0.3">
      <c r="A49" s="21" t="s">
        <v>188</v>
      </c>
      <c r="B49" s="22" t="s">
        <v>210</v>
      </c>
      <c r="C49" s="23"/>
      <c r="D49" s="24" t="s">
        <v>56</v>
      </c>
      <c r="E49" s="1" t="s">
        <v>55</v>
      </c>
      <c r="F49" s="20" t="s">
        <v>211</v>
      </c>
      <c r="G49">
        <f t="shared" si="7"/>
        <v>93.75</v>
      </c>
      <c r="H49">
        <f t="shared" si="8"/>
        <v>75</v>
      </c>
      <c r="I49">
        <f t="shared" si="9"/>
        <v>62.5</v>
      </c>
      <c r="J49">
        <f t="shared" si="10"/>
        <v>163.04</v>
      </c>
      <c r="K49">
        <f t="shared" si="11"/>
        <v>29.347199999999997</v>
      </c>
      <c r="L49">
        <f t="shared" si="12"/>
        <v>140.01</v>
      </c>
      <c r="M49">
        <f t="shared" si="13"/>
        <v>104.17</v>
      </c>
    </row>
    <row r="50" spans="1:13" ht="15" customHeight="1" x14ac:dyDescent="0.3">
      <c r="A50" s="16" t="s">
        <v>188</v>
      </c>
      <c r="B50" s="17" t="s">
        <v>196</v>
      </c>
      <c r="C50" s="18"/>
      <c r="D50" s="19" t="s">
        <v>56</v>
      </c>
      <c r="E50" s="1" t="s">
        <v>55</v>
      </c>
      <c r="F50" s="20" t="s">
        <v>197</v>
      </c>
      <c r="G50">
        <f t="shared" si="7"/>
        <v>750</v>
      </c>
      <c r="H50">
        <f t="shared" si="8"/>
        <v>625</v>
      </c>
      <c r="I50">
        <f t="shared" si="9"/>
        <v>1500</v>
      </c>
      <c r="J50">
        <f t="shared" si="10"/>
        <v>1358.7</v>
      </c>
      <c r="K50">
        <f t="shared" si="11"/>
        <v>244.566</v>
      </c>
      <c r="L50">
        <f t="shared" si="12"/>
        <v>1098.77</v>
      </c>
      <c r="M50">
        <f t="shared" si="13"/>
        <v>2500</v>
      </c>
    </row>
    <row r="51" spans="1:13" ht="18" customHeight="1" x14ac:dyDescent="0.3">
      <c r="A51" s="25" t="s">
        <v>220</v>
      </c>
      <c r="B51" s="25"/>
      <c r="C51" s="25"/>
      <c r="G51" t="str">
        <f t="shared" si="7"/>
        <v/>
      </c>
      <c r="H51" t="str">
        <f t="shared" si="8"/>
        <v/>
      </c>
      <c r="I51" t="str">
        <f t="shared" si="9"/>
        <v/>
      </c>
      <c r="J51" t="str">
        <f t="shared" si="10"/>
        <v/>
      </c>
      <c r="K51" t="str">
        <f t="shared" si="11"/>
        <v/>
      </c>
      <c r="L51" t="str">
        <f t="shared" si="12"/>
        <v/>
      </c>
      <c r="M51" t="str">
        <f t="shared" si="13"/>
        <v/>
      </c>
    </row>
    <row r="52" spans="1:13" ht="15" customHeight="1" x14ac:dyDescent="0.3">
      <c r="A52" s="21" t="s">
        <v>221</v>
      </c>
      <c r="B52" s="22" t="s">
        <v>321</v>
      </c>
      <c r="C52" s="23"/>
      <c r="D52" s="24" t="s">
        <v>56</v>
      </c>
      <c r="E52" s="1" t="s">
        <v>55</v>
      </c>
      <c r="F52" s="20" t="s">
        <v>322</v>
      </c>
      <c r="G52">
        <f t="shared" si="7"/>
        <v>150</v>
      </c>
      <c r="H52">
        <f t="shared" si="8"/>
        <v>300</v>
      </c>
      <c r="I52">
        <f t="shared" si="9"/>
        <v>150</v>
      </c>
      <c r="J52">
        <f t="shared" si="10"/>
        <v>652.16999999999996</v>
      </c>
      <c r="K52">
        <f t="shared" si="11"/>
        <v>117.39059999999999</v>
      </c>
      <c r="L52">
        <f t="shared" si="12"/>
        <v>70.89</v>
      </c>
      <c r="M52">
        <f t="shared" si="13"/>
        <v>250</v>
      </c>
    </row>
    <row r="53" spans="1:13" ht="15" customHeight="1" x14ac:dyDescent="0.3">
      <c r="A53" s="16" t="s">
        <v>221</v>
      </c>
      <c r="B53" s="17" t="s">
        <v>230</v>
      </c>
      <c r="C53" s="18"/>
      <c r="D53" s="19" t="s">
        <v>56</v>
      </c>
      <c r="E53" s="1" t="s">
        <v>55</v>
      </c>
      <c r="F53" s="20" t="s">
        <v>231</v>
      </c>
      <c r="G53">
        <f t="shared" si="7"/>
        <v>125</v>
      </c>
      <c r="H53">
        <f t="shared" si="8"/>
        <v>187.5</v>
      </c>
      <c r="I53">
        <f t="shared" si="9"/>
        <v>93.75</v>
      </c>
      <c r="J53">
        <f t="shared" si="10"/>
        <v>407.61</v>
      </c>
      <c r="K53">
        <f t="shared" si="11"/>
        <v>73.369799999999998</v>
      </c>
      <c r="L53">
        <f t="shared" si="12"/>
        <v>112.24</v>
      </c>
      <c r="M53">
        <f t="shared" si="13"/>
        <v>156.25</v>
      </c>
    </row>
    <row r="54" spans="1:13" ht="15" customHeight="1" x14ac:dyDescent="0.3">
      <c r="A54" s="21" t="s">
        <v>221</v>
      </c>
      <c r="B54" s="22" t="s">
        <v>597</v>
      </c>
      <c r="C54" s="23"/>
      <c r="D54" s="24" t="s">
        <v>56</v>
      </c>
      <c r="E54" s="1" t="s">
        <v>55</v>
      </c>
      <c r="F54" s="20" t="s">
        <v>366</v>
      </c>
      <c r="G54">
        <f t="shared" si="7"/>
        <v>93.75</v>
      </c>
      <c r="H54">
        <f t="shared" si="8"/>
        <v>93.75</v>
      </c>
      <c r="I54">
        <f t="shared" si="9"/>
        <v>93.75</v>
      </c>
      <c r="J54">
        <f t="shared" si="10"/>
        <v>203.8</v>
      </c>
      <c r="K54">
        <f t="shared" si="11"/>
        <v>36.683999999999997</v>
      </c>
      <c r="L54">
        <f t="shared" si="12"/>
        <v>124.06</v>
      </c>
      <c r="M54">
        <f t="shared" si="13"/>
        <v>156.25</v>
      </c>
    </row>
    <row r="55" spans="1:13" ht="15" customHeight="1" x14ac:dyDescent="0.3">
      <c r="A55" s="16" t="s">
        <v>221</v>
      </c>
      <c r="B55" s="17" t="s">
        <v>222</v>
      </c>
      <c r="C55" s="18"/>
      <c r="D55" s="19" t="s">
        <v>56</v>
      </c>
      <c r="E55" s="1" t="s">
        <v>55</v>
      </c>
      <c r="F55" s="20" t="s">
        <v>223</v>
      </c>
      <c r="G55">
        <f t="shared" si="7"/>
        <v>187.5</v>
      </c>
      <c r="H55">
        <f t="shared" si="8"/>
        <v>125</v>
      </c>
      <c r="I55">
        <f t="shared" si="9"/>
        <v>62.5</v>
      </c>
      <c r="J55">
        <f t="shared" si="10"/>
        <v>271.74</v>
      </c>
      <c r="K55">
        <f t="shared" si="11"/>
        <v>48.913200000000003</v>
      </c>
      <c r="L55">
        <f t="shared" si="12"/>
        <v>301.27999999999997</v>
      </c>
      <c r="M55">
        <f t="shared" si="13"/>
        <v>104.17</v>
      </c>
    </row>
    <row r="56" spans="1:13" ht="15" customHeight="1" x14ac:dyDescent="0.3">
      <c r="A56" s="21" t="s">
        <v>221</v>
      </c>
      <c r="B56" s="22" t="s">
        <v>325</v>
      </c>
      <c r="C56" s="23"/>
      <c r="D56" s="24" t="s">
        <v>56</v>
      </c>
      <c r="E56" s="1" t="s">
        <v>55</v>
      </c>
      <c r="F56" s="20" t="s">
        <v>225</v>
      </c>
      <c r="G56">
        <f t="shared" si="7"/>
        <v>125</v>
      </c>
      <c r="H56">
        <f t="shared" si="8"/>
        <v>62.5</v>
      </c>
      <c r="I56">
        <f t="shared" si="9"/>
        <v>37.5</v>
      </c>
      <c r="J56">
        <f t="shared" si="10"/>
        <v>135.87</v>
      </c>
      <c r="K56">
        <f t="shared" si="11"/>
        <v>24.456600000000002</v>
      </c>
      <c r="L56">
        <f t="shared" si="12"/>
        <v>218.57</v>
      </c>
      <c r="M56">
        <f t="shared" si="13"/>
        <v>62.5</v>
      </c>
    </row>
    <row r="57" spans="1:13" ht="15" customHeight="1" x14ac:dyDescent="0.3">
      <c r="A57" s="16" t="s">
        <v>221</v>
      </c>
      <c r="B57" s="17" t="s">
        <v>326</v>
      </c>
      <c r="C57" s="18"/>
      <c r="D57" s="19" t="s">
        <v>56</v>
      </c>
      <c r="E57" s="1" t="s">
        <v>55</v>
      </c>
      <c r="F57" s="20" t="s">
        <v>227</v>
      </c>
      <c r="G57">
        <f t="shared" si="7"/>
        <v>50</v>
      </c>
      <c r="H57">
        <f t="shared" si="8"/>
        <v>62.5</v>
      </c>
      <c r="I57">
        <f t="shared" si="9"/>
        <v>37.5</v>
      </c>
      <c r="J57">
        <f t="shared" si="10"/>
        <v>135.87</v>
      </c>
      <c r="K57">
        <f t="shared" si="11"/>
        <v>24.456600000000002</v>
      </c>
      <c r="L57">
        <f t="shared" si="12"/>
        <v>55.53</v>
      </c>
      <c r="M57">
        <f t="shared" si="13"/>
        <v>62.5</v>
      </c>
    </row>
    <row r="58" spans="1:13" ht="15" customHeight="1" x14ac:dyDescent="0.3">
      <c r="A58" s="21" t="s">
        <v>221</v>
      </c>
      <c r="B58" s="22" t="s">
        <v>228</v>
      </c>
      <c r="C58" s="23"/>
      <c r="D58" s="24" t="s">
        <v>56</v>
      </c>
      <c r="E58" s="1" t="s">
        <v>55</v>
      </c>
      <c r="F58" s="20" t="s">
        <v>229</v>
      </c>
      <c r="G58">
        <f t="shared" si="7"/>
        <v>150</v>
      </c>
      <c r="H58">
        <f t="shared" si="8"/>
        <v>75</v>
      </c>
      <c r="I58">
        <f t="shared" si="9"/>
        <v>37.5</v>
      </c>
      <c r="J58">
        <f t="shared" si="10"/>
        <v>163.04</v>
      </c>
      <c r="K58">
        <f t="shared" si="11"/>
        <v>29.347199999999997</v>
      </c>
      <c r="L58">
        <f t="shared" si="12"/>
        <v>262.29000000000002</v>
      </c>
      <c r="M58">
        <f t="shared" si="13"/>
        <v>62.5</v>
      </c>
    </row>
    <row r="59" spans="1:13" ht="15" customHeight="1" x14ac:dyDescent="0.3">
      <c r="A59" s="16" t="s">
        <v>221</v>
      </c>
      <c r="B59" s="17" t="s">
        <v>232</v>
      </c>
      <c r="C59" s="18"/>
      <c r="D59" s="19" t="s">
        <v>56</v>
      </c>
      <c r="E59" s="1" t="s">
        <v>55</v>
      </c>
      <c r="F59" s="20" t="s">
        <v>233</v>
      </c>
      <c r="G59">
        <f t="shared" si="7"/>
        <v>125</v>
      </c>
      <c r="H59">
        <f t="shared" si="8"/>
        <v>156.25</v>
      </c>
      <c r="I59">
        <f t="shared" si="9"/>
        <v>31.25</v>
      </c>
      <c r="J59">
        <f t="shared" si="10"/>
        <v>339.67</v>
      </c>
      <c r="K59">
        <f t="shared" si="11"/>
        <v>61.140599999999999</v>
      </c>
      <c r="L59">
        <f t="shared" si="12"/>
        <v>138.82</v>
      </c>
      <c r="M59">
        <f t="shared" si="13"/>
        <v>52.08</v>
      </c>
    </row>
    <row r="60" spans="1:13" ht="15" customHeight="1" x14ac:dyDescent="0.3">
      <c r="A60" s="21" t="s">
        <v>221</v>
      </c>
      <c r="B60" s="22" t="s">
        <v>234</v>
      </c>
      <c r="C60" s="23"/>
      <c r="D60" s="24" t="s">
        <v>56</v>
      </c>
      <c r="E60" s="1" t="s">
        <v>55</v>
      </c>
      <c r="F60" s="20" t="s">
        <v>235</v>
      </c>
      <c r="G60">
        <f t="shared" si="7"/>
        <v>125</v>
      </c>
      <c r="H60">
        <f t="shared" si="8"/>
        <v>125</v>
      </c>
      <c r="I60">
        <f t="shared" si="9"/>
        <v>62.5</v>
      </c>
      <c r="J60">
        <f t="shared" si="10"/>
        <v>271.74</v>
      </c>
      <c r="K60">
        <f t="shared" si="11"/>
        <v>48.913200000000003</v>
      </c>
      <c r="L60">
        <f t="shared" si="12"/>
        <v>165.41</v>
      </c>
      <c r="M60">
        <f t="shared" si="13"/>
        <v>104.17</v>
      </c>
    </row>
    <row r="61" spans="1:13" ht="15" customHeight="1" x14ac:dyDescent="0.3">
      <c r="A61" s="16" t="s">
        <v>221</v>
      </c>
      <c r="B61" s="17" t="s">
        <v>327</v>
      </c>
      <c r="C61" s="18"/>
      <c r="D61" s="19" t="s">
        <v>56</v>
      </c>
      <c r="E61" s="1" t="s">
        <v>55</v>
      </c>
      <c r="F61" s="20" t="s">
        <v>328</v>
      </c>
      <c r="G61">
        <f t="shared" si="7"/>
        <v>150</v>
      </c>
      <c r="H61">
        <f t="shared" si="8"/>
        <v>100</v>
      </c>
      <c r="I61">
        <f t="shared" si="9"/>
        <v>87.5</v>
      </c>
      <c r="J61">
        <f t="shared" si="10"/>
        <v>217.39</v>
      </c>
      <c r="K61">
        <f t="shared" si="11"/>
        <v>39.130199999999995</v>
      </c>
      <c r="L61">
        <f t="shared" si="12"/>
        <v>241.02</v>
      </c>
      <c r="M61">
        <f t="shared" si="13"/>
        <v>145.83000000000001</v>
      </c>
    </row>
    <row r="62" spans="1:13" ht="15" customHeight="1" x14ac:dyDescent="0.3">
      <c r="A62" s="21" t="s">
        <v>221</v>
      </c>
      <c r="B62" s="22" t="s">
        <v>240</v>
      </c>
      <c r="C62" s="23"/>
      <c r="D62" s="24" t="s">
        <v>56</v>
      </c>
      <c r="E62" s="1" t="s">
        <v>55</v>
      </c>
      <c r="F62" s="20" t="s">
        <v>241</v>
      </c>
      <c r="G62">
        <f t="shared" si="7"/>
        <v>7.5</v>
      </c>
      <c r="H62">
        <f t="shared" si="8"/>
        <v>15</v>
      </c>
      <c r="I62">
        <f t="shared" si="9"/>
        <v>15</v>
      </c>
      <c r="J62">
        <f t="shared" si="10"/>
        <v>32.61</v>
      </c>
      <c r="K62">
        <f t="shared" si="11"/>
        <v>5.8697999999999997</v>
      </c>
      <c r="L62">
        <f t="shared" si="12"/>
        <v>3.54</v>
      </c>
      <c r="M62">
        <f t="shared" si="13"/>
        <v>25</v>
      </c>
    </row>
    <row r="63" spans="1:13" ht="15" customHeight="1" x14ac:dyDescent="0.3">
      <c r="A63" s="16" t="s">
        <v>221</v>
      </c>
      <c r="B63" s="17" t="s">
        <v>244</v>
      </c>
      <c r="C63" s="18"/>
      <c r="D63" s="19" t="s">
        <v>56</v>
      </c>
      <c r="E63" s="1" t="s">
        <v>55</v>
      </c>
      <c r="F63" s="20" t="s">
        <v>241</v>
      </c>
      <c r="G63">
        <f t="shared" si="7"/>
        <v>7.5</v>
      </c>
      <c r="H63">
        <f t="shared" si="8"/>
        <v>15</v>
      </c>
      <c r="I63">
        <f t="shared" si="9"/>
        <v>15</v>
      </c>
      <c r="J63">
        <f t="shared" si="10"/>
        <v>32.61</v>
      </c>
      <c r="K63">
        <f t="shared" si="11"/>
        <v>5.8697999999999997</v>
      </c>
      <c r="L63">
        <f t="shared" si="12"/>
        <v>3.54</v>
      </c>
      <c r="M63">
        <f t="shared" si="13"/>
        <v>25</v>
      </c>
    </row>
    <row r="64" spans="1:13" ht="15" customHeight="1" x14ac:dyDescent="0.3">
      <c r="A64" s="21" t="s">
        <v>221</v>
      </c>
      <c r="B64" s="22" t="s">
        <v>236</v>
      </c>
      <c r="C64" s="23"/>
      <c r="D64" s="24" t="s">
        <v>56</v>
      </c>
      <c r="E64" s="1" t="s">
        <v>55</v>
      </c>
      <c r="F64" s="20" t="s">
        <v>237</v>
      </c>
      <c r="G64">
        <f t="shared" si="7"/>
        <v>62.5</v>
      </c>
      <c r="H64">
        <f t="shared" si="8"/>
        <v>62.5</v>
      </c>
      <c r="I64">
        <f t="shared" si="9"/>
        <v>62.5</v>
      </c>
      <c r="J64">
        <f t="shared" si="10"/>
        <v>135.87</v>
      </c>
      <c r="K64">
        <f t="shared" si="11"/>
        <v>24.456600000000002</v>
      </c>
      <c r="L64">
        <f t="shared" si="12"/>
        <v>82.7</v>
      </c>
      <c r="M64">
        <f t="shared" si="13"/>
        <v>104.17</v>
      </c>
    </row>
    <row r="65" spans="1:13" ht="15" customHeight="1" x14ac:dyDescent="0.3">
      <c r="A65" s="16" t="s">
        <v>221</v>
      </c>
      <c r="B65" s="17" t="s">
        <v>453</v>
      </c>
      <c r="C65" s="18"/>
      <c r="D65" s="19" t="s">
        <v>56</v>
      </c>
      <c r="E65" s="1" t="s">
        <v>55</v>
      </c>
      <c r="F65" s="20" t="s">
        <v>441</v>
      </c>
      <c r="G65">
        <f t="shared" si="7"/>
        <v>62.5</v>
      </c>
      <c r="H65">
        <f t="shared" si="8"/>
        <v>31.25</v>
      </c>
      <c r="I65">
        <f t="shared" si="9"/>
        <v>50</v>
      </c>
      <c r="J65">
        <f t="shared" si="10"/>
        <v>67.930000000000007</v>
      </c>
      <c r="K65">
        <f t="shared" si="11"/>
        <v>12.227400000000001</v>
      </c>
      <c r="L65">
        <f t="shared" si="12"/>
        <v>109.29</v>
      </c>
      <c r="M65">
        <f t="shared" si="13"/>
        <v>83.33</v>
      </c>
    </row>
    <row r="66" spans="1:13" ht="15" customHeight="1" x14ac:dyDescent="0.3">
      <c r="A66" s="21" t="s">
        <v>221</v>
      </c>
      <c r="B66" s="22" t="s">
        <v>257</v>
      </c>
      <c r="C66" s="23"/>
      <c r="D66" s="24" t="s">
        <v>56</v>
      </c>
      <c r="E66" s="1" t="s">
        <v>55</v>
      </c>
      <c r="F66" s="20" t="s">
        <v>160</v>
      </c>
      <c r="G66">
        <f t="shared" si="7"/>
        <v>25</v>
      </c>
      <c r="H66">
        <f t="shared" si="8"/>
        <v>50</v>
      </c>
      <c r="I66">
        <f t="shared" si="9"/>
        <v>25</v>
      </c>
      <c r="J66">
        <f t="shared" si="10"/>
        <v>108.7</v>
      </c>
      <c r="K66">
        <f t="shared" si="11"/>
        <v>19.565999999999999</v>
      </c>
      <c r="L66">
        <f t="shared" si="12"/>
        <v>11.81</v>
      </c>
      <c r="M66">
        <f t="shared" si="13"/>
        <v>41.67</v>
      </c>
    </row>
    <row r="67" spans="1:13" ht="15" customHeight="1" x14ac:dyDescent="0.3">
      <c r="A67" s="16" t="s">
        <v>221</v>
      </c>
      <c r="B67" s="17" t="s">
        <v>389</v>
      </c>
      <c r="C67" s="18"/>
      <c r="D67" s="19" t="s">
        <v>56</v>
      </c>
      <c r="E67" s="1" t="s">
        <v>55</v>
      </c>
      <c r="F67" s="20" t="s">
        <v>390</v>
      </c>
      <c r="G67">
        <f t="shared" si="7"/>
        <v>156.25</v>
      </c>
      <c r="H67">
        <f t="shared" si="8"/>
        <v>112.5</v>
      </c>
      <c r="I67">
        <f t="shared" si="9"/>
        <v>62.5</v>
      </c>
      <c r="J67">
        <f t="shared" si="10"/>
        <v>244.57</v>
      </c>
      <c r="K67">
        <f t="shared" si="11"/>
        <v>44.022599999999997</v>
      </c>
      <c r="L67">
        <f t="shared" si="12"/>
        <v>243.97</v>
      </c>
      <c r="M67">
        <f t="shared" si="13"/>
        <v>104.17</v>
      </c>
    </row>
    <row r="68" spans="1:13" ht="15" customHeight="1" x14ac:dyDescent="0.3">
      <c r="A68" s="21" t="s">
        <v>221</v>
      </c>
      <c r="B68" s="22" t="s">
        <v>391</v>
      </c>
      <c r="C68" s="23"/>
      <c r="D68" s="24" t="s">
        <v>56</v>
      </c>
      <c r="E68" s="1" t="s">
        <v>55</v>
      </c>
      <c r="F68" s="20" t="s">
        <v>249</v>
      </c>
      <c r="G68">
        <f t="shared" si="7"/>
        <v>125</v>
      </c>
      <c r="H68">
        <f t="shared" si="8"/>
        <v>62.5</v>
      </c>
      <c r="I68">
        <f t="shared" si="9"/>
        <v>62.5</v>
      </c>
      <c r="J68">
        <f t="shared" si="10"/>
        <v>135.87</v>
      </c>
      <c r="K68">
        <f t="shared" si="11"/>
        <v>24.456600000000002</v>
      </c>
      <c r="L68">
        <f t="shared" si="12"/>
        <v>218.57</v>
      </c>
      <c r="M68">
        <f t="shared" si="13"/>
        <v>104.17</v>
      </c>
    </row>
    <row r="69" spans="1:13" ht="18" customHeight="1" x14ac:dyDescent="0.3">
      <c r="A69" s="25" t="s">
        <v>252</v>
      </c>
      <c r="B69" s="25"/>
      <c r="C69" s="25"/>
      <c r="G69" t="str">
        <f t="shared" si="7"/>
        <v/>
      </c>
      <c r="H69" t="str">
        <f t="shared" si="8"/>
        <v/>
      </c>
      <c r="I69" t="str">
        <f t="shared" si="9"/>
        <v/>
      </c>
      <c r="J69" t="str">
        <f t="shared" si="10"/>
        <v/>
      </c>
      <c r="K69" t="str">
        <f t="shared" si="11"/>
        <v/>
      </c>
      <c r="L69" t="str">
        <f t="shared" si="12"/>
        <v/>
      </c>
      <c r="M69" t="str">
        <f t="shared" si="13"/>
        <v/>
      </c>
    </row>
    <row r="70" spans="1:13" ht="15" customHeight="1" x14ac:dyDescent="0.3">
      <c r="A70" s="16" t="s">
        <v>253</v>
      </c>
      <c r="B70" s="17" t="s">
        <v>365</v>
      </c>
      <c r="C70" s="18"/>
      <c r="D70" s="19" t="s">
        <v>56</v>
      </c>
      <c r="E70" s="1" t="s">
        <v>55</v>
      </c>
      <c r="F70" s="20" t="s">
        <v>366</v>
      </c>
      <c r="G70">
        <f t="shared" si="7"/>
        <v>93.75</v>
      </c>
      <c r="H70">
        <f t="shared" si="8"/>
        <v>93.75</v>
      </c>
      <c r="I70">
        <f t="shared" si="9"/>
        <v>93.75</v>
      </c>
      <c r="J70">
        <f t="shared" si="10"/>
        <v>203.8</v>
      </c>
      <c r="K70">
        <f t="shared" si="11"/>
        <v>36.683999999999997</v>
      </c>
      <c r="L70">
        <f t="shared" si="12"/>
        <v>124.06</v>
      </c>
      <c r="M70">
        <f t="shared" si="13"/>
        <v>156.25</v>
      </c>
    </row>
    <row r="71" spans="1:13" ht="15" customHeight="1" x14ac:dyDescent="0.3">
      <c r="A71" s="21" t="s">
        <v>253</v>
      </c>
      <c r="B71" s="22" t="s">
        <v>230</v>
      </c>
      <c r="C71" s="23"/>
      <c r="D71" s="24" t="s">
        <v>56</v>
      </c>
      <c r="E71" s="1" t="s">
        <v>55</v>
      </c>
      <c r="F71" s="20" t="s">
        <v>231</v>
      </c>
      <c r="G71">
        <f t="shared" ref="G71:G87" si="14">IF($F71="","",IFERROR(VALUE(TRIM(LEFT($F71,FIND(":",$F71)-1)))*1.25,"N/A"))</f>
        <v>125</v>
      </c>
      <c r="H71">
        <f t="shared" ref="H71:H87" si="15">IF($F71="","",IFERROR(VALUE(TRIM(MID($F71,FIND(":",$F71)+1,FIND(":",$F71,FIND(":",$F71)+1)-FIND(":",$F71)-1)))*1.25,"N/A"))</f>
        <v>187.5</v>
      </c>
      <c r="I71">
        <f t="shared" ref="I71:I87" si="16">IF($F71="","",IFERROR(VALUE(TRIM(LEFT(MID($F71,FIND(":",$F71,FIND(":",$F71)+1)+1,LEN($F71)),FIND(" ",MID($F71,FIND(":",$F71,FIND(":",$F71)+1)+1,LEN($F71))&amp;" ")-1)))*1.25,"N/A"))</f>
        <v>93.75</v>
      </c>
      <c r="J71">
        <f t="shared" ref="J71:J87" si="17">IF(OR($F71="",$H71="N/A"),IF($F71="","","N/A"),ROUND($H71/0.46,2))</f>
        <v>407.61</v>
      </c>
      <c r="K71">
        <f t="shared" ref="K71:K87" si="18">IF(OR($F71="",$J71="N/A"),IF($F71="","","N/A"),$J71*0.18)</f>
        <v>73.369799999999998</v>
      </c>
      <c r="L71">
        <f t="shared" ref="L71:L87" si="19">IF(OR($F71="",$G71="N/A",$K71="N/A"),IF($F71="","","N/A"),ROUND(($G71-$K71)/0.46,2))</f>
        <v>112.24</v>
      </c>
      <c r="M71">
        <f t="shared" ref="M71:M87" si="20">IF(OR($F71="",$I71="N/A"),IF($F71="","","N/A"),ROUND($I71/0.6,2))</f>
        <v>156.25</v>
      </c>
    </row>
    <row r="72" spans="1:13" ht="15" customHeight="1" x14ac:dyDescent="0.3">
      <c r="A72" s="16" t="s">
        <v>253</v>
      </c>
      <c r="B72" s="17" t="s">
        <v>257</v>
      </c>
      <c r="C72" s="18"/>
      <c r="D72" s="19" t="s">
        <v>56</v>
      </c>
      <c r="E72" s="1" t="s">
        <v>55</v>
      </c>
      <c r="F72" s="20" t="s">
        <v>160</v>
      </c>
      <c r="G72">
        <f t="shared" si="14"/>
        <v>25</v>
      </c>
      <c r="H72">
        <f t="shared" si="15"/>
        <v>50</v>
      </c>
      <c r="I72">
        <f t="shared" si="16"/>
        <v>25</v>
      </c>
      <c r="J72">
        <f t="shared" si="17"/>
        <v>108.7</v>
      </c>
      <c r="K72">
        <f t="shared" si="18"/>
        <v>19.565999999999999</v>
      </c>
      <c r="L72">
        <f t="shared" si="19"/>
        <v>11.81</v>
      </c>
      <c r="M72">
        <f t="shared" si="20"/>
        <v>41.67</v>
      </c>
    </row>
    <row r="73" spans="1:13" ht="15" customHeight="1" x14ac:dyDescent="0.3">
      <c r="A73" s="21" t="s">
        <v>253</v>
      </c>
      <c r="B73" s="22" t="s">
        <v>453</v>
      </c>
      <c r="C73" s="23"/>
      <c r="D73" s="24" t="s">
        <v>56</v>
      </c>
      <c r="E73" s="1" t="s">
        <v>55</v>
      </c>
      <c r="F73" s="20" t="s">
        <v>441</v>
      </c>
      <c r="G73">
        <f t="shared" si="14"/>
        <v>62.5</v>
      </c>
      <c r="H73">
        <f t="shared" si="15"/>
        <v>31.25</v>
      </c>
      <c r="I73">
        <f t="shared" si="16"/>
        <v>50</v>
      </c>
      <c r="J73">
        <f t="shared" si="17"/>
        <v>67.930000000000007</v>
      </c>
      <c r="K73">
        <f t="shared" si="18"/>
        <v>12.227400000000001</v>
      </c>
      <c r="L73">
        <f t="shared" si="19"/>
        <v>109.29</v>
      </c>
      <c r="M73">
        <f t="shared" si="20"/>
        <v>83.33</v>
      </c>
    </row>
    <row r="74" spans="1:13" ht="15" customHeight="1" x14ac:dyDescent="0.3">
      <c r="A74" s="16" t="s">
        <v>253</v>
      </c>
      <c r="B74" s="17" t="s">
        <v>228</v>
      </c>
      <c r="C74" s="18"/>
      <c r="D74" s="19" t="s">
        <v>56</v>
      </c>
      <c r="E74" s="1" t="s">
        <v>55</v>
      </c>
      <c r="F74" s="20" t="s">
        <v>229</v>
      </c>
      <c r="G74">
        <f t="shared" si="14"/>
        <v>150</v>
      </c>
      <c r="H74">
        <f t="shared" si="15"/>
        <v>75</v>
      </c>
      <c r="I74">
        <f t="shared" si="16"/>
        <v>37.5</v>
      </c>
      <c r="J74">
        <f t="shared" si="17"/>
        <v>163.04</v>
      </c>
      <c r="K74">
        <f t="shared" si="18"/>
        <v>29.347199999999997</v>
      </c>
      <c r="L74">
        <f t="shared" si="19"/>
        <v>262.29000000000002</v>
      </c>
      <c r="M74">
        <f t="shared" si="20"/>
        <v>62.5</v>
      </c>
    </row>
    <row r="75" spans="1:13" ht="15" customHeight="1" x14ac:dyDescent="0.3">
      <c r="A75" s="21" t="s">
        <v>253</v>
      </c>
      <c r="B75" s="22" t="s">
        <v>323</v>
      </c>
      <c r="C75" s="23"/>
      <c r="D75" s="24" t="s">
        <v>56</v>
      </c>
      <c r="E75" s="1" t="s">
        <v>55</v>
      </c>
      <c r="F75" s="20" t="s">
        <v>324</v>
      </c>
      <c r="G75">
        <f t="shared" si="14"/>
        <v>93.75</v>
      </c>
      <c r="H75">
        <f t="shared" si="15"/>
        <v>62.5</v>
      </c>
      <c r="I75">
        <f t="shared" si="16"/>
        <v>62.5</v>
      </c>
      <c r="J75">
        <f t="shared" si="17"/>
        <v>135.87</v>
      </c>
      <c r="K75">
        <f t="shared" si="18"/>
        <v>24.456600000000002</v>
      </c>
      <c r="L75">
        <f t="shared" si="19"/>
        <v>150.63999999999999</v>
      </c>
      <c r="M75">
        <f t="shared" si="20"/>
        <v>104.17</v>
      </c>
    </row>
    <row r="76" spans="1:13" ht="15" customHeight="1" x14ac:dyDescent="0.3">
      <c r="A76" s="16" t="s">
        <v>253</v>
      </c>
      <c r="B76" s="17" t="s">
        <v>255</v>
      </c>
      <c r="C76" s="18"/>
      <c r="D76" s="19" t="s">
        <v>56</v>
      </c>
      <c r="E76" s="1" t="s">
        <v>55</v>
      </c>
      <c r="F76" s="20" t="s">
        <v>256</v>
      </c>
      <c r="G76">
        <f t="shared" si="14"/>
        <v>31.25</v>
      </c>
      <c r="H76">
        <f t="shared" si="15"/>
        <v>75</v>
      </c>
      <c r="I76">
        <f t="shared" si="16"/>
        <v>22.5</v>
      </c>
      <c r="J76">
        <f t="shared" si="17"/>
        <v>163.04</v>
      </c>
      <c r="K76">
        <f t="shared" si="18"/>
        <v>29.347199999999997</v>
      </c>
      <c r="L76">
        <f t="shared" si="19"/>
        <v>4.1399999999999997</v>
      </c>
      <c r="M76">
        <f t="shared" si="20"/>
        <v>37.5</v>
      </c>
    </row>
    <row r="77" spans="1:13" ht="15" customHeight="1" x14ac:dyDescent="0.3">
      <c r="A77" s="21" t="s">
        <v>253</v>
      </c>
      <c r="B77" s="22" t="s">
        <v>439</v>
      </c>
      <c r="C77" s="23"/>
      <c r="D77" s="24" t="s">
        <v>56</v>
      </c>
      <c r="E77" s="1" t="s">
        <v>55</v>
      </c>
      <c r="F77" s="20" t="s">
        <v>149</v>
      </c>
      <c r="G77">
        <f t="shared" si="14"/>
        <v>50</v>
      </c>
      <c r="H77">
        <f t="shared" si="15"/>
        <v>25</v>
      </c>
      <c r="I77">
        <f t="shared" si="16"/>
        <v>25</v>
      </c>
      <c r="J77">
        <f t="shared" si="17"/>
        <v>54.35</v>
      </c>
      <c r="K77">
        <f t="shared" si="18"/>
        <v>9.7829999999999995</v>
      </c>
      <c r="L77">
        <f t="shared" si="19"/>
        <v>87.43</v>
      </c>
      <c r="M77">
        <f t="shared" si="20"/>
        <v>41.67</v>
      </c>
    </row>
    <row r="78" spans="1:13" ht="15" customHeight="1" x14ac:dyDescent="0.3">
      <c r="A78" s="16" t="s">
        <v>253</v>
      </c>
      <c r="B78" s="17" t="s">
        <v>454</v>
      </c>
      <c r="C78" s="18"/>
      <c r="D78" s="19" t="s">
        <v>56</v>
      </c>
      <c r="E78" s="1" t="s">
        <v>55</v>
      </c>
      <c r="F78" s="20" t="s">
        <v>298</v>
      </c>
      <c r="G78">
        <f t="shared" si="14"/>
        <v>75</v>
      </c>
      <c r="H78">
        <f t="shared" si="15"/>
        <v>37.5</v>
      </c>
      <c r="I78">
        <f t="shared" si="16"/>
        <v>37.5</v>
      </c>
      <c r="J78">
        <f t="shared" si="17"/>
        <v>81.52</v>
      </c>
      <c r="K78">
        <f t="shared" si="18"/>
        <v>14.673599999999999</v>
      </c>
      <c r="L78">
        <f t="shared" si="19"/>
        <v>131.13999999999999</v>
      </c>
      <c r="M78">
        <f t="shared" si="20"/>
        <v>62.5</v>
      </c>
    </row>
    <row r="79" spans="1:13" ht="15" customHeight="1" x14ac:dyDescent="0.3">
      <c r="A79" s="21" t="s">
        <v>253</v>
      </c>
      <c r="B79" s="22" t="s">
        <v>258</v>
      </c>
      <c r="C79" s="23"/>
      <c r="D79" s="24" t="s">
        <v>56</v>
      </c>
      <c r="E79" s="1" t="s">
        <v>55</v>
      </c>
      <c r="F79" s="20" t="s">
        <v>160</v>
      </c>
      <c r="G79">
        <f t="shared" si="14"/>
        <v>25</v>
      </c>
      <c r="H79">
        <f t="shared" si="15"/>
        <v>50</v>
      </c>
      <c r="I79">
        <f t="shared" si="16"/>
        <v>25</v>
      </c>
      <c r="J79">
        <f t="shared" si="17"/>
        <v>108.7</v>
      </c>
      <c r="K79">
        <f t="shared" si="18"/>
        <v>19.565999999999999</v>
      </c>
      <c r="L79">
        <f t="shared" si="19"/>
        <v>11.81</v>
      </c>
      <c r="M79">
        <f t="shared" si="20"/>
        <v>41.67</v>
      </c>
    </row>
    <row r="80" spans="1:13" ht="15" customHeight="1" x14ac:dyDescent="0.3">
      <c r="A80" s="16" t="s">
        <v>253</v>
      </c>
      <c r="B80" s="17" t="s">
        <v>442</v>
      </c>
      <c r="C80" s="18"/>
      <c r="D80" s="19" t="s">
        <v>56</v>
      </c>
      <c r="E80" s="1" t="s">
        <v>55</v>
      </c>
      <c r="F80" s="20" t="s">
        <v>429</v>
      </c>
      <c r="G80">
        <f t="shared" si="14"/>
        <v>37.5</v>
      </c>
      <c r="H80">
        <f t="shared" si="15"/>
        <v>25</v>
      </c>
      <c r="I80">
        <f t="shared" si="16"/>
        <v>25</v>
      </c>
      <c r="J80">
        <f t="shared" si="17"/>
        <v>54.35</v>
      </c>
      <c r="K80">
        <f t="shared" si="18"/>
        <v>9.7829999999999995</v>
      </c>
      <c r="L80">
        <f t="shared" si="19"/>
        <v>60.25</v>
      </c>
      <c r="M80">
        <f t="shared" si="20"/>
        <v>41.67</v>
      </c>
    </row>
    <row r="81" spans="1:13" ht="18" customHeight="1" x14ac:dyDescent="0.3">
      <c r="A81" s="25" t="s">
        <v>263</v>
      </c>
      <c r="B81" s="25"/>
      <c r="C81" s="25"/>
      <c r="G81" t="str">
        <f t="shared" si="14"/>
        <v/>
      </c>
      <c r="H81" t="str">
        <f t="shared" si="15"/>
        <v/>
      </c>
      <c r="I81" t="str">
        <f t="shared" si="16"/>
        <v/>
      </c>
      <c r="J81" t="str">
        <f t="shared" si="17"/>
        <v/>
      </c>
      <c r="K81" t="str">
        <f t="shared" si="18"/>
        <v/>
      </c>
      <c r="L81" t="str">
        <f t="shared" si="19"/>
        <v/>
      </c>
      <c r="M81" t="str">
        <f t="shared" si="20"/>
        <v/>
      </c>
    </row>
    <row r="82" spans="1:13" ht="15" customHeight="1" x14ac:dyDescent="0.3">
      <c r="A82" s="21" t="s">
        <v>264</v>
      </c>
      <c r="B82" s="22" t="s">
        <v>598</v>
      </c>
      <c r="C82" s="23"/>
      <c r="D82" s="24" t="s">
        <v>56</v>
      </c>
      <c r="E82" s="1" t="s">
        <v>55</v>
      </c>
      <c r="F82" s="20" t="s">
        <v>456</v>
      </c>
      <c r="G82" t="str">
        <f t="shared" si="14"/>
        <v>N/A</v>
      </c>
      <c r="H82" t="str">
        <f t="shared" si="15"/>
        <v>N/A</v>
      </c>
      <c r="I82" t="str">
        <f t="shared" si="16"/>
        <v>N/A</v>
      </c>
      <c r="J82" t="str">
        <f t="shared" si="17"/>
        <v>N/A</v>
      </c>
      <c r="K82" t="str">
        <f t="shared" si="18"/>
        <v>N/A</v>
      </c>
      <c r="L82" t="str">
        <f t="shared" si="19"/>
        <v>N/A</v>
      </c>
      <c r="M82" t="str">
        <f t="shared" si="20"/>
        <v>N/A</v>
      </c>
    </row>
    <row r="83" spans="1:13" ht="18" customHeight="1" x14ac:dyDescent="0.3">
      <c r="A83" s="25" t="s">
        <v>269</v>
      </c>
      <c r="B83" s="25"/>
      <c r="C83" s="25"/>
      <c r="G83" t="str">
        <f t="shared" si="14"/>
        <v/>
      </c>
      <c r="H83" t="str">
        <f t="shared" si="15"/>
        <v/>
      </c>
      <c r="I83" t="str">
        <f t="shared" si="16"/>
        <v/>
      </c>
      <c r="J83" t="str">
        <f t="shared" si="17"/>
        <v/>
      </c>
      <c r="K83" t="str">
        <f t="shared" si="18"/>
        <v/>
      </c>
      <c r="L83" t="str">
        <f t="shared" si="19"/>
        <v/>
      </c>
      <c r="M83" t="str">
        <f t="shared" si="20"/>
        <v/>
      </c>
    </row>
    <row r="84" spans="1:13" ht="15" customHeight="1" x14ac:dyDescent="0.3">
      <c r="A84" s="16" t="s">
        <v>270</v>
      </c>
      <c r="B84" s="17" t="s">
        <v>271</v>
      </c>
      <c r="C84" s="18"/>
      <c r="D84" s="19" t="s">
        <v>56</v>
      </c>
      <c r="E84" s="1" t="s">
        <v>55</v>
      </c>
      <c r="F84" s="20" t="s">
        <v>241</v>
      </c>
      <c r="G84">
        <f t="shared" si="14"/>
        <v>7.5</v>
      </c>
      <c r="H84">
        <f t="shared" si="15"/>
        <v>15</v>
      </c>
      <c r="I84">
        <f t="shared" si="16"/>
        <v>15</v>
      </c>
      <c r="J84">
        <f t="shared" si="17"/>
        <v>32.61</v>
      </c>
      <c r="K84">
        <f t="shared" si="18"/>
        <v>5.8697999999999997</v>
      </c>
      <c r="L84">
        <f t="shared" si="19"/>
        <v>3.54</v>
      </c>
      <c r="M84">
        <f t="shared" si="20"/>
        <v>25</v>
      </c>
    </row>
    <row r="85" spans="1:13" ht="15" customHeight="1" x14ac:dyDescent="0.3">
      <c r="A85" s="21" t="s">
        <v>270</v>
      </c>
      <c r="B85" s="22" t="s">
        <v>272</v>
      </c>
      <c r="C85" s="23"/>
      <c r="D85" s="24" t="s">
        <v>56</v>
      </c>
      <c r="E85" s="1" t="s">
        <v>55</v>
      </c>
      <c r="F85" s="20" t="s">
        <v>273</v>
      </c>
      <c r="G85">
        <f t="shared" si="14"/>
        <v>112.5</v>
      </c>
      <c r="H85">
        <f t="shared" si="15"/>
        <v>112.5</v>
      </c>
      <c r="I85">
        <f t="shared" si="16"/>
        <v>93.75</v>
      </c>
      <c r="J85">
        <f t="shared" si="17"/>
        <v>244.57</v>
      </c>
      <c r="K85">
        <f t="shared" si="18"/>
        <v>44.022599999999997</v>
      </c>
      <c r="L85">
        <f t="shared" si="19"/>
        <v>148.86000000000001</v>
      </c>
      <c r="M85">
        <f t="shared" si="20"/>
        <v>156.25</v>
      </c>
    </row>
    <row r="86" spans="1:13" ht="15" customHeight="1" x14ac:dyDescent="0.3">
      <c r="A86" s="16" t="s">
        <v>270</v>
      </c>
      <c r="B86" s="17" t="s">
        <v>278</v>
      </c>
      <c r="C86" s="18"/>
      <c r="D86" s="19" t="s">
        <v>56</v>
      </c>
      <c r="E86" s="1" t="s">
        <v>55</v>
      </c>
      <c r="F86" s="20" t="s">
        <v>279</v>
      </c>
      <c r="G86">
        <f t="shared" si="14"/>
        <v>250</v>
      </c>
      <c r="H86">
        <f t="shared" si="15"/>
        <v>250</v>
      </c>
      <c r="I86">
        <f t="shared" si="16"/>
        <v>250</v>
      </c>
      <c r="J86">
        <f t="shared" si="17"/>
        <v>543.48</v>
      </c>
      <c r="K86">
        <f t="shared" si="18"/>
        <v>97.826400000000007</v>
      </c>
      <c r="L86">
        <f t="shared" si="19"/>
        <v>330.81</v>
      </c>
      <c r="M86">
        <f t="shared" si="20"/>
        <v>416.67</v>
      </c>
    </row>
    <row r="87" spans="1:13" ht="15" customHeight="1" x14ac:dyDescent="0.3">
      <c r="A87" s="21" t="s">
        <v>270</v>
      </c>
      <c r="B87" s="22" t="s">
        <v>276</v>
      </c>
      <c r="C87" s="23"/>
      <c r="D87" s="24" t="s">
        <v>56</v>
      </c>
      <c r="E87" s="1" t="s">
        <v>55</v>
      </c>
      <c r="F87" s="20" t="s">
        <v>277</v>
      </c>
      <c r="G87">
        <f t="shared" si="14"/>
        <v>156.25</v>
      </c>
      <c r="H87">
        <f t="shared" si="15"/>
        <v>150</v>
      </c>
      <c r="I87">
        <f t="shared" si="16"/>
        <v>31.25</v>
      </c>
      <c r="J87">
        <f t="shared" si="17"/>
        <v>326.08999999999997</v>
      </c>
      <c r="K87">
        <f t="shared" si="18"/>
        <v>58.69619999999999</v>
      </c>
      <c r="L87">
        <f t="shared" si="19"/>
        <v>212.07</v>
      </c>
      <c r="M87">
        <f t="shared" si="20"/>
        <v>52.08</v>
      </c>
    </row>
  </sheetData>
  <mergeCells count="13">
    <mergeCell ref="A1:C1"/>
    <mergeCell ref="A2:C2"/>
    <mergeCell ref="A3:C3"/>
    <mergeCell ref="A4:C4"/>
    <mergeCell ref="A7:C7"/>
    <mergeCell ref="A69:C69"/>
    <mergeCell ref="A81:C81"/>
    <mergeCell ref="A83:C83"/>
    <mergeCell ref="A16:C16"/>
    <mergeCell ref="A25:C25"/>
    <mergeCell ref="A34:C34"/>
    <mergeCell ref="A39:C39"/>
    <mergeCell ref="A51:C5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32"/>
  </sheetPr>
  <dimension ref="A1:M9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599</v>
      </c>
      <c r="B1" s="26"/>
      <c r="C1" s="26"/>
    </row>
    <row r="2" spans="1:13" ht="19.5" customHeight="1" x14ac:dyDescent="0.3">
      <c r="A2" s="27" t="s">
        <v>600</v>
      </c>
      <c r="B2" s="27"/>
      <c r="C2" s="27"/>
    </row>
    <row r="3" spans="1:13" ht="19.5" customHeight="1" x14ac:dyDescent="0.3">
      <c r="A3" s="27" t="s">
        <v>601</v>
      </c>
      <c r="B3" s="27"/>
      <c r="C3" s="27"/>
    </row>
    <row r="4" spans="1:13" ht="19.5" customHeight="1" x14ac:dyDescent="0.3">
      <c r="A4" s="27" t="s">
        <v>602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603</v>
      </c>
      <c r="C8" s="18"/>
      <c r="D8" s="19" t="s">
        <v>58</v>
      </c>
      <c r="E8" s="1" t="s">
        <v>57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58</v>
      </c>
      <c r="E9" s="1" t="s">
        <v>57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146</v>
      </c>
      <c r="C10" s="18"/>
      <c r="D10" s="19" t="s">
        <v>58</v>
      </c>
      <c r="E10" s="1" t="s">
        <v>57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375</v>
      </c>
      <c r="C11" s="23"/>
      <c r="D11" s="24" t="s">
        <v>58</v>
      </c>
      <c r="E11" s="1" t="s">
        <v>57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144</v>
      </c>
      <c r="C12" s="18"/>
      <c r="D12" s="19" t="s">
        <v>58</v>
      </c>
      <c r="E12" s="1" t="s">
        <v>57</v>
      </c>
      <c r="F12" s="20" t="s">
        <v>145</v>
      </c>
      <c r="G12">
        <f t="shared" si="0"/>
        <v>187.5</v>
      </c>
      <c r="H12">
        <f t="shared" si="1"/>
        <v>93.75</v>
      </c>
      <c r="I12">
        <f t="shared" si="2"/>
        <v>93.75</v>
      </c>
      <c r="J12">
        <f t="shared" si="3"/>
        <v>203.8</v>
      </c>
      <c r="K12">
        <f t="shared" si="4"/>
        <v>36.683999999999997</v>
      </c>
      <c r="L12">
        <f t="shared" si="5"/>
        <v>327.86</v>
      </c>
      <c r="M12">
        <f t="shared" si="6"/>
        <v>156.25</v>
      </c>
    </row>
    <row r="13" spans="1:13" ht="15" customHeight="1" x14ac:dyDescent="0.3">
      <c r="A13" s="21" t="s">
        <v>141</v>
      </c>
      <c r="B13" s="22" t="s">
        <v>400</v>
      </c>
      <c r="C13" s="23"/>
      <c r="D13" s="24" t="s">
        <v>58</v>
      </c>
      <c r="E13" s="1" t="s">
        <v>57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604</v>
      </c>
      <c r="C14" s="18"/>
      <c r="D14" s="19" t="s">
        <v>58</v>
      </c>
      <c r="E14" s="1" t="s">
        <v>57</v>
      </c>
      <c r="F14" s="20" t="s">
        <v>149</v>
      </c>
      <c r="G14">
        <f t="shared" si="0"/>
        <v>50</v>
      </c>
      <c r="H14">
        <f t="shared" si="1"/>
        <v>25</v>
      </c>
      <c r="I14">
        <f t="shared" si="2"/>
        <v>25</v>
      </c>
      <c r="J14">
        <f t="shared" si="3"/>
        <v>54.35</v>
      </c>
      <c r="K14">
        <f t="shared" si="4"/>
        <v>9.7829999999999995</v>
      </c>
      <c r="L14">
        <f t="shared" si="5"/>
        <v>87.43</v>
      </c>
      <c r="M14">
        <f t="shared" si="6"/>
        <v>41.67</v>
      </c>
    </row>
    <row r="15" spans="1:13" ht="18" customHeight="1" x14ac:dyDescent="0.3">
      <c r="A15" s="25" t="s">
        <v>155</v>
      </c>
      <c r="B15" s="25"/>
      <c r="C15" s="25"/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  <c r="L15" t="str">
        <f t="shared" si="5"/>
        <v/>
      </c>
      <c r="M15" t="str">
        <f t="shared" si="6"/>
        <v/>
      </c>
    </row>
    <row r="16" spans="1:13" ht="15" customHeight="1" x14ac:dyDescent="0.3">
      <c r="A16" s="21" t="s">
        <v>156</v>
      </c>
      <c r="B16" s="22" t="s">
        <v>592</v>
      </c>
      <c r="C16" s="23"/>
      <c r="D16" s="24" t="s">
        <v>58</v>
      </c>
      <c r="E16" s="1" t="s">
        <v>57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536</v>
      </c>
      <c r="C17" s="18"/>
      <c r="D17" s="19" t="s">
        <v>58</v>
      </c>
      <c r="E17" s="1" t="s">
        <v>57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293</v>
      </c>
      <c r="C18" s="23"/>
      <c r="D18" s="24" t="s">
        <v>58</v>
      </c>
      <c r="E18" s="1" t="s">
        <v>57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292</v>
      </c>
      <c r="C19" s="18"/>
      <c r="D19" s="19" t="s">
        <v>58</v>
      </c>
      <c r="E19" s="1" t="s">
        <v>57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163</v>
      </c>
      <c r="C20" s="23"/>
      <c r="D20" s="24" t="s">
        <v>58</v>
      </c>
      <c r="E20" s="1" t="s">
        <v>57</v>
      </c>
      <c r="F20" s="20" t="s">
        <v>164</v>
      </c>
      <c r="G20">
        <f t="shared" si="0"/>
        <v>12.5</v>
      </c>
      <c r="H20">
        <f t="shared" si="1"/>
        <v>25</v>
      </c>
      <c r="I20">
        <f t="shared" si="2"/>
        <v>12.5</v>
      </c>
      <c r="J20">
        <f t="shared" si="3"/>
        <v>54.35</v>
      </c>
      <c r="K20">
        <f t="shared" si="4"/>
        <v>9.7829999999999995</v>
      </c>
      <c r="L20">
        <f t="shared" si="5"/>
        <v>5.91</v>
      </c>
      <c r="M20">
        <f t="shared" si="6"/>
        <v>20.83</v>
      </c>
    </row>
    <row r="21" spans="1:13" ht="15" customHeight="1" x14ac:dyDescent="0.3">
      <c r="A21" s="16" t="s">
        <v>156</v>
      </c>
      <c r="B21" s="17" t="s">
        <v>165</v>
      </c>
      <c r="C21" s="18"/>
      <c r="D21" s="19" t="s">
        <v>58</v>
      </c>
      <c r="E21" s="1" t="s">
        <v>57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357</v>
      </c>
      <c r="C22" s="23"/>
      <c r="D22" s="24" t="s">
        <v>58</v>
      </c>
      <c r="E22" s="1" t="s">
        <v>57</v>
      </c>
      <c r="F22" s="20" t="s">
        <v>160</v>
      </c>
      <c r="G22">
        <f t="shared" si="0"/>
        <v>25</v>
      </c>
      <c r="H22">
        <f t="shared" si="1"/>
        <v>50</v>
      </c>
      <c r="I22">
        <f t="shared" si="2"/>
        <v>25</v>
      </c>
      <c r="J22">
        <f t="shared" si="3"/>
        <v>108.7</v>
      </c>
      <c r="K22">
        <f t="shared" si="4"/>
        <v>19.565999999999999</v>
      </c>
      <c r="L22">
        <f t="shared" si="5"/>
        <v>11.81</v>
      </c>
      <c r="M22">
        <f t="shared" si="6"/>
        <v>41.67</v>
      </c>
    </row>
    <row r="23" spans="1:13" ht="18" customHeight="1" x14ac:dyDescent="0.3">
      <c r="A23" s="25" t="s">
        <v>167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16" t="s">
        <v>168</v>
      </c>
      <c r="B24" s="17" t="s">
        <v>169</v>
      </c>
      <c r="C24" s="18"/>
      <c r="D24" s="19" t="s">
        <v>58</v>
      </c>
      <c r="E24" s="1" t="s">
        <v>57</v>
      </c>
      <c r="F24" s="20" t="s">
        <v>170</v>
      </c>
      <c r="G24">
        <f t="shared" si="0"/>
        <v>25</v>
      </c>
      <c r="H24">
        <f t="shared" si="1"/>
        <v>50</v>
      </c>
      <c r="I24">
        <f t="shared" si="2"/>
        <v>50</v>
      </c>
      <c r="J24">
        <f t="shared" si="3"/>
        <v>108.7</v>
      </c>
      <c r="K24">
        <f t="shared" si="4"/>
        <v>19.565999999999999</v>
      </c>
      <c r="L24">
        <f t="shared" si="5"/>
        <v>11.81</v>
      </c>
      <c r="M24">
        <f t="shared" si="6"/>
        <v>83.33</v>
      </c>
    </row>
    <row r="25" spans="1:13" ht="15" customHeight="1" x14ac:dyDescent="0.3">
      <c r="A25" s="21" t="s">
        <v>168</v>
      </c>
      <c r="B25" s="22" t="s">
        <v>176</v>
      </c>
      <c r="C25" s="23"/>
      <c r="D25" s="24" t="s">
        <v>58</v>
      </c>
      <c r="E25" s="1" t="s">
        <v>57</v>
      </c>
      <c r="F25" s="20" t="s">
        <v>177</v>
      </c>
      <c r="G25">
        <f t="shared" si="0"/>
        <v>25</v>
      </c>
      <c r="H25">
        <f t="shared" si="1"/>
        <v>75</v>
      </c>
      <c r="I25">
        <f t="shared" si="2"/>
        <v>50</v>
      </c>
      <c r="J25">
        <f t="shared" si="3"/>
        <v>163.04</v>
      </c>
      <c r="K25">
        <f t="shared" si="4"/>
        <v>29.347199999999997</v>
      </c>
      <c r="L25">
        <f t="shared" si="5"/>
        <v>-9.4499999999999993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172</v>
      </c>
      <c r="C26" s="18"/>
      <c r="D26" s="19" t="s">
        <v>58</v>
      </c>
      <c r="E26" s="1" t="s">
        <v>57</v>
      </c>
      <c r="F26" s="20" t="s">
        <v>173</v>
      </c>
      <c r="G26">
        <f t="shared" si="0"/>
        <v>75</v>
      </c>
      <c r="H26">
        <f t="shared" si="1"/>
        <v>112.5</v>
      </c>
      <c r="I26">
        <f t="shared" si="2"/>
        <v>75</v>
      </c>
      <c r="J26">
        <f t="shared" si="3"/>
        <v>244.57</v>
      </c>
      <c r="K26">
        <f t="shared" si="4"/>
        <v>44.022599999999997</v>
      </c>
      <c r="L26">
        <f t="shared" si="5"/>
        <v>67.34</v>
      </c>
      <c r="M26">
        <f t="shared" si="6"/>
        <v>125</v>
      </c>
    </row>
    <row r="27" spans="1:13" ht="15" customHeight="1" x14ac:dyDescent="0.3">
      <c r="A27" s="21" t="s">
        <v>168</v>
      </c>
      <c r="B27" s="22" t="s">
        <v>294</v>
      </c>
      <c r="C27" s="23"/>
      <c r="D27" s="24" t="s">
        <v>58</v>
      </c>
      <c r="E27" s="1" t="s">
        <v>57</v>
      </c>
      <c r="F27" s="20" t="s">
        <v>149</v>
      </c>
      <c r="G27">
        <f t="shared" si="0"/>
        <v>50</v>
      </c>
      <c r="H27">
        <f t="shared" si="1"/>
        <v>25</v>
      </c>
      <c r="I27">
        <f t="shared" si="2"/>
        <v>25</v>
      </c>
      <c r="J27">
        <f t="shared" si="3"/>
        <v>54.35</v>
      </c>
      <c r="K27">
        <f t="shared" si="4"/>
        <v>9.7829999999999995</v>
      </c>
      <c r="L27">
        <f t="shared" si="5"/>
        <v>87.43</v>
      </c>
      <c r="M27">
        <f t="shared" si="6"/>
        <v>41.67</v>
      </c>
    </row>
    <row r="28" spans="1:13" ht="15" customHeight="1" x14ac:dyDescent="0.3">
      <c r="A28" s="16" t="s">
        <v>168</v>
      </c>
      <c r="B28" s="17" t="s">
        <v>171</v>
      </c>
      <c r="C28" s="18"/>
      <c r="D28" s="19" t="s">
        <v>58</v>
      </c>
      <c r="E28" s="1" t="s">
        <v>57</v>
      </c>
      <c r="F28" s="20" t="s">
        <v>147</v>
      </c>
      <c r="G28">
        <f t="shared" si="0"/>
        <v>100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174.86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295</v>
      </c>
      <c r="C29" s="23"/>
      <c r="D29" s="24" t="s">
        <v>58</v>
      </c>
      <c r="E29" s="1" t="s">
        <v>57</v>
      </c>
      <c r="F29" s="20" t="s">
        <v>149</v>
      </c>
      <c r="G29">
        <f t="shared" si="0"/>
        <v>50</v>
      </c>
      <c r="H29">
        <f t="shared" si="1"/>
        <v>25</v>
      </c>
      <c r="I29">
        <f t="shared" si="2"/>
        <v>25</v>
      </c>
      <c r="J29">
        <f t="shared" si="3"/>
        <v>54.35</v>
      </c>
      <c r="K29">
        <f t="shared" si="4"/>
        <v>9.7829999999999995</v>
      </c>
      <c r="L29">
        <f t="shared" si="5"/>
        <v>87.43</v>
      </c>
      <c r="M29">
        <f t="shared" si="6"/>
        <v>41.67</v>
      </c>
    </row>
    <row r="30" spans="1:13" ht="15" customHeight="1" x14ac:dyDescent="0.3">
      <c r="A30" s="16" t="s">
        <v>168</v>
      </c>
      <c r="B30" s="17" t="s">
        <v>175</v>
      </c>
      <c r="C30" s="18"/>
      <c r="D30" s="19" t="s">
        <v>58</v>
      </c>
      <c r="E30" s="1" t="s">
        <v>57</v>
      </c>
      <c r="F30" s="20" t="s">
        <v>147</v>
      </c>
      <c r="G30">
        <f t="shared" si="0"/>
        <v>100</v>
      </c>
      <c r="H30">
        <f t="shared" si="1"/>
        <v>50</v>
      </c>
      <c r="I30">
        <f t="shared" si="2"/>
        <v>50</v>
      </c>
      <c r="J30">
        <f t="shared" si="3"/>
        <v>108.7</v>
      </c>
      <c r="K30">
        <f t="shared" si="4"/>
        <v>19.565999999999999</v>
      </c>
      <c r="L30">
        <f t="shared" si="5"/>
        <v>174.86</v>
      </c>
      <c r="M30">
        <f t="shared" si="6"/>
        <v>83.33</v>
      </c>
    </row>
    <row r="31" spans="1:13" ht="15" customHeight="1" x14ac:dyDescent="0.3">
      <c r="A31" s="21" t="s">
        <v>168</v>
      </c>
      <c r="B31" s="22" t="s">
        <v>594</v>
      </c>
      <c r="C31" s="23"/>
      <c r="D31" s="24" t="s">
        <v>58</v>
      </c>
      <c r="E31" s="1" t="s">
        <v>57</v>
      </c>
      <c r="F31" s="20" t="s">
        <v>160</v>
      </c>
      <c r="G31">
        <f t="shared" si="0"/>
        <v>25</v>
      </c>
      <c r="H31">
        <f t="shared" si="1"/>
        <v>50</v>
      </c>
      <c r="I31">
        <f t="shared" si="2"/>
        <v>25</v>
      </c>
      <c r="J31">
        <f t="shared" si="3"/>
        <v>108.7</v>
      </c>
      <c r="K31">
        <f t="shared" si="4"/>
        <v>19.565999999999999</v>
      </c>
      <c r="L31">
        <f t="shared" si="5"/>
        <v>11.81</v>
      </c>
      <c r="M31">
        <f t="shared" si="6"/>
        <v>41.67</v>
      </c>
    </row>
    <row r="32" spans="1:13" ht="18" customHeight="1" x14ac:dyDescent="0.3">
      <c r="A32" s="25" t="s">
        <v>180</v>
      </c>
      <c r="B32" s="25"/>
      <c r="C32" s="25"/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  <c r="L32" t="str">
        <f t="shared" si="5"/>
        <v/>
      </c>
      <c r="M32" t="str">
        <f t="shared" si="6"/>
        <v/>
      </c>
    </row>
    <row r="33" spans="1:13" ht="15" customHeight="1" x14ac:dyDescent="0.3">
      <c r="A33" s="16" t="s">
        <v>181</v>
      </c>
      <c r="B33" s="17" t="s">
        <v>605</v>
      </c>
      <c r="C33" s="18"/>
      <c r="D33" s="19" t="s">
        <v>58</v>
      </c>
      <c r="E33" s="1" t="s">
        <v>57</v>
      </c>
      <c r="F33" s="20" t="s">
        <v>183</v>
      </c>
      <c r="G33">
        <f t="shared" si="0"/>
        <v>350</v>
      </c>
      <c r="H33">
        <f t="shared" si="1"/>
        <v>112.5</v>
      </c>
      <c r="I33">
        <f t="shared" si="2"/>
        <v>112.5</v>
      </c>
      <c r="J33">
        <f t="shared" si="3"/>
        <v>244.57</v>
      </c>
      <c r="K33">
        <f t="shared" si="4"/>
        <v>44.022599999999997</v>
      </c>
      <c r="L33">
        <f t="shared" si="5"/>
        <v>665.17</v>
      </c>
      <c r="M33">
        <f t="shared" si="6"/>
        <v>187.5</v>
      </c>
    </row>
    <row r="34" spans="1:13" ht="15" customHeight="1" x14ac:dyDescent="0.3">
      <c r="A34" s="21" t="s">
        <v>181</v>
      </c>
      <c r="B34" s="22" t="s">
        <v>184</v>
      </c>
      <c r="C34" s="23"/>
      <c r="D34" s="24" t="s">
        <v>58</v>
      </c>
      <c r="E34" s="1" t="s">
        <v>57</v>
      </c>
      <c r="F34" s="20" t="s">
        <v>185</v>
      </c>
      <c r="G34">
        <f t="shared" si="0"/>
        <v>125</v>
      </c>
      <c r="H34">
        <f t="shared" si="1"/>
        <v>62.5</v>
      </c>
      <c r="I34">
        <f t="shared" si="2"/>
        <v>62.5</v>
      </c>
      <c r="J34">
        <f t="shared" si="3"/>
        <v>135.87</v>
      </c>
      <c r="K34">
        <f t="shared" si="4"/>
        <v>24.456600000000002</v>
      </c>
      <c r="L34">
        <f t="shared" si="5"/>
        <v>218.57</v>
      </c>
      <c r="M34">
        <f t="shared" si="6"/>
        <v>104.17</v>
      </c>
    </row>
    <row r="35" spans="1:13" ht="15" customHeight="1" x14ac:dyDescent="0.3">
      <c r="A35" s="16" t="s">
        <v>181</v>
      </c>
      <c r="B35" s="17" t="s">
        <v>186</v>
      </c>
      <c r="C35" s="18"/>
      <c r="D35" s="19" t="s">
        <v>58</v>
      </c>
      <c r="E35" s="1" t="s">
        <v>57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8" customHeight="1" x14ac:dyDescent="0.3">
      <c r="A36" s="25" t="s">
        <v>187</v>
      </c>
      <c r="B36" s="25"/>
      <c r="C36" s="25"/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5"/>
        <v/>
      </c>
      <c r="M36" t="str">
        <f t="shared" si="6"/>
        <v/>
      </c>
    </row>
    <row r="37" spans="1:13" ht="15" customHeight="1" x14ac:dyDescent="0.3">
      <c r="A37" s="21" t="s">
        <v>188</v>
      </c>
      <c r="B37" s="22" t="s">
        <v>606</v>
      </c>
      <c r="C37" s="23"/>
      <c r="D37" s="24" t="s">
        <v>58</v>
      </c>
      <c r="E37" s="1" t="s">
        <v>57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191</v>
      </c>
      <c r="C38" s="18"/>
      <c r="D38" s="19" t="s">
        <v>58</v>
      </c>
      <c r="E38" s="1" t="s">
        <v>57</v>
      </c>
      <c r="F38" s="20" t="s">
        <v>192</v>
      </c>
      <c r="G38">
        <f t="shared" si="0"/>
        <v>137.5</v>
      </c>
      <c r="H38">
        <f t="shared" si="1"/>
        <v>43.75</v>
      </c>
      <c r="I38">
        <f t="shared" si="2"/>
        <v>412.5</v>
      </c>
      <c r="J38">
        <f t="shared" si="3"/>
        <v>95.11</v>
      </c>
      <c r="K38">
        <f t="shared" si="4"/>
        <v>17.119799999999998</v>
      </c>
      <c r="L38">
        <f t="shared" si="5"/>
        <v>261.7</v>
      </c>
      <c r="M38">
        <f t="shared" si="6"/>
        <v>687.5</v>
      </c>
    </row>
    <row r="39" spans="1:13" ht="15" customHeight="1" x14ac:dyDescent="0.3">
      <c r="A39" s="21" t="s">
        <v>188</v>
      </c>
      <c r="B39" s="22" t="s">
        <v>607</v>
      </c>
      <c r="C39" s="23"/>
      <c r="D39" s="24" t="s">
        <v>58</v>
      </c>
      <c r="E39" s="1" t="s">
        <v>57</v>
      </c>
      <c r="F39" s="20" t="s">
        <v>201</v>
      </c>
      <c r="G39">
        <f t="shared" ref="G39:G70" si="7">IF($F39="","",IFERROR(VALUE(TRIM(LEFT($F39,FIND(":",$F39)-1)))*1.25,"N/A"))</f>
        <v>50</v>
      </c>
      <c r="H39">
        <f t="shared" ref="H39:H70" si="8">IF($F39="","",IFERROR(VALUE(TRIM(MID($F39,FIND(":",$F39)+1,FIND(":",$F39,FIND(":",$F39)+1)-FIND(":",$F39)-1)))*1.25,"N/A"))</f>
        <v>30</v>
      </c>
      <c r="I39">
        <f t="shared" ref="I39:I70" si="9">IF($F39="","",IFERROR(VALUE(TRIM(LEFT(MID($F39,FIND(":",$F39,FIND(":",$F39)+1)+1,LEN($F39)),FIND(" ",MID($F39,FIND(":",$F39,FIND(":",$F39)+1)+1,LEN($F39))&amp;" ")-1)))*1.25,"N/A"))</f>
        <v>100</v>
      </c>
      <c r="J39">
        <f t="shared" ref="J39:J70" si="10">IF(OR($F39="",$H39="N/A"),IF($F39="","","N/A"),ROUND($H39/0.46,2))</f>
        <v>65.22</v>
      </c>
      <c r="K39">
        <f t="shared" ref="K39:K70" si="11">IF(OR($F39="",$J39="N/A"),IF($F39="","","N/A"),$J39*0.18)</f>
        <v>11.739599999999999</v>
      </c>
      <c r="L39">
        <f t="shared" ref="L39:L70" si="12">IF(OR($F39="",$G39="N/A",$K39="N/A"),IF($F39="","","N/A"),ROUND(($G39-$K39)/0.46,2))</f>
        <v>83.17</v>
      </c>
      <c r="M39">
        <f t="shared" ref="M39:M70" si="13">IF(OR($F39="",$I39="N/A"),IF($F39="","","N/A"),ROUND($I39/0.6,2))</f>
        <v>166.67</v>
      </c>
    </row>
    <row r="40" spans="1:13" ht="15" customHeight="1" x14ac:dyDescent="0.3">
      <c r="A40" s="16" t="s">
        <v>188</v>
      </c>
      <c r="B40" s="17" t="s">
        <v>196</v>
      </c>
      <c r="C40" s="18"/>
      <c r="D40" s="19" t="s">
        <v>58</v>
      </c>
      <c r="E40" s="1" t="s">
        <v>57</v>
      </c>
      <c r="F40" s="20" t="s">
        <v>197</v>
      </c>
      <c r="G40">
        <f t="shared" si="7"/>
        <v>750</v>
      </c>
      <c r="H40">
        <f t="shared" si="8"/>
        <v>625</v>
      </c>
      <c r="I40">
        <f t="shared" si="9"/>
        <v>1500</v>
      </c>
      <c r="J40">
        <f t="shared" si="10"/>
        <v>1358.7</v>
      </c>
      <c r="K40">
        <f t="shared" si="11"/>
        <v>244.566</v>
      </c>
      <c r="L40">
        <f t="shared" si="12"/>
        <v>1098.77</v>
      </c>
      <c r="M40">
        <f t="shared" si="13"/>
        <v>2500</v>
      </c>
    </row>
    <row r="41" spans="1:13" ht="15" customHeight="1" x14ac:dyDescent="0.3">
      <c r="A41" s="21" t="s">
        <v>188</v>
      </c>
      <c r="B41" s="22" t="s">
        <v>608</v>
      </c>
      <c r="C41" s="23"/>
      <c r="D41" s="24" t="s">
        <v>58</v>
      </c>
      <c r="E41" s="1" t="s">
        <v>57</v>
      </c>
      <c r="F41" s="20" t="s">
        <v>300</v>
      </c>
      <c r="G41">
        <f t="shared" si="7"/>
        <v>750</v>
      </c>
      <c r="H41">
        <f t="shared" si="8"/>
        <v>250</v>
      </c>
      <c r="I41">
        <f t="shared" si="9"/>
        <v>500</v>
      </c>
      <c r="J41">
        <f t="shared" si="10"/>
        <v>543.48</v>
      </c>
      <c r="K41">
        <f t="shared" si="11"/>
        <v>97.826400000000007</v>
      </c>
      <c r="L41">
        <f t="shared" si="12"/>
        <v>1417.77</v>
      </c>
      <c r="M41">
        <f t="shared" si="13"/>
        <v>833.33</v>
      </c>
    </row>
    <row r="42" spans="1:13" ht="15" customHeight="1" x14ac:dyDescent="0.3">
      <c r="A42" s="16" t="s">
        <v>188</v>
      </c>
      <c r="B42" s="17" t="s">
        <v>482</v>
      </c>
      <c r="C42" s="18"/>
      <c r="D42" s="19" t="s">
        <v>58</v>
      </c>
      <c r="E42" s="1" t="s">
        <v>57</v>
      </c>
      <c r="F42" s="20" t="s">
        <v>483</v>
      </c>
      <c r="G42">
        <f t="shared" si="7"/>
        <v>10</v>
      </c>
      <c r="H42">
        <f t="shared" si="8"/>
        <v>10</v>
      </c>
      <c r="I42">
        <f t="shared" si="9"/>
        <v>10</v>
      </c>
      <c r="J42">
        <f t="shared" si="10"/>
        <v>21.74</v>
      </c>
      <c r="K42">
        <f t="shared" si="11"/>
        <v>3.9131999999999998</v>
      </c>
      <c r="L42">
        <f t="shared" si="12"/>
        <v>13.23</v>
      </c>
      <c r="M42">
        <f t="shared" si="13"/>
        <v>16.670000000000002</v>
      </c>
    </row>
    <row r="43" spans="1:13" ht="15" customHeight="1" x14ac:dyDescent="0.3">
      <c r="A43" s="21" t="s">
        <v>188</v>
      </c>
      <c r="B43" s="22" t="s">
        <v>386</v>
      </c>
      <c r="C43" s="23"/>
      <c r="D43" s="24" t="s">
        <v>58</v>
      </c>
      <c r="E43" s="1" t="s">
        <v>57</v>
      </c>
      <c r="F43" s="20" t="s">
        <v>211</v>
      </c>
      <c r="G43">
        <f t="shared" si="7"/>
        <v>93.75</v>
      </c>
      <c r="H43">
        <f t="shared" si="8"/>
        <v>75</v>
      </c>
      <c r="I43">
        <f t="shared" si="9"/>
        <v>62.5</v>
      </c>
      <c r="J43">
        <f t="shared" si="10"/>
        <v>163.04</v>
      </c>
      <c r="K43">
        <f t="shared" si="11"/>
        <v>29.347199999999997</v>
      </c>
      <c r="L43">
        <f t="shared" si="12"/>
        <v>140.01</v>
      </c>
      <c r="M43">
        <f t="shared" si="13"/>
        <v>104.17</v>
      </c>
    </row>
    <row r="44" spans="1:13" ht="15" customHeight="1" x14ac:dyDescent="0.3">
      <c r="A44" s="16" t="s">
        <v>188</v>
      </c>
      <c r="B44" s="17" t="s">
        <v>195</v>
      </c>
      <c r="C44" s="18"/>
      <c r="D44" s="19" t="s">
        <v>58</v>
      </c>
      <c r="E44" s="1" t="s">
        <v>57</v>
      </c>
      <c r="F44" s="20" t="s">
        <v>194</v>
      </c>
      <c r="G44">
        <f t="shared" si="7"/>
        <v>125</v>
      </c>
      <c r="H44">
        <f t="shared" si="8"/>
        <v>125</v>
      </c>
      <c r="I44">
        <f t="shared" si="9"/>
        <v>125</v>
      </c>
      <c r="J44">
        <f t="shared" si="10"/>
        <v>271.74</v>
      </c>
      <c r="K44">
        <f t="shared" si="11"/>
        <v>48.913200000000003</v>
      </c>
      <c r="L44">
        <f t="shared" si="12"/>
        <v>165.41</v>
      </c>
      <c r="M44">
        <f t="shared" si="13"/>
        <v>208.33</v>
      </c>
    </row>
    <row r="45" spans="1:13" ht="15" customHeight="1" x14ac:dyDescent="0.3">
      <c r="A45" s="21" t="s">
        <v>188</v>
      </c>
      <c r="B45" s="22" t="s">
        <v>193</v>
      </c>
      <c r="C45" s="23"/>
      <c r="D45" s="24" t="s">
        <v>58</v>
      </c>
      <c r="E45" s="1" t="s">
        <v>57</v>
      </c>
      <c r="F45" s="20" t="s">
        <v>194</v>
      </c>
      <c r="G45">
        <f t="shared" si="7"/>
        <v>125</v>
      </c>
      <c r="H45">
        <f t="shared" si="8"/>
        <v>125</v>
      </c>
      <c r="I45">
        <f t="shared" si="9"/>
        <v>125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208.33</v>
      </c>
    </row>
    <row r="46" spans="1:13" ht="15" customHeight="1" x14ac:dyDescent="0.3">
      <c r="A46" s="16" t="s">
        <v>188</v>
      </c>
      <c r="B46" s="17" t="s">
        <v>206</v>
      </c>
      <c r="C46" s="18"/>
      <c r="D46" s="19" t="s">
        <v>58</v>
      </c>
      <c r="E46" s="1" t="s">
        <v>57</v>
      </c>
      <c r="F46" s="20" t="s">
        <v>207</v>
      </c>
      <c r="G46">
        <f t="shared" si="7"/>
        <v>700</v>
      </c>
      <c r="H46">
        <f t="shared" si="8"/>
        <v>400</v>
      </c>
      <c r="I46">
        <f t="shared" si="9"/>
        <v>1500</v>
      </c>
      <c r="J46">
        <f t="shared" si="10"/>
        <v>869.57</v>
      </c>
      <c r="K46">
        <f t="shared" si="11"/>
        <v>156.52260000000001</v>
      </c>
      <c r="L46">
        <f t="shared" si="12"/>
        <v>1181.47</v>
      </c>
      <c r="M46">
        <f t="shared" si="13"/>
        <v>2500</v>
      </c>
    </row>
    <row r="47" spans="1:13" ht="15" customHeight="1" x14ac:dyDescent="0.3">
      <c r="A47" s="21" t="s">
        <v>188</v>
      </c>
      <c r="B47" s="22" t="s">
        <v>202</v>
      </c>
      <c r="C47" s="23"/>
      <c r="D47" s="24" t="s">
        <v>58</v>
      </c>
      <c r="E47" s="1" t="s">
        <v>57</v>
      </c>
      <c r="F47" s="20" t="s">
        <v>203</v>
      </c>
      <c r="G47">
        <f t="shared" si="7"/>
        <v>68.75</v>
      </c>
      <c r="H47">
        <f t="shared" si="8"/>
        <v>68.75</v>
      </c>
      <c r="I47">
        <f t="shared" si="9"/>
        <v>68.75</v>
      </c>
      <c r="J47">
        <f t="shared" si="10"/>
        <v>149.46</v>
      </c>
      <c r="K47">
        <f t="shared" si="11"/>
        <v>26.902799999999999</v>
      </c>
      <c r="L47">
        <f t="shared" si="12"/>
        <v>90.97</v>
      </c>
      <c r="M47">
        <f t="shared" si="13"/>
        <v>114.58</v>
      </c>
    </row>
    <row r="48" spans="1:13" ht="15" customHeight="1" x14ac:dyDescent="0.3">
      <c r="A48" s="16" t="s">
        <v>188</v>
      </c>
      <c r="B48" s="17" t="s">
        <v>209</v>
      </c>
      <c r="C48" s="18"/>
      <c r="D48" s="19" t="s">
        <v>58</v>
      </c>
      <c r="E48" s="1" t="s">
        <v>57</v>
      </c>
      <c r="F48" s="20" t="s">
        <v>199</v>
      </c>
      <c r="G48">
        <f t="shared" si="7"/>
        <v>750</v>
      </c>
      <c r="H48">
        <f t="shared" si="8"/>
        <v>250</v>
      </c>
      <c r="I48">
        <f t="shared" si="9"/>
        <v>375</v>
      </c>
      <c r="J48">
        <f t="shared" si="10"/>
        <v>543.48</v>
      </c>
      <c r="K48">
        <f t="shared" si="11"/>
        <v>97.826400000000007</v>
      </c>
      <c r="L48">
        <f t="shared" si="12"/>
        <v>1417.77</v>
      </c>
      <c r="M48">
        <f t="shared" si="13"/>
        <v>625</v>
      </c>
    </row>
    <row r="49" spans="1:13" ht="15" customHeight="1" x14ac:dyDescent="0.3">
      <c r="A49" s="21" t="s">
        <v>188</v>
      </c>
      <c r="B49" s="22" t="s">
        <v>418</v>
      </c>
      <c r="C49" s="23"/>
      <c r="D49" s="24" t="s">
        <v>58</v>
      </c>
      <c r="E49" s="1" t="s">
        <v>57</v>
      </c>
      <c r="F49" s="20" t="s">
        <v>190</v>
      </c>
      <c r="G49">
        <f t="shared" si="7"/>
        <v>125</v>
      </c>
      <c r="H49">
        <f t="shared" si="8"/>
        <v>125</v>
      </c>
      <c r="I49">
        <f t="shared" si="9"/>
        <v>187.5</v>
      </c>
      <c r="J49">
        <f t="shared" si="10"/>
        <v>271.74</v>
      </c>
      <c r="K49">
        <f t="shared" si="11"/>
        <v>48.913200000000003</v>
      </c>
      <c r="L49">
        <f t="shared" si="12"/>
        <v>165.41</v>
      </c>
      <c r="M49">
        <f t="shared" si="13"/>
        <v>312.5</v>
      </c>
    </row>
    <row r="50" spans="1:13" ht="15" customHeight="1" x14ac:dyDescent="0.3">
      <c r="A50" s="16" t="s">
        <v>188</v>
      </c>
      <c r="B50" s="17" t="s">
        <v>214</v>
      </c>
      <c r="C50" s="18"/>
      <c r="D50" s="19" t="s">
        <v>58</v>
      </c>
      <c r="E50" s="1" t="s">
        <v>57</v>
      </c>
      <c r="F50" s="20" t="s">
        <v>215</v>
      </c>
      <c r="G50">
        <f t="shared" si="7"/>
        <v>93.75</v>
      </c>
      <c r="H50">
        <f t="shared" si="8"/>
        <v>50</v>
      </c>
      <c r="I50">
        <f t="shared" si="9"/>
        <v>62.5</v>
      </c>
      <c r="J50">
        <f t="shared" si="10"/>
        <v>108.7</v>
      </c>
      <c r="K50">
        <f t="shared" si="11"/>
        <v>19.565999999999999</v>
      </c>
      <c r="L50">
        <f t="shared" si="12"/>
        <v>161.27000000000001</v>
      </c>
      <c r="M50">
        <f t="shared" si="13"/>
        <v>104.17</v>
      </c>
    </row>
    <row r="51" spans="1:13" ht="15" customHeight="1" x14ac:dyDescent="0.3">
      <c r="A51" s="21" t="s">
        <v>188</v>
      </c>
      <c r="B51" s="22" t="s">
        <v>404</v>
      </c>
      <c r="C51" s="23"/>
      <c r="D51" s="24" t="s">
        <v>58</v>
      </c>
      <c r="E51" s="1" t="s">
        <v>57</v>
      </c>
      <c r="F51" s="20" t="s">
        <v>388</v>
      </c>
      <c r="G51">
        <f t="shared" si="7"/>
        <v>625</v>
      </c>
      <c r="H51">
        <f t="shared" si="8"/>
        <v>250</v>
      </c>
      <c r="I51">
        <f t="shared" si="9"/>
        <v>625</v>
      </c>
      <c r="J51">
        <f t="shared" si="10"/>
        <v>543.48</v>
      </c>
      <c r="K51">
        <f t="shared" si="11"/>
        <v>97.826400000000007</v>
      </c>
      <c r="L51">
        <f t="shared" si="12"/>
        <v>1146.03</v>
      </c>
      <c r="M51">
        <f t="shared" si="13"/>
        <v>1041.67</v>
      </c>
    </row>
    <row r="52" spans="1:13" ht="15" customHeight="1" x14ac:dyDescent="0.3">
      <c r="A52" s="16" t="s">
        <v>188</v>
      </c>
      <c r="B52" s="17" t="s">
        <v>210</v>
      </c>
      <c r="C52" s="18"/>
      <c r="D52" s="19" t="s">
        <v>58</v>
      </c>
      <c r="E52" s="1" t="s">
        <v>57</v>
      </c>
      <c r="F52" s="20" t="s">
        <v>211</v>
      </c>
      <c r="G52">
        <f t="shared" si="7"/>
        <v>93.75</v>
      </c>
      <c r="H52">
        <f t="shared" si="8"/>
        <v>75</v>
      </c>
      <c r="I52">
        <f t="shared" si="9"/>
        <v>62.5</v>
      </c>
      <c r="J52">
        <f t="shared" si="10"/>
        <v>163.04</v>
      </c>
      <c r="K52">
        <f t="shared" si="11"/>
        <v>29.347199999999997</v>
      </c>
      <c r="L52">
        <f t="shared" si="12"/>
        <v>140.01</v>
      </c>
      <c r="M52">
        <f t="shared" si="13"/>
        <v>104.17</v>
      </c>
    </row>
    <row r="53" spans="1:13" ht="15" customHeight="1" x14ac:dyDescent="0.3">
      <c r="A53" s="21" t="s">
        <v>188</v>
      </c>
      <c r="B53" s="22" t="s">
        <v>609</v>
      </c>
      <c r="C53" s="23"/>
      <c r="D53" s="24" t="s">
        <v>58</v>
      </c>
      <c r="E53" s="1" t="s">
        <v>57</v>
      </c>
      <c r="F53" s="20" t="s">
        <v>211</v>
      </c>
      <c r="G53">
        <f t="shared" si="7"/>
        <v>93.75</v>
      </c>
      <c r="H53">
        <f t="shared" si="8"/>
        <v>75</v>
      </c>
      <c r="I53">
        <f t="shared" si="9"/>
        <v>62.5</v>
      </c>
      <c r="J53">
        <f t="shared" si="10"/>
        <v>163.04</v>
      </c>
      <c r="K53">
        <f t="shared" si="11"/>
        <v>29.347199999999997</v>
      </c>
      <c r="L53">
        <f t="shared" si="12"/>
        <v>140.01</v>
      </c>
      <c r="M53">
        <f t="shared" si="13"/>
        <v>104.17</v>
      </c>
    </row>
    <row r="54" spans="1:13" ht="18" customHeight="1" x14ac:dyDescent="0.3">
      <c r="A54" s="25" t="s">
        <v>220</v>
      </c>
      <c r="B54" s="25"/>
      <c r="C54" s="25"/>
      <c r="G54" t="str">
        <f t="shared" si="7"/>
        <v/>
      </c>
      <c r="H54" t="str">
        <f t="shared" si="8"/>
        <v/>
      </c>
      <c r="I54" t="str">
        <f t="shared" si="9"/>
        <v/>
      </c>
      <c r="J54" t="str">
        <f t="shared" si="10"/>
        <v/>
      </c>
      <c r="K54" t="str">
        <f t="shared" si="11"/>
        <v/>
      </c>
      <c r="L54" t="str">
        <f t="shared" si="12"/>
        <v/>
      </c>
      <c r="M54" t="str">
        <f t="shared" si="13"/>
        <v/>
      </c>
    </row>
    <row r="55" spans="1:13" ht="15" customHeight="1" x14ac:dyDescent="0.3">
      <c r="A55" s="16" t="s">
        <v>221</v>
      </c>
      <c r="B55" s="17" t="s">
        <v>610</v>
      </c>
      <c r="C55" s="18"/>
      <c r="D55" s="19" t="s">
        <v>58</v>
      </c>
      <c r="E55" s="1" t="s">
        <v>57</v>
      </c>
      <c r="F55" s="20" t="s">
        <v>231</v>
      </c>
      <c r="G55">
        <f t="shared" si="7"/>
        <v>125</v>
      </c>
      <c r="H55">
        <f t="shared" si="8"/>
        <v>187.5</v>
      </c>
      <c r="I55">
        <f t="shared" si="9"/>
        <v>93.75</v>
      </c>
      <c r="J55">
        <f t="shared" si="10"/>
        <v>407.61</v>
      </c>
      <c r="K55">
        <f t="shared" si="11"/>
        <v>73.369799999999998</v>
      </c>
      <c r="L55">
        <f t="shared" si="12"/>
        <v>112.24</v>
      </c>
      <c r="M55">
        <f t="shared" si="13"/>
        <v>156.25</v>
      </c>
    </row>
    <row r="56" spans="1:13" ht="15" customHeight="1" x14ac:dyDescent="0.3">
      <c r="A56" s="21" t="s">
        <v>221</v>
      </c>
      <c r="B56" s="22" t="s">
        <v>222</v>
      </c>
      <c r="C56" s="23"/>
      <c r="D56" s="24" t="s">
        <v>58</v>
      </c>
      <c r="E56" s="1" t="s">
        <v>57</v>
      </c>
      <c r="F56" s="20" t="s">
        <v>223</v>
      </c>
      <c r="G56">
        <f t="shared" si="7"/>
        <v>187.5</v>
      </c>
      <c r="H56">
        <f t="shared" si="8"/>
        <v>125</v>
      </c>
      <c r="I56">
        <f t="shared" si="9"/>
        <v>62.5</v>
      </c>
      <c r="J56">
        <f t="shared" si="10"/>
        <v>271.74</v>
      </c>
      <c r="K56">
        <f t="shared" si="11"/>
        <v>48.913200000000003</v>
      </c>
      <c r="L56">
        <f t="shared" si="12"/>
        <v>301.27999999999997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321</v>
      </c>
      <c r="C57" s="18"/>
      <c r="D57" s="19" t="s">
        <v>58</v>
      </c>
      <c r="E57" s="1" t="s">
        <v>57</v>
      </c>
      <c r="F57" s="20" t="s">
        <v>322</v>
      </c>
      <c r="G57">
        <f t="shared" si="7"/>
        <v>150</v>
      </c>
      <c r="H57">
        <f t="shared" si="8"/>
        <v>300</v>
      </c>
      <c r="I57">
        <f t="shared" si="9"/>
        <v>150</v>
      </c>
      <c r="J57">
        <f t="shared" si="10"/>
        <v>652.16999999999996</v>
      </c>
      <c r="K57">
        <f t="shared" si="11"/>
        <v>117.39059999999999</v>
      </c>
      <c r="L57">
        <f t="shared" si="12"/>
        <v>70.89</v>
      </c>
      <c r="M57">
        <f t="shared" si="13"/>
        <v>250</v>
      </c>
    </row>
    <row r="58" spans="1:13" ht="15" customHeight="1" x14ac:dyDescent="0.3">
      <c r="A58" s="21" t="s">
        <v>221</v>
      </c>
      <c r="B58" s="22" t="s">
        <v>234</v>
      </c>
      <c r="C58" s="23"/>
      <c r="D58" s="24" t="s">
        <v>58</v>
      </c>
      <c r="E58" s="1" t="s">
        <v>57</v>
      </c>
      <c r="F58" s="20" t="s">
        <v>235</v>
      </c>
      <c r="G58">
        <f t="shared" si="7"/>
        <v>125</v>
      </c>
      <c r="H58">
        <f t="shared" si="8"/>
        <v>125</v>
      </c>
      <c r="I58">
        <f t="shared" si="9"/>
        <v>62.5</v>
      </c>
      <c r="J58">
        <f t="shared" si="10"/>
        <v>271.74</v>
      </c>
      <c r="K58">
        <f t="shared" si="11"/>
        <v>48.913200000000003</v>
      </c>
      <c r="L58">
        <f t="shared" si="12"/>
        <v>165.41</v>
      </c>
      <c r="M58">
        <f t="shared" si="13"/>
        <v>104.17</v>
      </c>
    </row>
    <row r="59" spans="1:13" ht="15" customHeight="1" x14ac:dyDescent="0.3">
      <c r="A59" s="16" t="s">
        <v>221</v>
      </c>
      <c r="B59" s="17" t="s">
        <v>232</v>
      </c>
      <c r="C59" s="18"/>
      <c r="D59" s="19" t="s">
        <v>58</v>
      </c>
      <c r="E59" s="1" t="s">
        <v>57</v>
      </c>
      <c r="F59" s="20" t="s">
        <v>233</v>
      </c>
      <c r="G59">
        <f t="shared" si="7"/>
        <v>125</v>
      </c>
      <c r="H59">
        <f t="shared" si="8"/>
        <v>156.25</v>
      </c>
      <c r="I59">
        <f t="shared" si="9"/>
        <v>31.25</v>
      </c>
      <c r="J59">
        <f t="shared" si="10"/>
        <v>339.67</v>
      </c>
      <c r="K59">
        <f t="shared" si="11"/>
        <v>61.140599999999999</v>
      </c>
      <c r="L59">
        <f t="shared" si="12"/>
        <v>138.82</v>
      </c>
      <c r="M59">
        <f t="shared" si="13"/>
        <v>52.08</v>
      </c>
    </row>
    <row r="60" spans="1:13" ht="15" customHeight="1" x14ac:dyDescent="0.3">
      <c r="A60" s="21" t="s">
        <v>221</v>
      </c>
      <c r="B60" s="22" t="s">
        <v>325</v>
      </c>
      <c r="C60" s="23"/>
      <c r="D60" s="24" t="s">
        <v>58</v>
      </c>
      <c r="E60" s="1" t="s">
        <v>57</v>
      </c>
      <c r="F60" s="20" t="s">
        <v>225</v>
      </c>
      <c r="G60">
        <f t="shared" si="7"/>
        <v>125</v>
      </c>
      <c r="H60">
        <f t="shared" si="8"/>
        <v>62.5</v>
      </c>
      <c r="I60">
        <f t="shared" si="9"/>
        <v>37.5</v>
      </c>
      <c r="J60">
        <f t="shared" si="10"/>
        <v>135.87</v>
      </c>
      <c r="K60">
        <f t="shared" si="11"/>
        <v>24.456600000000002</v>
      </c>
      <c r="L60">
        <f t="shared" si="12"/>
        <v>218.57</v>
      </c>
      <c r="M60">
        <f t="shared" si="13"/>
        <v>62.5</v>
      </c>
    </row>
    <row r="61" spans="1:13" ht="15" customHeight="1" x14ac:dyDescent="0.3">
      <c r="A61" s="16" t="s">
        <v>221</v>
      </c>
      <c r="B61" s="17" t="s">
        <v>326</v>
      </c>
      <c r="C61" s="18"/>
      <c r="D61" s="19" t="s">
        <v>58</v>
      </c>
      <c r="E61" s="1" t="s">
        <v>57</v>
      </c>
      <c r="F61" s="20" t="s">
        <v>227</v>
      </c>
      <c r="G61">
        <f t="shared" si="7"/>
        <v>50</v>
      </c>
      <c r="H61">
        <f t="shared" si="8"/>
        <v>62.5</v>
      </c>
      <c r="I61">
        <f t="shared" si="9"/>
        <v>37.5</v>
      </c>
      <c r="J61">
        <f t="shared" si="10"/>
        <v>135.87</v>
      </c>
      <c r="K61">
        <f t="shared" si="11"/>
        <v>24.456600000000002</v>
      </c>
      <c r="L61">
        <f t="shared" si="12"/>
        <v>55.53</v>
      </c>
      <c r="M61">
        <f t="shared" si="13"/>
        <v>62.5</v>
      </c>
    </row>
    <row r="62" spans="1:13" ht="15" customHeight="1" x14ac:dyDescent="0.3">
      <c r="A62" s="21" t="s">
        <v>221</v>
      </c>
      <c r="B62" s="22" t="s">
        <v>228</v>
      </c>
      <c r="C62" s="23"/>
      <c r="D62" s="24" t="s">
        <v>58</v>
      </c>
      <c r="E62" s="1" t="s">
        <v>57</v>
      </c>
      <c r="F62" s="20" t="s">
        <v>229</v>
      </c>
      <c r="G62">
        <f t="shared" si="7"/>
        <v>150</v>
      </c>
      <c r="H62">
        <f t="shared" si="8"/>
        <v>75</v>
      </c>
      <c r="I62">
        <f t="shared" si="9"/>
        <v>37.5</v>
      </c>
      <c r="J62">
        <f t="shared" si="10"/>
        <v>163.04</v>
      </c>
      <c r="K62">
        <f t="shared" si="11"/>
        <v>29.347199999999997</v>
      </c>
      <c r="L62">
        <f t="shared" si="12"/>
        <v>262.29000000000002</v>
      </c>
      <c r="M62">
        <f t="shared" si="13"/>
        <v>62.5</v>
      </c>
    </row>
    <row r="63" spans="1:13" ht="15" customHeight="1" x14ac:dyDescent="0.3">
      <c r="A63" s="16" t="s">
        <v>221</v>
      </c>
      <c r="B63" s="17" t="s">
        <v>246</v>
      </c>
      <c r="C63" s="18"/>
      <c r="D63" s="19" t="s">
        <v>58</v>
      </c>
      <c r="E63" s="1" t="s">
        <v>57</v>
      </c>
      <c r="F63" s="20" t="s">
        <v>247</v>
      </c>
      <c r="G63">
        <f t="shared" si="7"/>
        <v>200</v>
      </c>
      <c r="H63">
        <f t="shared" si="8"/>
        <v>75</v>
      </c>
      <c r="I63">
        <f t="shared" si="9"/>
        <v>37.5</v>
      </c>
      <c r="J63">
        <f t="shared" si="10"/>
        <v>163.04</v>
      </c>
      <c r="K63">
        <f t="shared" si="11"/>
        <v>29.347199999999997</v>
      </c>
      <c r="L63">
        <f t="shared" si="12"/>
        <v>370.98</v>
      </c>
      <c r="M63">
        <f t="shared" si="13"/>
        <v>62.5</v>
      </c>
    </row>
    <row r="64" spans="1:13" ht="15" customHeight="1" x14ac:dyDescent="0.3">
      <c r="A64" s="21" t="s">
        <v>221</v>
      </c>
      <c r="B64" s="22" t="s">
        <v>236</v>
      </c>
      <c r="C64" s="23"/>
      <c r="D64" s="24" t="s">
        <v>58</v>
      </c>
      <c r="E64" s="1" t="s">
        <v>57</v>
      </c>
      <c r="F64" s="20" t="s">
        <v>237</v>
      </c>
      <c r="G64">
        <f t="shared" si="7"/>
        <v>62.5</v>
      </c>
      <c r="H64">
        <f t="shared" si="8"/>
        <v>62.5</v>
      </c>
      <c r="I64">
        <f t="shared" si="9"/>
        <v>62.5</v>
      </c>
      <c r="J64">
        <f t="shared" si="10"/>
        <v>135.87</v>
      </c>
      <c r="K64">
        <f t="shared" si="11"/>
        <v>24.456600000000002</v>
      </c>
      <c r="L64">
        <f t="shared" si="12"/>
        <v>82.7</v>
      </c>
      <c r="M64">
        <f t="shared" si="13"/>
        <v>104.17</v>
      </c>
    </row>
    <row r="65" spans="1:13" ht="15" customHeight="1" x14ac:dyDescent="0.3">
      <c r="A65" s="16" t="s">
        <v>221</v>
      </c>
      <c r="B65" s="17" t="s">
        <v>240</v>
      </c>
      <c r="C65" s="18"/>
      <c r="D65" s="19" t="s">
        <v>58</v>
      </c>
      <c r="E65" s="1" t="s">
        <v>57</v>
      </c>
      <c r="F65" s="20" t="s">
        <v>241</v>
      </c>
      <c r="G65">
        <f t="shared" si="7"/>
        <v>7.5</v>
      </c>
      <c r="H65">
        <f t="shared" si="8"/>
        <v>15</v>
      </c>
      <c r="I65">
        <f t="shared" si="9"/>
        <v>15</v>
      </c>
      <c r="J65">
        <f t="shared" si="10"/>
        <v>32.61</v>
      </c>
      <c r="K65">
        <f t="shared" si="11"/>
        <v>5.8697999999999997</v>
      </c>
      <c r="L65">
        <f t="shared" si="12"/>
        <v>3.54</v>
      </c>
      <c r="M65">
        <f t="shared" si="13"/>
        <v>25</v>
      </c>
    </row>
    <row r="66" spans="1:13" ht="15" customHeight="1" x14ac:dyDescent="0.3">
      <c r="A66" s="21" t="s">
        <v>221</v>
      </c>
      <c r="B66" s="22" t="s">
        <v>243</v>
      </c>
      <c r="C66" s="23"/>
      <c r="D66" s="24" t="s">
        <v>58</v>
      </c>
      <c r="E66" s="1" t="s">
        <v>57</v>
      </c>
      <c r="F66" s="20" t="s">
        <v>241</v>
      </c>
      <c r="G66">
        <f t="shared" si="7"/>
        <v>7.5</v>
      </c>
      <c r="H66">
        <f t="shared" si="8"/>
        <v>15</v>
      </c>
      <c r="I66">
        <f t="shared" si="9"/>
        <v>15</v>
      </c>
      <c r="J66">
        <f t="shared" si="10"/>
        <v>32.61</v>
      </c>
      <c r="K66">
        <f t="shared" si="11"/>
        <v>5.8697999999999997</v>
      </c>
      <c r="L66">
        <f t="shared" si="12"/>
        <v>3.54</v>
      </c>
      <c r="M66">
        <f t="shared" si="13"/>
        <v>25</v>
      </c>
    </row>
    <row r="67" spans="1:13" ht="15" customHeight="1" x14ac:dyDescent="0.3">
      <c r="A67" s="16" t="s">
        <v>221</v>
      </c>
      <c r="B67" s="17" t="s">
        <v>244</v>
      </c>
      <c r="C67" s="18"/>
      <c r="D67" s="19" t="s">
        <v>58</v>
      </c>
      <c r="E67" s="1" t="s">
        <v>57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  <row r="68" spans="1:13" ht="15" customHeight="1" x14ac:dyDescent="0.3">
      <c r="A68" s="21" t="s">
        <v>221</v>
      </c>
      <c r="B68" s="22" t="s">
        <v>238</v>
      </c>
      <c r="C68" s="23"/>
      <c r="D68" s="24" t="s">
        <v>58</v>
      </c>
      <c r="E68" s="1" t="s">
        <v>57</v>
      </c>
      <c r="F68" s="20" t="s">
        <v>239</v>
      </c>
      <c r="G68">
        <f t="shared" si="7"/>
        <v>150</v>
      </c>
      <c r="H68">
        <f t="shared" si="8"/>
        <v>75</v>
      </c>
      <c r="I68">
        <f t="shared" si="9"/>
        <v>75</v>
      </c>
      <c r="J68">
        <f t="shared" si="10"/>
        <v>163.04</v>
      </c>
      <c r="K68">
        <f t="shared" si="11"/>
        <v>29.347199999999997</v>
      </c>
      <c r="L68">
        <f t="shared" si="12"/>
        <v>262.29000000000002</v>
      </c>
      <c r="M68">
        <f t="shared" si="13"/>
        <v>125</v>
      </c>
    </row>
    <row r="69" spans="1:13" ht="15" customHeight="1" x14ac:dyDescent="0.3">
      <c r="A69" s="16" t="s">
        <v>221</v>
      </c>
      <c r="B69" s="17" t="s">
        <v>611</v>
      </c>
      <c r="C69" s="18"/>
      <c r="D69" s="19" t="s">
        <v>58</v>
      </c>
      <c r="E69" s="1" t="s">
        <v>57</v>
      </c>
      <c r="F69" s="20" t="s">
        <v>436</v>
      </c>
      <c r="G69">
        <f t="shared" si="7"/>
        <v>62.5</v>
      </c>
      <c r="H69">
        <f t="shared" si="8"/>
        <v>62.5</v>
      </c>
      <c r="I69">
        <f t="shared" si="9"/>
        <v>31.25</v>
      </c>
      <c r="J69">
        <f t="shared" si="10"/>
        <v>135.87</v>
      </c>
      <c r="K69">
        <f t="shared" si="11"/>
        <v>24.456600000000002</v>
      </c>
      <c r="L69">
        <f t="shared" si="12"/>
        <v>82.7</v>
      </c>
      <c r="M69">
        <f t="shared" si="13"/>
        <v>52.08</v>
      </c>
    </row>
    <row r="70" spans="1:13" ht="15" customHeight="1" x14ac:dyDescent="0.3">
      <c r="A70" s="21" t="s">
        <v>221</v>
      </c>
      <c r="B70" s="22" t="s">
        <v>248</v>
      </c>
      <c r="C70" s="23"/>
      <c r="D70" s="24" t="s">
        <v>58</v>
      </c>
      <c r="E70" s="1" t="s">
        <v>57</v>
      </c>
      <c r="F70" s="20" t="s">
        <v>249</v>
      </c>
      <c r="G70">
        <f t="shared" si="7"/>
        <v>125</v>
      </c>
      <c r="H70">
        <f t="shared" si="8"/>
        <v>62.5</v>
      </c>
      <c r="I70">
        <f t="shared" si="9"/>
        <v>62.5</v>
      </c>
      <c r="J70">
        <f t="shared" si="10"/>
        <v>135.87</v>
      </c>
      <c r="K70">
        <f t="shared" si="11"/>
        <v>24.456600000000002</v>
      </c>
      <c r="L70">
        <f t="shared" si="12"/>
        <v>218.57</v>
      </c>
      <c r="M70">
        <f t="shared" si="13"/>
        <v>104.17</v>
      </c>
    </row>
    <row r="71" spans="1:13" ht="15" customHeight="1" x14ac:dyDescent="0.3">
      <c r="A71" s="16" t="s">
        <v>221</v>
      </c>
      <c r="B71" s="17" t="s">
        <v>365</v>
      </c>
      <c r="C71" s="18"/>
      <c r="D71" s="19" t="s">
        <v>58</v>
      </c>
      <c r="E71" s="1" t="s">
        <v>57</v>
      </c>
      <c r="F71" s="20" t="s">
        <v>366</v>
      </c>
      <c r="G71">
        <f t="shared" ref="G71:G93" si="14">IF($F71="","",IFERROR(VALUE(TRIM(LEFT($F71,FIND(":",$F71)-1)))*1.25,"N/A"))</f>
        <v>93.75</v>
      </c>
      <c r="H71">
        <f t="shared" ref="H71:H93" si="15">IF($F71="","",IFERROR(VALUE(TRIM(MID($F71,FIND(":",$F71)+1,FIND(":",$F71,FIND(":",$F71)+1)-FIND(":",$F71)-1)))*1.25,"N/A"))</f>
        <v>93.75</v>
      </c>
      <c r="I71">
        <f t="shared" ref="I71:I93" si="16">IF($F71="","",IFERROR(VALUE(TRIM(LEFT(MID($F71,FIND(":",$F71,FIND(":",$F71)+1)+1,LEN($F71)),FIND(" ",MID($F71,FIND(":",$F71,FIND(":",$F71)+1)+1,LEN($F71))&amp;" ")-1)))*1.25,"N/A"))</f>
        <v>93.75</v>
      </c>
      <c r="J71">
        <f t="shared" ref="J71:J93" si="17">IF(OR($F71="",$H71="N/A"),IF($F71="","","N/A"),ROUND($H71/0.46,2))</f>
        <v>203.8</v>
      </c>
      <c r="K71">
        <f t="shared" ref="K71:K93" si="18">IF(OR($F71="",$J71="N/A"),IF($F71="","","N/A"),$J71*0.18)</f>
        <v>36.683999999999997</v>
      </c>
      <c r="L71">
        <f t="shared" ref="L71:L93" si="19">IF(OR($F71="",$G71="N/A",$K71="N/A"),IF($F71="","","N/A"),ROUND(($G71-$K71)/0.46,2))</f>
        <v>124.06</v>
      </c>
      <c r="M71">
        <f t="shared" ref="M71:M93" si="20">IF(OR($F71="",$I71="N/A"),IF($F71="","","N/A"),ROUND($I71/0.6,2))</f>
        <v>156.25</v>
      </c>
    </row>
    <row r="72" spans="1:13" ht="18" customHeight="1" x14ac:dyDescent="0.3">
      <c r="A72" s="25" t="s">
        <v>252</v>
      </c>
      <c r="B72" s="25"/>
      <c r="C72" s="25"/>
      <c r="G72" t="str">
        <f t="shared" si="14"/>
        <v/>
      </c>
      <c r="H72" t="str">
        <f t="shared" si="15"/>
        <v/>
      </c>
      <c r="I72" t="str">
        <f t="shared" si="16"/>
        <v/>
      </c>
      <c r="J72" t="str">
        <f t="shared" si="17"/>
        <v/>
      </c>
      <c r="K72" t="str">
        <f t="shared" si="18"/>
        <v/>
      </c>
      <c r="L72" t="str">
        <f t="shared" si="19"/>
        <v/>
      </c>
      <c r="M72" t="str">
        <f t="shared" si="20"/>
        <v/>
      </c>
    </row>
    <row r="73" spans="1:13" ht="15" customHeight="1" x14ac:dyDescent="0.3">
      <c r="A73" s="21" t="s">
        <v>253</v>
      </c>
      <c r="B73" s="22" t="s">
        <v>230</v>
      </c>
      <c r="C73" s="23"/>
      <c r="D73" s="24" t="s">
        <v>58</v>
      </c>
      <c r="E73" s="1" t="s">
        <v>57</v>
      </c>
      <c r="F73" s="20" t="s">
        <v>231</v>
      </c>
      <c r="G73">
        <f t="shared" si="14"/>
        <v>125</v>
      </c>
      <c r="H73">
        <f t="shared" si="15"/>
        <v>187.5</v>
      </c>
      <c r="I73">
        <f t="shared" si="16"/>
        <v>93.75</v>
      </c>
      <c r="J73">
        <f t="shared" si="17"/>
        <v>407.61</v>
      </c>
      <c r="K73">
        <f t="shared" si="18"/>
        <v>73.369799999999998</v>
      </c>
      <c r="L73">
        <f t="shared" si="19"/>
        <v>112.24</v>
      </c>
      <c r="M73">
        <f t="shared" si="20"/>
        <v>156.25</v>
      </c>
    </row>
    <row r="74" spans="1:13" ht="15" customHeight="1" x14ac:dyDescent="0.3">
      <c r="A74" s="16" t="s">
        <v>253</v>
      </c>
      <c r="B74" s="17" t="s">
        <v>365</v>
      </c>
      <c r="C74" s="18"/>
      <c r="D74" s="19" t="s">
        <v>58</v>
      </c>
      <c r="E74" s="1" t="s">
        <v>57</v>
      </c>
      <c r="F74" s="20" t="s">
        <v>366</v>
      </c>
      <c r="G74">
        <f t="shared" si="14"/>
        <v>93.75</v>
      </c>
      <c r="H74">
        <f t="shared" si="15"/>
        <v>93.75</v>
      </c>
      <c r="I74">
        <f t="shared" si="16"/>
        <v>93.75</v>
      </c>
      <c r="J74">
        <f t="shared" si="17"/>
        <v>203.8</v>
      </c>
      <c r="K74">
        <f t="shared" si="18"/>
        <v>36.683999999999997</v>
      </c>
      <c r="L74">
        <f t="shared" si="19"/>
        <v>124.06</v>
      </c>
      <c r="M74">
        <f t="shared" si="20"/>
        <v>156.25</v>
      </c>
    </row>
    <row r="75" spans="1:13" ht="15" customHeight="1" x14ac:dyDescent="0.3">
      <c r="A75" s="21" t="s">
        <v>253</v>
      </c>
      <c r="B75" s="22" t="s">
        <v>612</v>
      </c>
      <c r="C75" s="23"/>
      <c r="D75" s="24" t="s">
        <v>58</v>
      </c>
      <c r="E75" s="1" t="s">
        <v>57</v>
      </c>
      <c r="F75" s="20" t="s">
        <v>256</v>
      </c>
      <c r="G75">
        <f t="shared" si="14"/>
        <v>31.25</v>
      </c>
      <c r="H75">
        <f t="shared" si="15"/>
        <v>75</v>
      </c>
      <c r="I75">
        <f t="shared" si="16"/>
        <v>22.5</v>
      </c>
      <c r="J75">
        <f t="shared" si="17"/>
        <v>163.04</v>
      </c>
      <c r="K75">
        <f t="shared" si="18"/>
        <v>29.347199999999997</v>
      </c>
      <c r="L75">
        <f t="shared" si="19"/>
        <v>4.1399999999999997</v>
      </c>
      <c r="M75">
        <f t="shared" si="20"/>
        <v>37.5</v>
      </c>
    </row>
    <row r="76" spans="1:13" ht="15" customHeight="1" x14ac:dyDescent="0.3">
      <c r="A76" s="16" t="s">
        <v>253</v>
      </c>
      <c r="B76" s="17" t="s">
        <v>228</v>
      </c>
      <c r="C76" s="18"/>
      <c r="D76" s="19" t="s">
        <v>58</v>
      </c>
      <c r="E76" s="1" t="s">
        <v>57</v>
      </c>
      <c r="F76" s="20" t="s">
        <v>229</v>
      </c>
      <c r="G76">
        <f t="shared" si="14"/>
        <v>150</v>
      </c>
      <c r="H76">
        <f t="shared" si="15"/>
        <v>75</v>
      </c>
      <c r="I76">
        <f t="shared" si="16"/>
        <v>37.5</v>
      </c>
      <c r="J76">
        <f t="shared" si="17"/>
        <v>163.04</v>
      </c>
      <c r="K76">
        <f t="shared" si="18"/>
        <v>29.347199999999997</v>
      </c>
      <c r="L76">
        <f t="shared" si="19"/>
        <v>262.29000000000002</v>
      </c>
      <c r="M76">
        <f t="shared" si="20"/>
        <v>62.5</v>
      </c>
    </row>
    <row r="77" spans="1:13" ht="15" customHeight="1" x14ac:dyDescent="0.3">
      <c r="A77" s="21" t="s">
        <v>253</v>
      </c>
      <c r="B77" s="22" t="s">
        <v>323</v>
      </c>
      <c r="C77" s="23"/>
      <c r="D77" s="24" t="s">
        <v>58</v>
      </c>
      <c r="E77" s="1" t="s">
        <v>57</v>
      </c>
      <c r="F77" s="20" t="s">
        <v>324</v>
      </c>
      <c r="G77">
        <f t="shared" si="14"/>
        <v>93.75</v>
      </c>
      <c r="H77">
        <f t="shared" si="15"/>
        <v>62.5</v>
      </c>
      <c r="I77">
        <f t="shared" si="16"/>
        <v>62.5</v>
      </c>
      <c r="J77">
        <f t="shared" si="17"/>
        <v>135.87</v>
      </c>
      <c r="K77">
        <f t="shared" si="18"/>
        <v>24.456600000000002</v>
      </c>
      <c r="L77">
        <f t="shared" si="19"/>
        <v>150.63999999999999</v>
      </c>
      <c r="M77">
        <f t="shared" si="20"/>
        <v>104.17</v>
      </c>
    </row>
    <row r="78" spans="1:13" ht="15" customHeight="1" x14ac:dyDescent="0.3">
      <c r="A78" s="16" t="s">
        <v>253</v>
      </c>
      <c r="B78" s="17" t="s">
        <v>257</v>
      </c>
      <c r="C78" s="18"/>
      <c r="D78" s="19" t="s">
        <v>58</v>
      </c>
      <c r="E78" s="1" t="s">
        <v>57</v>
      </c>
      <c r="F78" s="20" t="s">
        <v>160</v>
      </c>
      <c r="G78">
        <f t="shared" si="14"/>
        <v>25</v>
      </c>
      <c r="H78">
        <f t="shared" si="15"/>
        <v>50</v>
      </c>
      <c r="I78">
        <f t="shared" si="16"/>
        <v>25</v>
      </c>
      <c r="J78">
        <f t="shared" si="17"/>
        <v>108.7</v>
      </c>
      <c r="K78">
        <f t="shared" si="18"/>
        <v>19.565999999999999</v>
      </c>
      <c r="L78">
        <f t="shared" si="19"/>
        <v>11.81</v>
      </c>
      <c r="M78">
        <f t="shared" si="20"/>
        <v>41.67</v>
      </c>
    </row>
    <row r="79" spans="1:13" ht="15" customHeight="1" x14ac:dyDescent="0.3">
      <c r="A79" s="21" t="s">
        <v>253</v>
      </c>
      <c r="B79" s="22" t="s">
        <v>440</v>
      </c>
      <c r="C79" s="23"/>
      <c r="D79" s="24" t="s">
        <v>58</v>
      </c>
      <c r="E79" s="1" t="s">
        <v>57</v>
      </c>
      <c r="F79" s="20" t="s">
        <v>441</v>
      </c>
      <c r="G79">
        <f t="shared" si="14"/>
        <v>62.5</v>
      </c>
      <c r="H79">
        <f t="shared" si="15"/>
        <v>31.25</v>
      </c>
      <c r="I79">
        <f t="shared" si="16"/>
        <v>50</v>
      </c>
      <c r="J79">
        <f t="shared" si="17"/>
        <v>67.930000000000007</v>
      </c>
      <c r="K79">
        <f t="shared" si="18"/>
        <v>12.227400000000001</v>
      </c>
      <c r="L79">
        <f t="shared" si="19"/>
        <v>109.29</v>
      </c>
      <c r="M79">
        <f t="shared" si="20"/>
        <v>83.33</v>
      </c>
    </row>
    <row r="80" spans="1:13" ht="15" customHeight="1" x14ac:dyDescent="0.3">
      <c r="A80" s="16" t="s">
        <v>253</v>
      </c>
      <c r="B80" s="17" t="s">
        <v>613</v>
      </c>
      <c r="C80" s="18"/>
      <c r="D80" s="19" t="s">
        <v>58</v>
      </c>
      <c r="E80" s="1" t="s">
        <v>57</v>
      </c>
      <c r="F80" s="20" t="s">
        <v>211</v>
      </c>
      <c r="G80">
        <f t="shared" si="14"/>
        <v>93.75</v>
      </c>
      <c r="H80">
        <f t="shared" si="15"/>
        <v>75</v>
      </c>
      <c r="I80">
        <f t="shared" si="16"/>
        <v>62.5</v>
      </c>
      <c r="J80">
        <f t="shared" si="17"/>
        <v>163.04</v>
      </c>
      <c r="K80">
        <f t="shared" si="18"/>
        <v>29.347199999999997</v>
      </c>
      <c r="L80">
        <f t="shared" si="19"/>
        <v>140.01</v>
      </c>
      <c r="M80">
        <f t="shared" si="20"/>
        <v>104.17</v>
      </c>
    </row>
    <row r="81" spans="1:13" ht="18" customHeight="1" x14ac:dyDescent="0.3">
      <c r="A81" s="25" t="s">
        <v>263</v>
      </c>
      <c r="B81" s="25"/>
      <c r="C81" s="25"/>
      <c r="G81" t="str">
        <f t="shared" si="14"/>
        <v/>
      </c>
      <c r="H81" t="str">
        <f t="shared" si="15"/>
        <v/>
      </c>
      <c r="I81" t="str">
        <f t="shared" si="16"/>
        <v/>
      </c>
      <c r="J81" t="str">
        <f t="shared" si="17"/>
        <v/>
      </c>
      <c r="K81" t="str">
        <f t="shared" si="18"/>
        <v/>
      </c>
      <c r="L81" t="str">
        <f t="shared" si="19"/>
        <v/>
      </c>
      <c r="M81" t="str">
        <f t="shared" si="20"/>
        <v/>
      </c>
    </row>
    <row r="82" spans="1:13" ht="15" customHeight="1" x14ac:dyDescent="0.3">
      <c r="A82" s="21" t="s">
        <v>264</v>
      </c>
      <c r="B82" s="22" t="s">
        <v>206</v>
      </c>
      <c r="C82" s="23"/>
      <c r="D82" s="24" t="s">
        <v>58</v>
      </c>
      <c r="E82" s="1" t="s">
        <v>57</v>
      </c>
      <c r="F82" s="20" t="s">
        <v>207</v>
      </c>
      <c r="G82">
        <f t="shared" si="14"/>
        <v>700</v>
      </c>
      <c r="H82">
        <f t="shared" si="15"/>
        <v>400</v>
      </c>
      <c r="I82">
        <f t="shared" si="16"/>
        <v>1500</v>
      </c>
      <c r="J82">
        <f t="shared" si="17"/>
        <v>869.57</v>
      </c>
      <c r="K82">
        <f t="shared" si="18"/>
        <v>156.52260000000001</v>
      </c>
      <c r="L82">
        <f t="shared" si="19"/>
        <v>1181.47</v>
      </c>
      <c r="M82">
        <f t="shared" si="20"/>
        <v>2500</v>
      </c>
    </row>
    <row r="83" spans="1:13" ht="15" customHeight="1" x14ac:dyDescent="0.3">
      <c r="A83" s="16" t="s">
        <v>264</v>
      </c>
      <c r="B83" s="17" t="s">
        <v>614</v>
      </c>
      <c r="C83" s="18"/>
      <c r="D83" s="19" t="s">
        <v>58</v>
      </c>
      <c r="E83" s="1" t="s">
        <v>57</v>
      </c>
      <c r="F83" s="20" t="s">
        <v>213</v>
      </c>
      <c r="G83">
        <f t="shared" si="14"/>
        <v>625</v>
      </c>
      <c r="H83">
        <f t="shared" si="15"/>
        <v>250</v>
      </c>
      <c r="I83">
        <f t="shared" si="16"/>
        <v>375</v>
      </c>
      <c r="J83">
        <f t="shared" si="17"/>
        <v>543.48</v>
      </c>
      <c r="K83">
        <f t="shared" si="18"/>
        <v>97.826400000000007</v>
      </c>
      <c r="L83">
        <f t="shared" si="19"/>
        <v>1146.03</v>
      </c>
      <c r="M83">
        <f t="shared" si="20"/>
        <v>625</v>
      </c>
    </row>
    <row r="84" spans="1:13" ht="15" customHeight="1" x14ac:dyDescent="0.3">
      <c r="A84" s="21" t="s">
        <v>264</v>
      </c>
      <c r="B84" s="22" t="s">
        <v>265</v>
      </c>
      <c r="C84" s="23"/>
      <c r="D84" s="24" t="s">
        <v>58</v>
      </c>
      <c r="E84" s="1" t="s">
        <v>57</v>
      </c>
      <c r="F84" s="20" t="s">
        <v>266</v>
      </c>
      <c r="G84">
        <f t="shared" si="14"/>
        <v>125</v>
      </c>
      <c r="H84">
        <f t="shared" si="15"/>
        <v>50</v>
      </c>
      <c r="I84">
        <f t="shared" si="16"/>
        <v>187.5</v>
      </c>
      <c r="J84">
        <f t="shared" si="17"/>
        <v>108.7</v>
      </c>
      <c r="K84">
        <f t="shared" si="18"/>
        <v>19.565999999999999</v>
      </c>
      <c r="L84">
        <f t="shared" si="19"/>
        <v>229.2</v>
      </c>
      <c r="M84">
        <f t="shared" si="20"/>
        <v>312.5</v>
      </c>
    </row>
    <row r="85" spans="1:13" ht="15" customHeight="1" x14ac:dyDescent="0.3">
      <c r="A85" s="16" t="s">
        <v>264</v>
      </c>
      <c r="B85" s="17" t="s">
        <v>615</v>
      </c>
      <c r="C85" s="18"/>
      <c r="D85" s="19" t="s">
        <v>58</v>
      </c>
      <c r="E85" s="1" t="s">
        <v>57</v>
      </c>
      <c r="F85" s="20" t="s">
        <v>268</v>
      </c>
      <c r="G85">
        <f t="shared" si="14"/>
        <v>15</v>
      </c>
      <c r="H85">
        <f t="shared" si="15"/>
        <v>7.5</v>
      </c>
      <c r="I85">
        <f t="shared" si="16"/>
        <v>7.5</v>
      </c>
      <c r="J85">
        <f t="shared" si="17"/>
        <v>16.3</v>
      </c>
      <c r="K85">
        <f t="shared" si="18"/>
        <v>2.9340000000000002</v>
      </c>
      <c r="L85">
        <f t="shared" si="19"/>
        <v>26.23</v>
      </c>
      <c r="M85">
        <f t="shared" si="20"/>
        <v>12.5</v>
      </c>
    </row>
    <row r="86" spans="1:13" ht="18" customHeight="1" x14ac:dyDescent="0.3">
      <c r="A86" s="25" t="s">
        <v>269</v>
      </c>
      <c r="B86" s="25"/>
      <c r="C86" s="25"/>
      <c r="G86" t="str">
        <f t="shared" si="14"/>
        <v/>
      </c>
      <c r="H86" t="str">
        <f t="shared" si="15"/>
        <v/>
      </c>
      <c r="I86" t="str">
        <f t="shared" si="16"/>
        <v/>
      </c>
      <c r="J86" t="str">
        <f t="shared" si="17"/>
        <v/>
      </c>
      <c r="K86" t="str">
        <f t="shared" si="18"/>
        <v/>
      </c>
      <c r="L86" t="str">
        <f t="shared" si="19"/>
        <v/>
      </c>
      <c r="M86" t="str">
        <f t="shared" si="20"/>
        <v/>
      </c>
    </row>
    <row r="87" spans="1:13" ht="15" customHeight="1" x14ac:dyDescent="0.3">
      <c r="A87" s="21" t="s">
        <v>270</v>
      </c>
      <c r="B87" s="22" t="s">
        <v>616</v>
      </c>
      <c r="C87" s="23"/>
      <c r="D87" s="24" t="s">
        <v>58</v>
      </c>
      <c r="E87" s="1" t="s">
        <v>57</v>
      </c>
      <c r="F87" s="20" t="s">
        <v>241</v>
      </c>
      <c r="G87">
        <f t="shared" si="14"/>
        <v>7.5</v>
      </c>
      <c r="H87">
        <f t="shared" si="15"/>
        <v>15</v>
      </c>
      <c r="I87">
        <f t="shared" si="16"/>
        <v>15</v>
      </c>
      <c r="J87">
        <f t="shared" si="17"/>
        <v>32.61</v>
      </c>
      <c r="K87">
        <f t="shared" si="18"/>
        <v>5.8697999999999997</v>
      </c>
      <c r="L87">
        <f t="shared" si="19"/>
        <v>3.54</v>
      </c>
      <c r="M87">
        <f t="shared" si="20"/>
        <v>25</v>
      </c>
    </row>
    <row r="88" spans="1:13" ht="15" customHeight="1" x14ac:dyDescent="0.3">
      <c r="A88" s="16" t="s">
        <v>270</v>
      </c>
      <c r="B88" s="17" t="s">
        <v>272</v>
      </c>
      <c r="C88" s="18"/>
      <c r="D88" s="19" t="s">
        <v>58</v>
      </c>
      <c r="E88" s="1" t="s">
        <v>57</v>
      </c>
      <c r="F88" s="20" t="s">
        <v>273</v>
      </c>
      <c r="G88">
        <f t="shared" si="14"/>
        <v>112.5</v>
      </c>
      <c r="H88">
        <f t="shared" si="15"/>
        <v>112.5</v>
      </c>
      <c r="I88">
        <f t="shared" si="16"/>
        <v>93.75</v>
      </c>
      <c r="J88">
        <f t="shared" si="17"/>
        <v>244.57</v>
      </c>
      <c r="K88">
        <f t="shared" si="18"/>
        <v>44.022599999999997</v>
      </c>
      <c r="L88">
        <f t="shared" si="19"/>
        <v>148.86000000000001</v>
      </c>
      <c r="M88">
        <f t="shared" si="20"/>
        <v>156.25</v>
      </c>
    </row>
    <row r="89" spans="1:13" ht="15" customHeight="1" x14ac:dyDescent="0.3">
      <c r="A89" s="21" t="s">
        <v>270</v>
      </c>
      <c r="B89" s="22" t="s">
        <v>276</v>
      </c>
      <c r="C89" s="23"/>
      <c r="D89" s="24" t="s">
        <v>58</v>
      </c>
      <c r="E89" s="1" t="s">
        <v>57</v>
      </c>
      <c r="F89" s="20" t="s">
        <v>277</v>
      </c>
      <c r="G89">
        <f t="shared" si="14"/>
        <v>156.25</v>
      </c>
      <c r="H89">
        <f t="shared" si="15"/>
        <v>150</v>
      </c>
      <c r="I89">
        <f t="shared" si="16"/>
        <v>31.25</v>
      </c>
      <c r="J89">
        <f t="shared" si="17"/>
        <v>326.08999999999997</v>
      </c>
      <c r="K89">
        <f t="shared" si="18"/>
        <v>58.69619999999999</v>
      </c>
      <c r="L89">
        <f t="shared" si="19"/>
        <v>212.07</v>
      </c>
      <c r="M89">
        <f t="shared" si="20"/>
        <v>52.08</v>
      </c>
    </row>
    <row r="90" spans="1:13" ht="15" customHeight="1" x14ac:dyDescent="0.3">
      <c r="A90" s="16" t="s">
        <v>270</v>
      </c>
      <c r="B90" s="17" t="s">
        <v>278</v>
      </c>
      <c r="C90" s="18"/>
      <c r="D90" s="19" t="s">
        <v>58</v>
      </c>
      <c r="E90" s="1" t="s">
        <v>57</v>
      </c>
      <c r="F90" s="20" t="s">
        <v>279</v>
      </c>
      <c r="G90">
        <f t="shared" si="14"/>
        <v>250</v>
      </c>
      <c r="H90">
        <f t="shared" si="15"/>
        <v>250</v>
      </c>
      <c r="I90">
        <f t="shared" si="16"/>
        <v>250</v>
      </c>
      <c r="J90">
        <f t="shared" si="17"/>
        <v>543.48</v>
      </c>
      <c r="K90">
        <f t="shared" si="18"/>
        <v>97.826400000000007</v>
      </c>
      <c r="L90">
        <f t="shared" si="19"/>
        <v>330.81</v>
      </c>
      <c r="M90">
        <f t="shared" si="20"/>
        <v>416.67</v>
      </c>
    </row>
    <row r="91" spans="1:13" ht="15" customHeight="1" x14ac:dyDescent="0.3">
      <c r="A91" s="21" t="s">
        <v>270</v>
      </c>
      <c r="B91" s="22" t="s">
        <v>495</v>
      </c>
      <c r="C91" s="23"/>
      <c r="D91" s="24" t="s">
        <v>58</v>
      </c>
      <c r="E91" s="1" t="s">
        <v>57</v>
      </c>
      <c r="F91" s="20" t="s">
        <v>492</v>
      </c>
      <c r="G91">
        <f t="shared" si="14"/>
        <v>125</v>
      </c>
      <c r="H91">
        <f t="shared" si="15"/>
        <v>75</v>
      </c>
      <c r="I91">
        <f t="shared" si="16"/>
        <v>93.75</v>
      </c>
      <c r="J91">
        <f t="shared" si="17"/>
        <v>163.04</v>
      </c>
      <c r="K91">
        <f t="shared" si="18"/>
        <v>29.347199999999997</v>
      </c>
      <c r="L91">
        <f t="shared" si="19"/>
        <v>207.94</v>
      </c>
      <c r="M91">
        <f t="shared" si="20"/>
        <v>156.25</v>
      </c>
    </row>
    <row r="92" spans="1:13" ht="15" customHeight="1" x14ac:dyDescent="0.3">
      <c r="A92" s="16" t="s">
        <v>270</v>
      </c>
      <c r="B92" s="17" t="s">
        <v>274</v>
      </c>
      <c r="C92" s="18"/>
      <c r="D92" s="19" t="s">
        <v>58</v>
      </c>
      <c r="E92" s="1" t="s">
        <v>57</v>
      </c>
      <c r="F92" s="20" t="s">
        <v>275</v>
      </c>
      <c r="G92">
        <f t="shared" si="14"/>
        <v>75</v>
      </c>
      <c r="H92">
        <f t="shared" si="15"/>
        <v>150</v>
      </c>
      <c r="I92">
        <f t="shared" si="16"/>
        <v>150</v>
      </c>
      <c r="J92">
        <f t="shared" si="17"/>
        <v>326.08999999999997</v>
      </c>
      <c r="K92">
        <f t="shared" si="18"/>
        <v>58.69619999999999</v>
      </c>
      <c r="L92">
        <f t="shared" si="19"/>
        <v>35.44</v>
      </c>
      <c r="M92">
        <f t="shared" si="20"/>
        <v>250</v>
      </c>
    </row>
    <row r="93" spans="1:13" ht="15" customHeight="1" x14ac:dyDescent="0.3">
      <c r="A93" s="21" t="s">
        <v>270</v>
      </c>
      <c r="B93" s="22" t="s">
        <v>491</v>
      </c>
      <c r="C93" s="23"/>
      <c r="D93" s="24" t="s">
        <v>58</v>
      </c>
      <c r="E93" s="1" t="s">
        <v>57</v>
      </c>
      <c r="F93" s="20" t="s">
        <v>492</v>
      </c>
      <c r="G93">
        <f t="shared" si="14"/>
        <v>125</v>
      </c>
      <c r="H93">
        <f t="shared" si="15"/>
        <v>75</v>
      </c>
      <c r="I93">
        <f t="shared" si="16"/>
        <v>93.75</v>
      </c>
      <c r="J93">
        <f t="shared" si="17"/>
        <v>163.04</v>
      </c>
      <c r="K93">
        <f t="shared" si="18"/>
        <v>29.347199999999997</v>
      </c>
      <c r="L93">
        <f t="shared" si="19"/>
        <v>207.94</v>
      </c>
      <c r="M93">
        <f t="shared" si="20"/>
        <v>156.25</v>
      </c>
    </row>
  </sheetData>
  <mergeCells count="13">
    <mergeCell ref="A1:C1"/>
    <mergeCell ref="A2:C2"/>
    <mergeCell ref="A3:C3"/>
    <mergeCell ref="A4:C4"/>
    <mergeCell ref="A7:C7"/>
    <mergeCell ref="A72:C72"/>
    <mergeCell ref="A81:C81"/>
    <mergeCell ref="A86:C86"/>
    <mergeCell ref="A15:C15"/>
    <mergeCell ref="A23:C23"/>
    <mergeCell ref="A32:C32"/>
    <mergeCell ref="A36:C36"/>
    <mergeCell ref="A54:C5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88E3C"/>
  </sheetPr>
  <dimension ref="A1:M70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617</v>
      </c>
      <c r="B1" s="26"/>
      <c r="C1" s="26"/>
    </row>
    <row r="2" spans="1:13" ht="19.5" customHeight="1" x14ac:dyDescent="0.3">
      <c r="A2" s="27" t="s">
        <v>618</v>
      </c>
      <c r="B2" s="27"/>
      <c r="C2" s="27"/>
    </row>
    <row r="3" spans="1:13" ht="19.5" customHeight="1" x14ac:dyDescent="0.3">
      <c r="A3" s="27" t="s">
        <v>619</v>
      </c>
      <c r="B3" s="27"/>
      <c r="C3" s="27"/>
    </row>
    <row r="4" spans="1:13" ht="19.5" customHeight="1" x14ac:dyDescent="0.3">
      <c r="A4" s="27" t="s">
        <v>620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621</v>
      </c>
      <c r="C8" s="18"/>
      <c r="D8" s="19" t="s">
        <v>99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99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290</v>
      </c>
      <c r="C10" s="18"/>
      <c r="D10" s="19" t="s">
        <v>99</v>
      </c>
      <c r="E10" s="1" t="s">
        <v>43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355</v>
      </c>
      <c r="C11" s="23"/>
      <c r="D11" s="24" t="s">
        <v>99</v>
      </c>
      <c r="E11" s="1" t="s">
        <v>43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5" customHeight="1" x14ac:dyDescent="0.3">
      <c r="A12" s="16" t="s">
        <v>141</v>
      </c>
      <c r="B12" s="17" t="s">
        <v>622</v>
      </c>
      <c r="C12" s="18"/>
      <c r="D12" s="19" t="s">
        <v>99</v>
      </c>
      <c r="E12" s="1" t="s">
        <v>43</v>
      </c>
      <c r="F12" s="20" t="s">
        <v>374</v>
      </c>
      <c r="G12">
        <f t="shared" si="0"/>
        <v>75</v>
      </c>
      <c r="H12">
        <f t="shared" si="1"/>
        <v>37.5</v>
      </c>
      <c r="I12">
        <f t="shared" si="2"/>
        <v>25</v>
      </c>
      <c r="J12">
        <f t="shared" si="3"/>
        <v>81.52</v>
      </c>
      <c r="K12">
        <f t="shared" si="4"/>
        <v>14.673599999999999</v>
      </c>
      <c r="L12">
        <f t="shared" si="5"/>
        <v>131.13999999999999</v>
      </c>
      <c r="M12">
        <f t="shared" si="6"/>
        <v>41.67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176</v>
      </c>
      <c r="C14" s="23"/>
      <c r="D14" s="24" t="s">
        <v>99</v>
      </c>
      <c r="E14" s="1" t="s">
        <v>43</v>
      </c>
      <c r="F14" s="20" t="s">
        <v>177</v>
      </c>
      <c r="G14">
        <f t="shared" si="0"/>
        <v>25</v>
      </c>
      <c r="H14">
        <f t="shared" si="1"/>
        <v>75</v>
      </c>
      <c r="I14">
        <f t="shared" si="2"/>
        <v>50</v>
      </c>
      <c r="J14">
        <f t="shared" si="3"/>
        <v>163.04</v>
      </c>
      <c r="K14">
        <f t="shared" si="4"/>
        <v>29.347199999999997</v>
      </c>
      <c r="L14">
        <f t="shared" si="5"/>
        <v>-9.4499999999999993</v>
      </c>
      <c r="M14">
        <f t="shared" si="6"/>
        <v>83.33</v>
      </c>
    </row>
    <row r="15" spans="1:13" ht="15" customHeight="1" x14ac:dyDescent="0.3">
      <c r="A15" s="16" t="s">
        <v>156</v>
      </c>
      <c r="B15" s="17" t="s">
        <v>293</v>
      </c>
      <c r="C15" s="18"/>
      <c r="D15" s="19" t="s">
        <v>99</v>
      </c>
      <c r="E15" s="1" t="s">
        <v>43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292</v>
      </c>
      <c r="C16" s="23"/>
      <c r="D16" s="24" t="s">
        <v>99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165</v>
      </c>
      <c r="C17" s="18"/>
      <c r="D17" s="19" t="s">
        <v>99</v>
      </c>
      <c r="E17" s="1" t="s">
        <v>43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163</v>
      </c>
      <c r="C18" s="23"/>
      <c r="D18" s="24" t="s">
        <v>99</v>
      </c>
      <c r="E18" s="1" t="s">
        <v>43</v>
      </c>
      <c r="F18" s="20" t="s">
        <v>164</v>
      </c>
      <c r="G18">
        <f t="shared" si="0"/>
        <v>12.5</v>
      </c>
      <c r="H18">
        <f t="shared" si="1"/>
        <v>25</v>
      </c>
      <c r="I18">
        <f t="shared" si="2"/>
        <v>12.5</v>
      </c>
      <c r="J18">
        <f t="shared" si="3"/>
        <v>54.35</v>
      </c>
      <c r="K18">
        <f t="shared" si="4"/>
        <v>9.7829999999999995</v>
      </c>
      <c r="L18">
        <f t="shared" si="5"/>
        <v>5.91</v>
      </c>
      <c r="M18">
        <f t="shared" si="6"/>
        <v>20.83</v>
      </c>
    </row>
    <row r="19" spans="1:13" ht="15" customHeight="1" x14ac:dyDescent="0.3">
      <c r="A19" s="16" t="s">
        <v>156</v>
      </c>
      <c r="B19" s="17" t="s">
        <v>327</v>
      </c>
      <c r="C19" s="18"/>
      <c r="D19" s="19" t="s">
        <v>99</v>
      </c>
      <c r="E19" s="1" t="s">
        <v>43</v>
      </c>
      <c r="F19" s="20" t="s">
        <v>328</v>
      </c>
      <c r="G19">
        <f t="shared" si="0"/>
        <v>150</v>
      </c>
      <c r="H19">
        <f t="shared" si="1"/>
        <v>100</v>
      </c>
      <c r="I19">
        <f t="shared" si="2"/>
        <v>87.5</v>
      </c>
      <c r="J19">
        <f t="shared" si="3"/>
        <v>217.39</v>
      </c>
      <c r="K19">
        <f t="shared" si="4"/>
        <v>39.130199999999995</v>
      </c>
      <c r="L19">
        <f t="shared" si="5"/>
        <v>241.02</v>
      </c>
      <c r="M19">
        <f t="shared" si="6"/>
        <v>145.83000000000001</v>
      </c>
    </row>
    <row r="20" spans="1:13" ht="18" customHeight="1" x14ac:dyDescent="0.3">
      <c r="A20" s="25" t="s">
        <v>167</v>
      </c>
      <c r="B20" s="25"/>
      <c r="C20" s="25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5"/>
        <v/>
      </c>
      <c r="M20" t="str">
        <f t="shared" si="6"/>
        <v/>
      </c>
    </row>
    <row r="21" spans="1:13" ht="15" customHeight="1" x14ac:dyDescent="0.3">
      <c r="A21" s="21" t="s">
        <v>168</v>
      </c>
      <c r="B21" s="22" t="s">
        <v>175</v>
      </c>
      <c r="C21" s="23"/>
      <c r="D21" s="24" t="s">
        <v>99</v>
      </c>
      <c r="E21" s="1" t="s">
        <v>43</v>
      </c>
      <c r="F21" s="20" t="s">
        <v>147</v>
      </c>
      <c r="G21">
        <f t="shared" si="0"/>
        <v>100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174.86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294</v>
      </c>
      <c r="C22" s="18"/>
      <c r="D22" s="19" t="s">
        <v>99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5" customHeight="1" x14ac:dyDescent="0.3">
      <c r="A23" s="21" t="s">
        <v>168</v>
      </c>
      <c r="B23" s="22" t="s">
        <v>295</v>
      </c>
      <c r="C23" s="23"/>
      <c r="D23" s="24" t="s">
        <v>99</v>
      </c>
      <c r="E23" s="1" t="s">
        <v>43</v>
      </c>
      <c r="F23" s="20" t="s">
        <v>149</v>
      </c>
      <c r="G23">
        <f t="shared" si="0"/>
        <v>50</v>
      </c>
      <c r="H23">
        <f t="shared" si="1"/>
        <v>25</v>
      </c>
      <c r="I23">
        <f t="shared" si="2"/>
        <v>25</v>
      </c>
      <c r="J23">
        <f t="shared" si="3"/>
        <v>54.35</v>
      </c>
      <c r="K23">
        <f t="shared" si="4"/>
        <v>9.7829999999999995</v>
      </c>
      <c r="L23">
        <f t="shared" si="5"/>
        <v>87.43</v>
      </c>
      <c r="M23">
        <f t="shared" si="6"/>
        <v>41.67</v>
      </c>
    </row>
    <row r="24" spans="1:13" ht="15" customHeight="1" x14ac:dyDescent="0.3">
      <c r="A24" s="16" t="s">
        <v>168</v>
      </c>
      <c r="B24" s="17" t="s">
        <v>176</v>
      </c>
      <c r="C24" s="18"/>
      <c r="D24" s="19" t="s">
        <v>99</v>
      </c>
      <c r="E24" s="1" t="s">
        <v>43</v>
      </c>
      <c r="F24" s="20" t="s">
        <v>177</v>
      </c>
      <c r="G24">
        <f t="shared" si="0"/>
        <v>25</v>
      </c>
      <c r="H24">
        <f t="shared" si="1"/>
        <v>75</v>
      </c>
      <c r="I24">
        <f t="shared" si="2"/>
        <v>50</v>
      </c>
      <c r="J24">
        <f t="shared" si="3"/>
        <v>163.04</v>
      </c>
      <c r="K24">
        <f t="shared" si="4"/>
        <v>29.347199999999997</v>
      </c>
      <c r="L24">
        <f t="shared" si="5"/>
        <v>-9.4499999999999993</v>
      </c>
      <c r="M24">
        <f t="shared" si="6"/>
        <v>83.33</v>
      </c>
    </row>
    <row r="25" spans="1:13" ht="18" customHeight="1" x14ac:dyDescent="0.3">
      <c r="A25" s="25" t="s">
        <v>180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21" t="s">
        <v>181</v>
      </c>
      <c r="B26" s="22" t="s">
        <v>623</v>
      </c>
      <c r="C26" s="23"/>
      <c r="D26" s="24" t="s">
        <v>99</v>
      </c>
      <c r="E26" s="1" t="s">
        <v>43</v>
      </c>
      <c r="F26" s="20" t="s">
        <v>183</v>
      </c>
      <c r="G26">
        <f t="shared" si="0"/>
        <v>350</v>
      </c>
      <c r="H26">
        <f t="shared" si="1"/>
        <v>112.5</v>
      </c>
      <c r="I26">
        <f t="shared" si="2"/>
        <v>112.5</v>
      </c>
      <c r="J26">
        <f t="shared" si="3"/>
        <v>244.57</v>
      </c>
      <c r="K26">
        <f t="shared" si="4"/>
        <v>44.022599999999997</v>
      </c>
      <c r="L26">
        <f t="shared" si="5"/>
        <v>665.17</v>
      </c>
      <c r="M26">
        <f t="shared" si="6"/>
        <v>187.5</v>
      </c>
    </row>
    <row r="27" spans="1:13" ht="15" customHeight="1" x14ac:dyDescent="0.3">
      <c r="A27" s="16" t="s">
        <v>181</v>
      </c>
      <c r="B27" s="17" t="s">
        <v>323</v>
      </c>
      <c r="C27" s="18"/>
      <c r="D27" s="19" t="s">
        <v>99</v>
      </c>
      <c r="E27" s="1" t="s">
        <v>43</v>
      </c>
      <c r="F27" s="20" t="s">
        <v>324</v>
      </c>
      <c r="G27">
        <f t="shared" si="0"/>
        <v>93.75</v>
      </c>
      <c r="H27">
        <f t="shared" si="1"/>
        <v>62.5</v>
      </c>
      <c r="I27">
        <f t="shared" si="2"/>
        <v>62.5</v>
      </c>
      <c r="J27">
        <f t="shared" si="3"/>
        <v>135.87</v>
      </c>
      <c r="K27">
        <f t="shared" si="4"/>
        <v>24.456600000000002</v>
      </c>
      <c r="L27">
        <f t="shared" si="5"/>
        <v>150.63999999999999</v>
      </c>
      <c r="M27">
        <f t="shared" si="6"/>
        <v>104.17</v>
      </c>
    </row>
    <row r="28" spans="1:13" ht="15" customHeight="1" x14ac:dyDescent="0.3">
      <c r="A28" s="21" t="s">
        <v>181</v>
      </c>
      <c r="B28" s="22" t="s">
        <v>296</v>
      </c>
      <c r="C28" s="23"/>
      <c r="D28" s="24" t="s">
        <v>99</v>
      </c>
      <c r="E28" s="1" t="s">
        <v>43</v>
      </c>
      <c r="F28" s="20" t="s">
        <v>268</v>
      </c>
      <c r="G28">
        <f t="shared" si="0"/>
        <v>15</v>
      </c>
      <c r="H28">
        <f t="shared" si="1"/>
        <v>7.5</v>
      </c>
      <c r="I28">
        <f t="shared" si="2"/>
        <v>7.5</v>
      </c>
      <c r="J28">
        <f t="shared" si="3"/>
        <v>16.3</v>
      </c>
      <c r="K28">
        <f t="shared" si="4"/>
        <v>2.9340000000000002</v>
      </c>
      <c r="L28">
        <f t="shared" si="5"/>
        <v>26.23</v>
      </c>
      <c r="M28">
        <f t="shared" si="6"/>
        <v>12.5</v>
      </c>
    </row>
    <row r="29" spans="1:13" ht="18" customHeight="1" x14ac:dyDescent="0.3">
      <c r="A29" s="25" t="s">
        <v>187</v>
      </c>
      <c r="B29" s="25"/>
      <c r="C29" s="25"/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5"/>
        <v/>
      </c>
      <c r="M29" t="str">
        <f t="shared" si="6"/>
        <v/>
      </c>
    </row>
    <row r="30" spans="1:13" ht="15" customHeight="1" x14ac:dyDescent="0.3">
      <c r="A30" s="16" t="s">
        <v>188</v>
      </c>
      <c r="B30" s="17" t="s">
        <v>305</v>
      </c>
      <c r="C30" s="18"/>
      <c r="D30" s="19" t="s">
        <v>99</v>
      </c>
      <c r="E30" s="1" t="s">
        <v>43</v>
      </c>
      <c r="F30" s="20" t="s">
        <v>306</v>
      </c>
      <c r="G30">
        <f t="shared" si="0"/>
        <v>20</v>
      </c>
      <c r="H30">
        <f t="shared" si="1"/>
        <v>5</v>
      </c>
      <c r="I30">
        <f t="shared" si="2"/>
        <v>15</v>
      </c>
      <c r="J30">
        <f t="shared" si="3"/>
        <v>10.87</v>
      </c>
      <c r="K30">
        <f t="shared" si="4"/>
        <v>1.9565999999999999</v>
      </c>
      <c r="L30">
        <f t="shared" si="5"/>
        <v>39.22</v>
      </c>
      <c r="M30">
        <f t="shared" si="6"/>
        <v>25</v>
      </c>
    </row>
    <row r="31" spans="1:13" ht="15" customHeight="1" x14ac:dyDescent="0.3">
      <c r="A31" s="21" t="s">
        <v>188</v>
      </c>
      <c r="B31" s="22" t="s">
        <v>191</v>
      </c>
      <c r="C31" s="23"/>
      <c r="D31" s="24" t="s">
        <v>99</v>
      </c>
      <c r="E31" s="1" t="s">
        <v>43</v>
      </c>
      <c r="F31" s="20" t="s">
        <v>192</v>
      </c>
      <c r="G31">
        <f t="shared" si="0"/>
        <v>137.5</v>
      </c>
      <c r="H31">
        <f t="shared" si="1"/>
        <v>43.75</v>
      </c>
      <c r="I31">
        <f t="shared" si="2"/>
        <v>412.5</v>
      </c>
      <c r="J31">
        <f t="shared" si="3"/>
        <v>95.11</v>
      </c>
      <c r="K31">
        <f t="shared" si="4"/>
        <v>17.119799999999998</v>
      </c>
      <c r="L31">
        <f t="shared" si="5"/>
        <v>261.7</v>
      </c>
      <c r="M31">
        <f t="shared" si="6"/>
        <v>687.5</v>
      </c>
    </row>
    <row r="32" spans="1:13" ht="15" customHeight="1" x14ac:dyDescent="0.3">
      <c r="A32" s="16" t="s">
        <v>188</v>
      </c>
      <c r="B32" s="17" t="s">
        <v>312</v>
      </c>
      <c r="C32" s="18"/>
      <c r="D32" s="19" t="s">
        <v>99</v>
      </c>
      <c r="E32" s="1" t="s">
        <v>43</v>
      </c>
      <c r="F32" s="20" t="s">
        <v>190</v>
      </c>
      <c r="G32">
        <f t="shared" si="0"/>
        <v>125</v>
      </c>
      <c r="H32">
        <f t="shared" si="1"/>
        <v>125</v>
      </c>
      <c r="I32">
        <f t="shared" si="2"/>
        <v>187.5</v>
      </c>
      <c r="J32">
        <f t="shared" si="3"/>
        <v>271.74</v>
      </c>
      <c r="K32">
        <f t="shared" si="4"/>
        <v>48.913200000000003</v>
      </c>
      <c r="L32">
        <f t="shared" si="5"/>
        <v>165.41</v>
      </c>
      <c r="M32">
        <f t="shared" si="6"/>
        <v>312.5</v>
      </c>
    </row>
    <row r="33" spans="1:13" ht="15" customHeight="1" x14ac:dyDescent="0.3">
      <c r="A33" s="21" t="s">
        <v>188</v>
      </c>
      <c r="B33" s="22" t="s">
        <v>299</v>
      </c>
      <c r="C33" s="23"/>
      <c r="D33" s="24" t="s">
        <v>99</v>
      </c>
      <c r="E33" s="1" t="s">
        <v>43</v>
      </c>
      <c r="F33" s="20" t="s">
        <v>300</v>
      </c>
      <c r="G33">
        <f t="shared" si="0"/>
        <v>750</v>
      </c>
      <c r="H33">
        <f t="shared" si="1"/>
        <v>250</v>
      </c>
      <c r="I33">
        <f t="shared" si="2"/>
        <v>500</v>
      </c>
      <c r="J33">
        <f t="shared" si="3"/>
        <v>543.48</v>
      </c>
      <c r="K33">
        <f t="shared" si="4"/>
        <v>97.826400000000007</v>
      </c>
      <c r="L33">
        <f t="shared" si="5"/>
        <v>1417.77</v>
      </c>
      <c r="M33">
        <f t="shared" si="6"/>
        <v>833.33</v>
      </c>
    </row>
    <row r="34" spans="1:13" ht="15" customHeight="1" x14ac:dyDescent="0.3">
      <c r="A34" s="16" t="s">
        <v>188</v>
      </c>
      <c r="B34" s="17" t="s">
        <v>314</v>
      </c>
      <c r="C34" s="18"/>
      <c r="D34" s="19" t="s">
        <v>99</v>
      </c>
      <c r="E34" s="1" t="s">
        <v>43</v>
      </c>
      <c r="F34" s="20" t="s">
        <v>315</v>
      </c>
      <c r="G34">
        <f t="shared" si="0"/>
        <v>25</v>
      </c>
      <c r="H34">
        <f t="shared" si="1"/>
        <v>25</v>
      </c>
      <c r="I34">
        <f t="shared" si="2"/>
        <v>18.75</v>
      </c>
      <c r="J34">
        <f t="shared" si="3"/>
        <v>54.35</v>
      </c>
      <c r="K34">
        <f t="shared" si="4"/>
        <v>9.7829999999999995</v>
      </c>
      <c r="L34">
        <f t="shared" si="5"/>
        <v>33.08</v>
      </c>
      <c r="M34">
        <f t="shared" si="6"/>
        <v>31.25</v>
      </c>
    </row>
    <row r="35" spans="1:13" ht="15" customHeight="1" x14ac:dyDescent="0.3">
      <c r="A35" s="21" t="s">
        <v>188</v>
      </c>
      <c r="B35" s="22" t="s">
        <v>193</v>
      </c>
      <c r="C35" s="23"/>
      <c r="D35" s="24" t="s">
        <v>99</v>
      </c>
      <c r="E35" s="1" t="s">
        <v>43</v>
      </c>
      <c r="F35" s="20" t="s">
        <v>194</v>
      </c>
      <c r="G35">
        <f t="shared" si="0"/>
        <v>125</v>
      </c>
      <c r="H35">
        <f t="shared" si="1"/>
        <v>125</v>
      </c>
      <c r="I35">
        <f t="shared" si="2"/>
        <v>125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208.33</v>
      </c>
    </row>
    <row r="36" spans="1:13" ht="15" customHeight="1" x14ac:dyDescent="0.3">
      <c r="A36" s="16" t="s">
        <v>188</v>
      </c>
      <c r="B36" s="17" t="s">
        <v>195</v>
      </c>
      <c r="C36" s="18"/>
      <c r="D36" s="19" t="s">
        <v>99</v>
      </c>
      <c r="E36" s="1" t="s">
        <v>43</v>
      </c>
      <c r="F36" s="20" t="s">
        <v>194</v>
      </c>
      <c r="G36">
        <f t="shared" si="0"/>
        <v>125</v>
      </c>
      <c r="H36">
        <f t="shared" si="1"/>
        <v>125</v>
      </c>
      <c r="I36">
        <f t="shared" si="2"/>
        <v>125</v>
      </c>
      <c r="J36">
        <f t="shared" si="3"/>
        <v>271.74</v>
      </c>
      <c r="K36">
        <f t="shared" si="4"/>
        <v>48.913200000000003</v>
      </c>
      <c r="L36">
        <f t="shared" si="5"/>
        <v>165.41</v>
      </c>
      <c r="M36">
        <f t="shared" si="6"/>
        <v>208.33</v>
      </c>
    </row>
    <row r="37" spans="1:13" ht="15" customHeight="1" x14ac:dyDescent="0.3">
      <c r="A37" s="21" t="s">
        <v>188</v>
      </c>
      <c r="B37" s="22" t="s">
        <v>214</v>
      </c>
      <c r="C37" s="23"/>
      <c r="D37" s="24" t="s">
        <v>99</v>
      </c>
      <c r="E37" s="1" t="s">
        <v>43</v>
      </c>
      <c r="F37" s="20" t="s">
        <v>215</v>
      </c>
      <c r="G37">
        <f t="shared" si="0"/>
        <v>93.75</v>
      </c>
      <c r="H37">
        <f t="shared" si="1"/>
        <v>50</v>
      </c>
      <c r="I37">
        <f t="shared" si="2"/>
        <v>62.5</v>
      </c>
      <c r="J37">
        <f t="shared" si="3"/>
        <v>108.7</v>
      </c>
      <c r="K37">
        <f t="shared" si="4"/>
        <v>19.565999999999999</v>
      </c>
      <c r="L37">
        <f t="shared" si="5"/>
        <v>161.27000000000001</v>
      </c>
      <c r="M37">
        <f t="shared" si="6"/>
        <v>104.17</v>
      </c>
    </row>
    <row r="38" spans="1:13" ht="15" customHeight="1" x14ac:dyDescent="0.3">
      <c r="A38" s="16" t="s">
        <v>188</v>
      </c>
      <c r="B38" s="17" t="s">
        <v>310</v>
      </c>
      <c r="C38" s="18"/>
      <c r="D38" s="19" t="s">
        <v>99</v>
      </c>
      <c r="E38" s="1" t="s">
        <v>43</v>
      </c>
      <c r="F38" s="20" t="s">
        <v>311</v>
      </c>
      <c r="G38">
        <f t="shared" si="0"/>
        <v>125</v>
      </c>
      <c r="H38">
        <f t="shared" si="1"/>
        <v>50</v>
      </c>
      <c r="I38">
        <f t="shared" si="2"/>
        <v>500</v>
      </c>
      <c r="J38">
        <f t="shared" si="3"/>
        <v>108.7</v>
      </c>
      <c r="K38">
        <f t="shared" si="4"/>
        <v>19.565999999999999</v>
      </c>
      <c r="L38">
        <f t="shared" si="5"/>
        <v>229.2</v>
      </c>
      <c r="M38">
        <f t="shared" si="6"/>
        <v>833.33</v>
      </c>
    </row>
    <row r="39" spans="1:13" ht="15" customHeight="1" x14ac:dyDescent="0.3">
      <c r="A39" s="21" t="s">
        <v>188</v>
      </c>
      <c r="B39" s="22" t="s">
        <v>624</v>
      </c>
      <c r="C39" s="23"/>
      <c r="D39" s="24" t="s">
        <v>99</v>
      </c>
      <c r="E39" s="1" t="s">
        <v>43</v>
      </c>
      <c r="F39" s="20" t="s">
        <v>363</v>
      </c>
      <c r="G39">
        <f t="shared" ref="G39:G70" si="7">IF($F39="","",IFERROR(VALUE(TRIM(LEFT($F39,FIND(":",$F39)-1)))*1.25,"N/A"))</f>
        <v>500</v>
      </c>
      <c r="H39">
        <f t="shared" ref="H39:H70" si="8">IF($F39="","",IFERROR(VALUE(TRIM(MID($F39,FIND(":",$F39)+1,FIND(":",$F39,FIND(":",$F39)+1)-FIND(":",$F39)-1)))*1.25,"N/A"))</f>
        <v>250</v>
      </c>
      <c r="I39">
        <f t="shared" ref="I39:I70" si="9">IF($F39="","",IFERROR(VALUE(TRIM(LEFT(MID($F39,FIND(":",$F39,FIND(":",$F39)+1)+1,LEN($F39)),FIND(" ",MID($F39,FIND(":",$F39,FIND(":",$F39)+1)+1,LEN($F39))&amp;" ")-1)))*1.25,"N/A"))</f>
        <v>375</v>
      </c>
      <c r="J39">
        <f t="shared" ref="J39:J70" si="10">IF(OR($F39="",$H39="N/A"),IF($F39="","","N/A"),ROUND($H39/0.46,2))</f>
        <v>543.48</v>
      </c>
      <c r="K39">
        <f t="shared" ref="K39:K70" si="11">IF(OR($F39="",$J39="N/A"),IF($F39="","","N/A"),$J39*0.18)</f>
        <v>97.826400000000007</v>
      </c>
      <c r="L39">
        <f t="shared" ref="L39:L70" si="12">IF(OR($F39="",$G39="N/A",$K39="N/A"),IF($F39="","","N/A"),ROUND(($G39-$K39)/0.46,2))</f>
        <v>874.29</v>
      </c>
      <c r="M39">
        <f t="shared" ref="M39:M70" si="13">IF(OR($F39="",$I39="N/A"),IF($F39="","","N/A"),ROUND($I39/0.6,2))</f>
        <v>625</v>
      </c>
    </row>
    <row r="40" spans="1:13" ht="15" customHeight="1" x14ac:dyDescent="0.3">
      <c r="A40" s="16" t="s">
        <v>188</v>
      </c>
      <c r="B40" s="17" t="s">
        <v>320</v>
      </c>
      <c r="C40" s="18"/>
      <c r="D40" s="19" t="s">
        <v>99</v>
      </c>
      <c r="E40" s="1" t="s">
        <v>43</v>
      </c>
      <c r="F40" s="20" t="s">
        <v>199</v>
      </c>
      <c r="G40">
        <f t="shared" si="7"/>
        <v>750</v>
      </c>
      <c r="H40">
        <f t="shared" si="8"/>
        <v>250</v>
      </c>
      <c r="I40">
        <f t="shared" si="9"/>
        <v>375</v>
      </c>
      <c r="J40">
        <f t="shared" si="10"/>
        <v>543.48</v>
      </c>
      <c r="K40">
        <f t="shared" si="11"/>
        <v>97.826400000000007</v>
      </c>
      <c r="L40">
        <f t="shared" si="12"/>
        <v>1417.77</v>
      </c>
      <c r="M40">
        <f t="shared" si="13"/>
        <v>625</v>
      </c>
    </row>
    <row r="41" spans="1:13" ht="15" customHeight="1" x14ac:dyDescent="0.3">
      <c r="A41" s="21" t="s">
        <v>188</v>
      </c>
      <c r="B41" s="22" t="s">
        <v>625</v>
      </c>
      <c r="C41" s="23"/>
      <c r="D41" s="24" t="s">
        <v>99</v>
      </c>
      <c r="E41" s="1" t="s">
        <v>43</v>
      </c>
      <c r="F41" s="20" t="s">
        <v>304</v>
      </c>
      <c r="G41">
        <f t="shared" si="7"/>
        <v>1093.75</v>
      </c>
      <c r="H41">
        <f t="shared" si="8"/>
        <v>687.5</v>
      </c>
      <c r="I41">
        <f t="shared" si="9"/>
        <v>1062.5</v>
      </c>
      <c r="J41">
        <f t="shared" si="10"/>
        <v>1494.57</v>
      </c>
      <c r="K41">
        <f t="shared" si="11"/>
        <v>269.02259999999995</v>
      </c>
      <c r="L41">
        <f t="shared" si="12"/>
        <v>1792.89</v>
      </c>
      <c r="M41">
        <f t="shared" si="13"/>
        <v>1770.83</v>
      </c>
    </row>
    <row r="42" spans="1:13" ht="18" customHeight="1" x14ac:dyDescent="0.3">
      <c r="A42" s="25" t="s">
        <v>220</v>
      </c>
      <c r="B42" s="25"/>
      <c r="C42" s="25"/>
      <c r="G42" t="str">
        <f t="shared" si="7"/>
        <v/>
      </c>
      <c r="H42" t="str">
        <f t="shared" si="8"/>
        <v/>
      </c>
      <c r="I42" t="str">
        <f t="shared" si="9"/>
        <v/>
      </c>
      <c r="J42" t="str">
        <f t="shared" si="10"/>
        <v/>
      </c>
      <c r="K42" t="str">
        <f t="shared" si="11"/>
        <v/>
      </c>
      <c r="L42" t="str">
        <f t="shared" si="12"/>
        <v/>
      </c>
      <c r="M42" t="str">
        <f t="shared" si="13"/>
        <v/>
      </c>
    </row>
    <row r="43" spans="1:13" ht="15" customHeight="1" x14ac:dyDescent="0.3">
      <c r="A43" s="16" t="s">
        <v>221</v>
      </c>
      <c r="B43" s="17" t="s">
        <v>321</v>
      </c>
      <c r="C43" s="18"/>
      <c r="D43" s="19" t="s">
        <v>99</v>
      </c>
      <c r="E43" s="1" t="s">
        <v>43</v>
      </c>
      <c r="F43" s="20" t="s">
        <v>322</v>
      </c>
      <c r="G43">
        <f t="shared" si="7"/>
        <v>150</v>
      </c>
      <c r="H43">
        <f t="shared" si="8"/>
        <v>300</v>
      </c>
      <c r="I43">
        <f t="shared" si="9"/>
        <v>150</v>
      </c>
      <c r="J43">
        <f t="shared" si="10"/>
        <v>652.16999999999996</v>
      </c>
      <c r="K43">
        <f t="shared" si="11"/>
        <v>117.39059999999999</v>
      </c>
      <c r="L43">
        <f t="shared" si="12"/>
        <v>70.89</v>
      </c>
      <c r="M43">
        <f t="shared" si="13"/>
        <v>250</v>
      </c>
    </row>
    <row r="44" spans="1:13" ht="15" customHeight="1" x14ac:dyDescent="0.3">
      <c r="A44" s="21" t="s">
        <v>221</v>
      </c>
      <c r="B44" s="22" t="s">
        <v>222</v>
      </c>
      <c r="C44" s="23"/>
      <c r="D44" s="24" t="s">
        <v>99</v>
      </c>
      <c r="E44" s="1" t="s">
        <v>43</v>
      </c>
      <c r="F44" s="20" t="s">
        <v>223</v>
      </c>
      <c r="G44">
        <f t="shared" si="7"/>
        <v>187.5</v>
      </c>
      <c r="H44">
        <f t="shared" si="8"/>
        <v>125</v>
      </c>
      <c r="I44">
        <f t="shared" si="9"/>
        <v>62.5</v>
      </c>
      <c r="J44">
        <f t="shared" si="10"/>
        <v>271.74</v>
      </c>
      <c r="K44">
        <f t="shared" si="11"/>
        <v>48.913200000000003</v>
      </c>
      <c r="L44">
        <f t="shared" si="12"/>
        <v>301.27999999999997</v>
      </c>
      <c r="M44">
        <f t="shared" si="13"/>
        <v>104.17</v>
      </c>
    </row>
    <row r="45" spans="1:13" ht="15" customHeight="1" x14ac:dyDescent="0.3">
      <c r="A45" s="16" t="s">
        <v>221</v>
      </c>
      <c r="B45" s="17" t="s">
        <v>626</v>
      </c>
      <c r="C45" s="18"/>
      <c r="D45" s="19" t="s">
        <v>99</v>
      </c>
      <c r="E45" s="1" t="s">
        <v>43</v>
      </c>
      <c r="F45" s="20" t="s">
        <v>229</v>
      </c>
      <c r="G45">
        <f t="shared" si="7"/>
        <v>150</v>
      </c>
      <c r="H45">
        <f t="shared" si="8"/>
        <v>75</v>
      </c>
      <c r="I45">
        <f t="shared" si="9"/>
        <v>37.5</v>
      </c>
      <c r="J45">
        <f t="shared" si="10"/>
        <v>163.04</v>
      </c>
      <c r="K45">
        <f t="shared" si="11"/>
        <v>29.347199999999997</v>
      </c>
      <c r="L45">
        <f t="shared" si="12"/>
        <v>262.29000000000002</v>
      </c>
      <c r="M45">
        <f t="shared" si="13"/>
        <v>62.5</v>
      </c>
    </row>
    <row r="46" spans="1:13" ht="15" customHeight="1" x14ac:dyDescent="0.3">
      <c r="A46" s="21" t="s">
        <v>221</v>
      </c>
      <c r="B46" s="22" t="s">
        <v>325</v>
      </c>
      <c r="C46" s="23"/>
      <c r="D46" s="24" t="s">
        <v>99</v>
      </c>
      <c r="E46" s="1" t="s">
        <v>43</v>
      </c>
      <c r="F46" s="20" t="s">
        <v>225</v>
      </c>
      <c r="G46">
        <f t="shared" si="7"/>
        <v>125</v>
      </c>
      <c r="H46">
        <f t="shared" si="8"/>
        <v>62.5</v>
      </c>
      <c r="I46">
        <f t="shared" si="9"/>
        <v>37.5</v>
      </c>
      <c r="J46">
        <f t="shared" si="10"/>
        <v>135.87</v>
      </c>
      <c r="K46">
        <f t="shared" si="11"/>
        <v>24.456600000000002</v>
      </c>
      <c r="L46">
        <f t="shared" si="12"/>
        <v>218.57</v>
      </c>
      <c r="M46">
        <f t="shared" si="13"/>
        <v>62.5</v>
      </c>
    </row>
    <row r="47" spans="1:13" ht="15" customHeight="1" x14ac:dyDescent="0.3">
      <c r="A47" s="16" t="s">
        <v>221</v>
      </c>
      <c r="B47" s="17" t="s">
        <v>326</v>
      </c>
      <c r="C47" s="18"/>
      <c r="D47" s="19" t="s">
        <v>99</v>
      </c>
      <c r="E47" s="1" t="s">
        <v>43</v>
      </c>
      <c r="F47" s="20" t="s">
        <v>227</v>
      </c>
      <c r="G47">
        <f t="shared" si="7"/>
        <v>50</v>
      </c>
      <c r="H47">
        <f t="shared" si="8"/>
        <v>62.5</v>
      </c>
      <c r="I47">
        <f t="shared" si="9"/>
        <v>37.5</v>
      </c>
      <c r="J47">
        <f t="shared" si="10"/>
        <v>135.87</v>
      </c>
      <c r="K47">
        <f t="shared" si="11"/>
        <v>24.456600000000002</v>
      </c>
      <c r="L47">
        <f t="shared" si="12"/>
        <v>55.53</v>
      </c>
      <c r="M47">
        <f t="shared" si="13"/>
        <v>62.5</v>
      </c>
    </row>
    <row r="48" spans="1:13" ht="15" customHeight="1" x14ac:dyDescent="0.3">
      <c r="A48" s="21" t="s">
        <v>221</v>
      </c>
      <c r="B48" s="22" t="s">
        <v>232</v>
      </c>
      <c r="C48" s="23"/>
      <c r="D48" s="24" t="s">
        <v>99</v>
      </c>
      <c r="E48" s="1" t="s">
        <v>43</v>
      </c>
      <c r="F48" s="20" t="s">
        <v>233</v>
      </c>
      <c r="G48">
        <f t="shared" si="7"/>
        <v>125</v>
      </c>
      <c r="H48">
        <f t="shared" si="8"/>
        <v>156.25</v>
      </c>
      <c r="I48">
        <f t="shared" si="9"/>
        <v>31.25</v>
      </c>
      <c r="J48">
        <f t="shared" si="10"/>
        <v>339.67</v>
      </c>
      <c r="K48">
        <f t="shared" si="11"/>
        <v>61.140599999999999</v>
      </c>
      <c r="L48">
        <f t="shared" si="12"/>
        <v>138.82</v>
      </c>
      <c r="M48">
        <f t="shared" si="13"/>
        <v>52.08</v>
      </c>
    </row>
    <row r="49" spans="1:13" ht="15" customHeight="1" x14ac:dyDescent="0.3">
      <c r="A49" s="16" t="s">
        <v>221</v>
      </c>
      <c r="B49" s="17" t="s">
        <v>234</v>
      </c>
      <c r="C49" s="18"/>
      <c r="D49" s="19" t="s">
        <v>99</v>
      </c>
      <c r="E49" s="1" t="s">
        <v>43</v>
      </c>
      <c r="F49" s="20" t="s">
        <v>235</v>
      </c>
      <c r="G49">
        <f t="shared" si="7"/>
        <v>125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165.41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236</v>
      </c>
      <c r="C50" s="23"/>
      <c r="D50" s="24" t="s">
        <v>99</v>
      </c>
      <c r="E50" s="1" t="s">
        <v>43</v>
      </c>
      <c r="F50" s="20" t="s">
        <v>237</v>
      </c>
      <c r="G50">
        <f t="shared" si="7"/>
        <v>62.5</v>
      </c>
      <c r="H50">
        <f t="shared" si="8"/>
        <v>62.5</v>
      </c>
      <c r="I50">
        <f t="shared" si="9"/>
        <v>62.5</v>
      </c>
      <c r="J50">
        <f t="shared" si="10"/>
        <v>135.87</v>
      </c>
      <c r="K50">
        <f t="shared" si="11"/>
        <v>24.456600000000002</v>
      </c>
      <c r="L50">
        <f t="shared" si="12"/>
        <v>82.7</v>
      </c>
      <c r="M50">
        <f t="shared" si="13"/>
        <v>104.17</v>
      </c>
    </row>
    <row r="51" spans="1:13" ht="15" customHeight="1" x14ac:dyDescent="0.3">
      <c r="A51" s="16" t="s">
        <v>221</v>
      </c>
      <c r="B51" s="17" t="s">
        <v>327</v>
      </c>
      <c r="C51" s="18"/>
      <c r="D51" s="19" t="s">
        <v>99</v>
      </c>
      <c r="E51" s="1" t="s">
        <v>43</v>
      </c>
      <c r="F51" s="20" t="s">
        <v>328</v>
      </c>
      <c r="G51">
        <f t="shared" si="7"/>
        <v>150</v>
      </c>
      <c r="H51">
        <f t="shared" si="8"/>
        <v>100</v>
      </c>
      <c r="I51">
        <f t="shared" si="9"/>
        <v>87.5</v>
      </c>
      <c r="J51">
        <f t="shared" si="10"/>
        <v>217.39</v>
      </c>
      <c r="K51">
        <f t="shared" si="11"/>
        <v>39.130199999999995</v>
      </c>
      <c r="L51">
        <f t="shared" si="12"/>
        <v>241.02</v>
      </c>
      <c r="M51">
        <f t="shared" si="13"/>
        <v>145.83000000000001</v>
      </c>
    </row>
    <row r="52" spans="1:13" ht="15" customHeight="1" x14ac:dyDescent="0.3">
      <c r="A52" s="21" t="s">
        <v>221</v>
      </c>
      <c r="B52" s="22" t="s">
        <v>335</v>
      </c>
      <c r="C52" s="23"/>
      <c r="D52" s="24" t="s">
        <v>99</v>
      </c>
      <c r="E52" s="1" t="s">
        <v>43</v>
      </c>
      <c r="F52" s="20" t="s">
        <v>336</v>
      </c>
      <c r="G52">
        <f t="shared" si="7"/>
        <v>112.5</v>
      </c>
      <c r="H52">
        <f t="shared" si="8"/>
        <v>75</v>
      </c>
      <c r="I52">
        <f t="shared" si="9"/>
        <v>300</v>
      </c>
      <c r="J52">
        <f t="shared" si="10"/>
        <v>163.04</v>
      </c>
      <c r="K52">
        <f t="shared" si="11"/>
        <v>29.347199999999997</v>
      </c>
      <c r="L52">
        <f t="shared" si="12"/>
        <v>180.77</v>
      </c>
      <c r="M52">
        <f t="shared" si="13"/>
        <v>500</v>
      </c>
    </row>
    <row r="53" spans="1:13" ht="15" customHeight="1" x14ac:dyDescent="0.3">
      <c r="A53" s="16" t="s">
        <v>221</v>
      </c>
      <c r="B53" s="17" t="s">
        <v>333</v>
      </c>
      <c r="C53" s="18"/>
      <c r="D53" s="19" t="s">
        <v>99</v>
      </c>
      <c r="E53" s="1" t="s">
        <v>43</v>
      </c>
      <c r="F53" s="20" t="s">
        <v>334</v>
      </c>
      <c r="G53">
        <f t="shared" si="7"/>
        <v>50</v>
      </c>
      <c r="H53">
        <f t="shared" si="8"/>
        <v>75</v>
      </c>
      <c r="I53">
        <f t="shared" si="9"/>
        <v>150</v>
      </c>
      <c r="J53">
        <f t="shared" si="10"/>
        <v>163.04</v>
      </c>
      <c r="K53">
        <f t="shared" si="11"/>
        <v>29.347199999999997</v>
      </c>
      <c r="L53">
        <f t="shared" si="12"/>
        <v>44.9</v>
      </c>
      <c r="M53">
        <f t="shared" si="13"/>
        <v>250</v>
      </c>
    </row>
    <row r="54" spans="1:13" ht="15" customHeight="1" x14ac:dyDescent="0.3">
      <c r="A54" s="21" t="s">
        <v>221</v>
      </c>
      <c r="B54" s="22" t="s">
        <v>240</v>
      </c>
      <c r="C54" s="23"/>
      <c r="D54" s="24" t="s">
        <v>99</v>
      </c>
      <c r="E54" s="1" t="s">
        <v>43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5" customHeight="1" x14ac:dyDescent="0.3">
      <c r="A55" s="16" t="s">
        <v>221</v>
      </c>
      <c r="B55" s="17" t="s">
        <v>244</v>
      </c>
      <c r="C55" s="18"/>
      <c r="D55" s="19" t="s">
        <v>99</v>
      </c>
      <c r="E55" s="1" t="s">
        <v>43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329</v>
      </c>
      <c r="C56" s="23"/>
      <c r="D56" s="24" t="s">
        <v>99</v>
      </c>
      <c r="E56" s="1" t="s">
        <v>43</v>
      </c>
      <c r="F56" s="20" t="s">
        <v>330</v>
      </c>
      <c r="G56">
        <f t="shared" si="7"/>
        <v>62.5</v>
      </c>
      <c r="H56">
        <f t="shared" si="8"/>
        <v>125</v>
      </c>
      <c r="I56">
        <f t="shared" si="9"/>
        <v>62.5</v>
      </c>
      <c r="J56">
        <f t="shared" si="10"/>
        <v>271.74</v>
      </c>
      <c r="K56">
        <f t="shared" si="11"/>
        <v>48.913200000000003</v>
      </c>
      <c r="L56">
        <f t="shared" si="12"/>
        <v>29.54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331</v>
      </c>
      <c r="C57" s="18"/>
      <c r="D57" s="19" t="s">
        <v>99</v>
      </c>
      <c r="E57" s="1" t="s">
        <v>43</v>
      </c>
      <c r="F57" s="20" t="s">
        <v>332</v>
      </c>
      <c r="G57">
        <f t="shared" si="7"/>
        <v>168.75</v>
      </c>
      <c r="H57">
        <f t="shared" si="8"/>
        <v>168.75</v>
      </c>
      <c r="I57">
        <f t="shared" si="9"/>
        <v>168.75</v>
      </c>
      <c r="J57">
        <f t="shared" si="10"/>
        <v>366.85</v>
      </c>
      <c r="K57">
        <f t="shared" si="11"/>
        <v>66.033000000000001</v>
      </c>
      <c r="L57">
        <f t="shared" si="12"/>
        <v>223.3</v>
      </c>
      <c r="M57">
        <f t="shared" si="13"/>
        <v>281.25</v>
      </c>
    </row>
    <row r="58" spans="1:13" ht="18" customHeight="1" x14ac:dyDescent="0.3">
      <c r="A58" s="25" t="s">
        <v>252</v>
      </c>
      <c r="B58" s="25"/>
      <c r="C58" s="25"/>
      <c r="G58" t="str">
        <f t="shared" si="7"/>
        <v/>
      </c>
      <c r="H58" t="str">
        <f t="shared" si="8"/>
        <v/>
      </c>
      <c r="I58" t="str">
        <f t="shared" si="9"/>
        <v/>
      </c>
      <c r="J58" t="str">
        <f t="shared" si="10"/>
        <v/>
      </c>
      <c r="K58" t="str">
        <f t="shared" si="11"/>
        <v/>
      </c>
      <c r="L58" t="str">
        <f t="shared" si="12"/>
        <v/>
      </c>
      <c r="M58" t="str">
        <f t="shared" si="13"/>
        <v/>
      </c>
    </row>
    <row r="59" spans="1:13" ht="15" customHeight="1" x14ac:dyDescent="0.3">
      <c r="A59" s="21" t="s">
        <v>253</v>
      </c>
      <c r="B59" s="22" t="s">
        <v>323</v>
      </c>
      <c r="C59" s="23"/>
      <c r="D59" s="24" t="s">
        <v>99</v>
      </c>
      <c r="E59" s="1" t="s">
        <v>43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16" t="s">
        <v>253</v>
      </c>
      <c r="B60" s="17" t="s">
        <v>255</v>
      </c>
      <c r="C60" s="18"/>
      <c r="D60" s="19" t="s">
        <v>99</v>
      </c>
      <c r="E60" s="1" t="s">
        <v>43</v>
      </c>
      <c r="F60" s="20" t="s">
        <v>256</v>
      </c>
      <c r="G60">
        <f t="shared" si="7"/>
        <v>31.25</v>
      </c>
      <c r="H60">
        <f t="shared" si="8"/>
        <v>75</v>
      </c>
      <c r="I60">
        <f t="shared" si="9"/>
        <v>22.5</v>
      </c>
      <c r="J60">
        <f t="shared" si="10"/>
        <v>163.04</v>
      </c>
      <c r="K60">
        <f t="shared" si="11"/>
        <v>29.347199999999997</v>
      </c>
      <c r="L60">
        <f t="shared" si="12"/>
        <v>4.1399999999999997</v>
      </c>
      <c r="M60">
        <f t="shared" si="13"/>
        <v>37.5</v>
      </c>
    </row>
    <row r="61" spans="1:13" ht="15" customHeight="1" x14ac:dyDescent="0.3">
      <c r="A61" s="21" t="s">
        <v>253</v>
      </c>
      <c r="B61" s="22" t="s">
        <v>627</v>
      </c>
      <c r="C61" s="23"/>
      <c r="D61" s="24" t="s">
        <v>99</v>
      </c>
      <c r="E61" s="1" t="s">
        <v>43</v>
      </c>
      <c r="F61" s="20" t="s">
        <v>229</v>
      </c>
      <c r="G61">
        <f t="shared" si="7"/>
        <v>150</v>
      </c>
      <c r="H61">
        <f t="shared" si="8"/>
        <v>75</v>
      </c>
      <c r="I61">
        <f t="shared" si="9"/>
        <v>37.5</v>
      </c>
      <c r="J61">
        <f t="shared" si="10"/>
        <v>163.04</v>
      </c>
      <c r="K61">
        <f t="shared" si="11"/>
        <v>29.347199999999997</v>
      </c>
      <c r="L61">
        <f t="shared" si="12"/>
        <v>262.29000000000002</v>
      </c>
      <c r="M61">
        <f t="shared" si="13"/>
        <v>62.5</v>
      </c>
    </row>
    <row r="62" spans="1:13" ht="15" customHeight="1" x14ac:dyDescent="0.3">
      <c r="A62" s="16" t="s">
        <v>253</v>
      </c>
      <c r="B62" s="17" t="s">
        <v>365</v>
      </c>
      <c r="C62" s="18"/>
      <c r="D62" s="19" t="s">
        <v>99</v>
      </c>
      <c r="E62" s="1" t="s">
        <v>43</v>
      </c>
      <c r="F62" s="20" t="s">
        <v>366</v>
      </c>
      <c r="G62">
        <f t="shared" si="7"/>
        <v>93.75</v>
      </c>
      <c r="H62">
        <f t="shared" si="8"/>
        <v>93.75</v>
      </c>
      <c r="I62">
        <f t="shared" si="9"/>
        <v>93.75</v>
      </c>
      <c r="J62">
        <f t="shared" si="10"/>
        <v>203.8</v>
      </c>
      <c r="K62">
        <f t="shared" si="11"/>
        <v>36.683999999999997</v>
      </c>
      <c r="L62">
        <f t="shared" si="12"/>
        <v>124.06</v>
      </c>
      <c r="M62">
        <f t="shared" si="13"/>
        <v>156.25</v>
      </c>
    </row>
    <row r="63" spans="1:13" ht="15" customHeight="1" x14ac:dyDescent="0.3">
      <c r="A63" s="21" t="s">
        <v>253</v>
      </c>
      <c r="B63" s="22" t="s">
        <v>257</v>
      </c>
      <c r="C63" s="23"/>
      <c r="D63" s="24" t="s">
        <v>99</v>
      </c>
      <c r="E63" s="1" t="s">
        <v>43</v>
      </c>
      <c r="F63" s="20" t="s">
        <v>160</v>
      </c>
      <c r="G63">
        <f t="shared" si="7"/>
        <v>25</v>
      </c>
      <c r="H63">
        <f t="shared" si="8"/>
        <v>50</v>
      </c>
      <c r="I63">
        <f t="shared" si="9"/>
        <v>25</v>
      </c>
      <c r="J63">
        <f t="shared" si="10"/>
        <v>108.7</v>
      </c>
      <c r="K63">
        <f t="shared" si="11"/>
        <v>19.565999999999999</v>
      </c>
      <c r="L63">
        <f t="shared" si="12"/>
        <v>11.81</v>
      </c>
      <c r="M63">
        <f t="shared" si="13"/>
        <v>41.67</v>
      </c>
    </row>
    <row r="64" spans="1:13" ht="18" customHeight="1" x14ac:dyDescent="0.3">
      <c r="A64" s="25" t="s">
        <v>263</v>
      </c>
      <c r="B64" s="25"/>
      <c r="C64" s="25"/>
      <c r="G64" t="str">
        <f t="shared" si="7"/>
        <v/>
      </c>
      <c r="H64" t="str">
        <f t="shared" si="8"/>
        <v/>
      </c>
      <c r="I64" t="str">
        <f t="shared" si="9"/>
        <v/>
      </c>
      <c r="J64" t="str">
        <f t="shared" si="10"/>
        <v/>
      </c>
      <c r="K64" t="str">
        <f t="shared" si="11"/>
        <v/>
      </c>
      <c r="L64" t="str">
        <f t="shared" si="12"/>
        <v/>
      </c>
      <c r="M64" t="str">
        <f t="shared" si="13"/>
        <v/>
      </c>
    </row>
    <row r="65" spans="1:13" ht="15" customHeight="1" x14ac:dyDescent="0.3">
      <c r="A65" s="16" t="s">
        <v>264</v>
      </c>
      <c r="B65" s="17" t="s">
        <v>628</v>
      </c>
      <c r="C65" s="18"/>
      <c r="D65" s="19" t="s">
        <v>99</v>
      </c>
      <c r="E65" s="1" t="s">
        <v>43</v>
      </c>
      <c r="F65" s="20" t="s">
        <v>268</v>
      </c>
      <c r="G65">
        <f t="shared" si="7"/>
        <v>15</v>
      </c>
      <c r="H65">
        <f t="shared" si="8"/>
        <v>7.5</v>
      </c>
      <c r="I65">
        <f t="shared" si="9"/>
        <v>7.5</v>
      </c>
      <c r="J65">
        <f t="shared" si="10"/>
        <v>16.3</v>
      </c>
      <c r="K65">
        <f t="shared" si="11"/>
        <v>2.9340000000000002</v>
      </c>
      <c r="L65">
        <f t="shared" si="12"/>
        <v>26.23</v>
      </c>
      <c r="M65">
        <f t="shared" si="13"/>
        <v>12.5</v>
      </c>
    </row>
    <row r="66" spans="1:13" ht="15" customHeight="1" x14ac:dyDescent="0.3">
      <c r="A66" s="21" t="s">
        <v>264</v>
      </c>
      <c r="B66" s="22" t="s">
        <v>629</v>
      </c>
      <c r="C66" s="23"/>
      <c r="D66" s="24" t="s">
        <v>99</v>
      </c>
      <c r="E66" s="1" t="s">
        <v>43</v>
      </c>
      <c r="F66" s="20" t="s">
        <v>343</v>
      </c>
      <c r="G66">
        <f t="shared" si="7"/>
        <v>275</v>
      </c>
      <c r="H66">
        <f t="shared" si="8"/>
        <v>56.25</v>
      </c>
      <c r="I66">
        <f t="shared" si="9"/>
        <v>225</v>
      </c>
      <c r="J66">
        <f t="shared" si="10"/>
        <v>122.28</v>
      </c>
      <c r="K66">
        <f t="shared" si="11"/>
        <v>22.010400000000001</v>
      </c>
      <c r="L66">
        <f t="shared" si="12"/>
        <v>549.98</v>
      </c>
      <c r="M66">
        <f t="shared" si="13"/>
        <v>375</v>
      </c>
    </row>
    <row r="67" spans="1:13" ht="18" customHeight="1" x14ac:dyDescent="0.3">
      <c r="A67" s="25" t="s">
        <v>269</v>
      </c>
      <c r="B67" s="25"/>
      <c r="C67" s="25"/>
      <c r="G67" t="str">
        <f t="shared" si="7"/>
        <v/>
      </c>
      <c r="H67" t="str">
        <f t="shared" si="8"/>
        <v/>
      </c>
      <c r="I67" t="str">
        <f t="shared" si="9"/>
        <v/>
      </c>
      <c r="J67" t="str">
        <f t="shared" si="10"/>
        <v/>
      </c>
      <c r="K67" t="str">
        <f t="shared" si="11"/>
        <v/>
      </c>
      <c r="L67" t="str">
        <f t="shared" si="12"/>
        <v/>
      </c>
      <c r="M67" t="str">
        <f t="shared" si="13"/>
        <v/>
      </c>
    </row>
    <row r="68" spans="1:13" ht="15" customHeight="1" x14ac:dyDescent="0.3">
      <c r="A68" s="16" t="s">
        <v>270</v>
      </c>
      <c r="B68" s="17" t="s">
        <v>630</v>
      </c>
      <c r="C68" s="18"/>
      <c r="D68" s="19" t="s">
        <v>99</v>
      </c>
      <c r="E68" s="1" t="s">
        <v>43</v>
      </c>
      <c r="F68" s="20" t="s">
        <v>347</v>
      </c>
      <c r="G68">
        <f t="shared" si="7"/>
        <v>25</v>
      </c>
      <c r="H68">
        <f t="shared" si="8"/>
        <v>12.5</v>
      </c>
      <c r="I68">
        <f t="shared" si="9"/>
        <v>12.5</v>
      </c>
      <c r="J68">
        <f t="shared" si="10"/>
        <v>27.17</v>
      </c>
      <c r="K68">
        <f t="shared" si="11"/>
        <v>4.8906000000000001</v>
      </c>
      <c r="L68">
        <f t="shared" si="12"/>
        <v>43.72</v>
      </c>
      <c r="M68">
        <f t="shared" si="13"/>
        <v>20.83</v>
      </c>
    </row>
    <row r="69" spans="1:13" ht="15" customHeight="1" x14ac:dyDescent="0.3">
      <c r="A69" s="21" t="s">
        <v>270</v>
      </c>
      <c r="B69" s="22" t="s">
        <v>272</v>
      </c>
      <c r="C69" s="23"/>
      <c r="D69" s="24" t="s">
        <v>99</v>
      </c>
      <c r="E69" s="1" t="s">
        <v>43</v>
      </c>
      <c r="F69" s="20" t="s">
        <v>273</v>
      </c>
      <c r="G69">
        <f t="shared" si="7"/>
        <v>112.5</v>
      </c>
      <c r="H69">
        <f t="shared" si="8"/>
        <v>112.5</v>
      </c>
      <c r="I69">
        <f t="shared" si="9"/>
        <v>93.75</v>
      </c>
      <c r="J69">
        <f t="shared" si="10"/>
        <v>244.57</v>
      </c>
      <c r="K69">
        <f t="shared" si="11"/>
        <v>44.022599999999997</v>
      </c>
      <c r="L69">
        <f t="shared" si="12"/>
        <v>148.86000000000001</v>
      </c>
      <c r="M69">
        <f t="shared" si="13"/>
        <v>156.25</v>
      </c>
    </row>
    <row r="70" spans="1:13" ht="15" customHeight="1" x14ac:dyDescent="0.3">
      <c r="A70" s="16" t="s">
        <v>270</v>
      </c>
      <c r="B70" s="17" t="s">
        <v>271</v>
      </c>
      <c r="C70" s="18"/>
      <c r="D70" s="19" t="s">
        <v>99</v>
      </c>
      <c r="E70" s="1" t="s">
        <v>43</v>
      </c>
      <c r="F70" s="20" t="s">
        <v>241</v>
      </c>
      <c r="G70">
        <f t="shared" si="7"/>
        <v>7.5</v>
      </c>
      <c r="H70">
        <f t="shared" si="8"/>
        <v>15</v>
      </c>
      <c r="I70">
        <f t="shared" si="9"/>
        <v>15</v>
      </c>
      <c r="J70">
        <f t="shared" si="10"/>
        <v>32.61</v>
      </c>
      <c r="K70">
        <f t="shared" si="11"/>
        <v>5.8697999999999997</v>
      </c>
      <c r="L70">
        <f t="shared" si="12"/>
        <v>3.54</v>
      </c>
      <c r="M70">
        <f t="shared" si="13"/>
        <v>25</v>
      </c>
    </row>
  </sheetData>
  <mergeCells count="13">
    <mergeCell ref="A1:C1"/>
    <mergeCell ref="A2:C2"/>
    <mergeCell ref="A3:C3"/>
    <mergeCell ref="A4:C4"/>
    <mergeCell ref="A7:C7"/>
    <mergeCell ref="A58:C58"/>
    <mergeCell ref="A64:C64"/>
    <mergeCell ref="A67:C67"/>
    <mergeCell ref="A13:C13"/>
    <mergeCell ref="A20:C20"/>
    <mergeCell ref="A25:C25"/>
    <mergeCell ref="A29:C29"/>
    <mergeCell ref="A42:C4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3A047"/>
  </sheetPr>
  <dimension ref="A1:M7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631</v>
      </c>
      <c r="B1" s="26"/>
      <c r="C1" s="26"/>
    </row>
    <row r="2" spans="1:13" ht="19.5" customHeight="1" x14ac:dyDescent="0.3">
      <c r="A2" s="27" t="s">
        <v>632</v>
      </c>
      <c r="B2" s="27"/>
      <c r="C2" s="27"/>
    </row>
    <row r="3" spans="1:13" ht="19.5" customHeight="1" x14ac:dyDescent="0.3">
      <c r="A3" s="27" t="s">
        <v>633</v>
      </c>
      <c r="B3" s="27"/>
      <c r="C3" s="27"/>
    </row>
    <row r="4" spans="1:13" ht="19.5" customHeight="1" x14ac:dyDescent="0.3">
      <c r="A4" s="27" t="s">
        <v>634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635</v>
      </c>
      <c r="C8" s="18"/>
      <c r="D8" s="19" t="s">
        <v>101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101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290</v>
      </c>
      <c r="C10" s="18"/>
      <c r="D10" s="19" t="s">
        <v>101</v>
      </c>
      <c r="E10" s="1" t="s">
        <v>43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636</v>
      </c>
      <c r="C11" s="23"/>
      <c r="D11" s="24" t="s">
        <v>101</v>
      </c>
      <c r="E11" s="1" t="s">
        <v>43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8" customHeight="1" x14ac:dyDescent="0.3">
      <c r="A12" s="25" t="s">
        <v>155</v>
      </c>
      <c r="B12" s="25"/>
      <c r="C12" s="25"/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5"/>
        <v/>
      </c>
      <c r="M12" t="str">
        <f t="shared" si="6"/>
        <v/>
      </c>
    </row>
    <row r="13" spans="1:13" ht="15" customHeight="1" x14ac:dyDescent="0.3">
      <c r="A13" s="16" t="s">
        <v>156</v>
      </c>
      <c r="B13" s="17" t="s">
        <v>176</v>
      </c>
      <c r="C13" s="18"/>
      <c r="D13" s="19" t="s">
        <v>101</v>
      </c>
      <c r="E13" s="1" t="s">
        <v>43</v>
      </c>
      <c r="F13" s="20" t="s">
        <v>177</v>
      </c>
      <c r="G13">
        <f t="shared" si="0"/>
        <v>25</v>
      </c>
      <c r="H13">
        <f t="shared" si="1"/>
        <v>75</v>
      </c>
      <c r="I13">
        <f t="shared" si="2"/>
        <v>50</v>
      </c>
      <c r="J13">
        <f t="shared" si="3"/>
        <v>163.04</v>
      </c>
      <c r="K13">
        <f t="shared" si="4"/>
        <v>29.347199999999997</v>
      </c>
      <c r="L13">
        <f t="shared" si="5"/>
        <v>-9.4499999999999993</v>
      </c>
      <c r="M13">
        <f t="shared" si="6"/>
        <v>83.33</v>
      </c>
    </row>
    <row r="14" spans="1:13" ht="15" customHeight="1" x14ac:dyDescent="0.3">
      <c r="A14" s="21" t="s">
        <v>156</v>
      </c>
      <c r="B14" s="22" t="s">
        <v>165</v>
      </c>
      <c r="C14" s="23"/>
      <c r="D14" s="24" t="s">
        <v>101</v>
      </c>
      <c r="E14" s="1" t="s">
        <v>43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327</v>
      </c>
      <c r="C15" s="18"/>
      <c r="D15" s="19" t="s">
        <v>101</v>
      </c>
      <c r="E15" s="1" t="s">
        <v>43</v>
      </c>
      <c r="F15" s="20" t="s">
        <v>328</v>
      </c>
      <c r="G15">
        <f t="shared" si="0"/>
        <v>150</v>
      </c>
      <c r="H15">
        <f t="shared" si="1"/>
        <v>100</v>
      </c>
      <c r="I15">
        <f t="shared" si="2"/>
        <v>87.5</v>
      </c>
      <c r="J15">
        <f t="shared" si="3"/>
        <v>217.39</v>
      </c>
      <c r="K15">
        <f t="shared" si="4"/>
        <v>39.130199999999995</v>
      </c>
      <c r="L15">
        <f t="shared" si="5"/>
        <v>241.02</v>
      </c>
      <c r="M15">
        <f t="shared" si="6"/>
        <v>145.83000000000001</v>
      </c>
    </row>
    <row r="16" spans="1:13" ht="15" customHeight="1" x14ac:dyDescent="0.3">
      <c r="A16" s="21" t="s">
        <v>156</v>
      </c>
      <c r="B16" s="22" t="s">
        <v>163</v>
      </c>
      <c r="C16" s="23"/>
      <c r="D16" s="24" t="s">
        <v>101</v>
      </c>
      <c r="E16" s="1" t="s">
        <v>43</v>
      </c>
      <c r="F16" s="20" t="s">
        <v>164</v>
      </c>
      <c r="G16">
        <f t="shared" si="0"/>
        <v>12.5</v>
      </c>
      <c r="H16">
        <f t="shared" si="1"/>
        <v>25</v>
      </c>
      <c r="I16">
        <f t="shared" si="2"/>
        <v>12.5</v>
      </c>
      <c r="J16">
        <f t="shared" si="3"/>
        <v>54.35</v>
      </c>
      <c r="K16">
        <f t="shared" si="4"/>
        <v>9.7829999999999995</v>
      </c>
      <c r="L16">
        <f t="shared" si="5"/>
        <v>5.91</v>
      </c>
      <c r="M16">
        <f t="shared" si="6"/>
        <v>20.83</v>
      </c>
    </row>
    <row r="17" spans="1:13" ht="15" customHeight="1" x14ac:dyDescent="0.3">
      <c r="A17" s="16" t="s">
        <v>156</v>
      </c>
      <c r="B17" s="17" t="s">
        <v>501</v>
      </c>
      <c r="C17" s="18"/>
      <c r="D17" s="19" t="s">
        <v>101</v>
      </c>
      <c r="E17" s="1" t="s">
        <v>43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8" customHeight="1" x14ac:dyDescent="0.3">
      <c r="A18" s="25" t="s">
        <v>167</v>
      </c>
      <c r="B18" s="25"/>
      <c r="C18" s="25"/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5"/>
        <v/>
      </c>
      <c r="M18" t="str">
        <f t="shared" si="6"/>
        <v/>
      </c>
    </row>
    <row r="19" spans="1:13" ht="15" customHeight="1" x14ac:dyDescent="0.3">
      <c r="A19" s="21" t="s">
        <v>168</v>
      </c>
      <c r="B19" s="22" t="s">
        <v>175</v>
      </c>
      <c r="C19" s="23"/>
      <c r="D19" s="24" t="s">
        <v>101</v>
      </c>
      <c r="E19" s="1" t="s">
        <v>43</v>
      </c>
      <c r="F19" s="20" t="s">
        <v>147</v>
      </c>
      <c r="G19">
        <f t="shared" si="0"/>
        <v>100</v>
      </c>
      <c r="H19">
        <f t="shared" si="1"/>
        <v>50</v>
      </c>
      <c r="I19">
        <f t="shared" si="2"/>
        <v>50</v>
      </c>
      <c r="J19">
        <f t="shared" si="3"/>
        <v>108.7</v>
      </c>
      <c r="K19">
        <f t="shared" si="4"/>
        <v>19.565999999999999</v>
      </c>
      <c r="L19">
        <f t="shared" si="5"/>
        <v>174.86</v>
      </c>
      <c r="M19">
        <f t="shared" si="6"/>
        <v>83.33</v>
      </c>
    </row>
    <row r="20" spans="1:13" ht="15" customHeight="1" x14ac:dyDescent="0.3">
      <c r="A20" s="16" t="s">
        <v>168</v>
      </c>
      <c r="B20" s="17" t="s">
        <v>294</v>
      </c>
      <c r="C20" s="18"/>
      <c r="D20" s="19" t="s">
        <v>101</v>
      </c>
      <c r="E20" s="1" t="s">
        <v>43</v>
      </c>
      <c r="F20" s="20" t="s">
        <v>149</v>
      </c>
      <c r="G20">
        <f t="shared" si="0"/>
        <v>50</v>
      </c>
      <c r="H20">
        <f t="shared" si="1"/>
        <v>25</v>
      </c>
      <c r="I20">
        <f t="shared" si="2"/>
        <v>25</v>
      </c>
      <c r="J20">
        <f t="shared" si="3"/>
        <v>54.35</v>
      </c>
      <c r="K20">
        <f t="shared" si="4"/>
        <v>9.7829999999999995</v>
      </c>
      <c r="L20">
        <f t="shared" si="5"/>
        <v>87.43</v>
      </c>
      <c r="M20">
        <f t="shared" si="6"/>
        <v>41.67</v>
      </c>
    </row>
    <row r="21" spans="1:13" ht="15" customHeight="1" x14ac:dyDescent="0.3">
      <c r="A21" s="21" t="s">
        <v>168</v>
      </c>
      <c r="B21" s="22" t="s">
        <v>295</v>
      </c>
      <c r="C21" s="23"/>
      <c r="D21" s="24" t="s">
        <v>101</v>
      </c>
      <c r="E21" s="1" t="s">
        <v>43</v>
      </c>
      <c r="F21" s="20" t="s">
        <v>149</v>
      </c>
      <c r="G21">
        <f t="shared" si="0"/>
        <v>50</v>
      </c>
      <c r="H21">
        <f t="shared" si="1"/>
        <v>25</v>
      </c>
      <c r="I21">
        <f t="shared" si="2"/>
        <v>25</v>
      </c>
      <c r="J21">
        <f t="shared" si="3"/>
        <v>54.35</v>
      </c>
      <c r="K21">
        <f t="shared" si="4"/>
        <v>9.7829999999999995</v>
      </c>
      <c r="L21">
        <f t="shared" si="5"/>
        <v>87.43</v>
      </c>
      <c r="M21">
        <f t="shared" si="6"/>
        <v>41.67</v>
      </c>
    </row>
    <row r="22" spans="1:13" ht="15" customHeight="1" x14ac:dyDescent="0.3">
      <c r="A22" s="16" t="s">
        <v>168</v>
      </c>
      <c r="B22" s="17" t="s">
        <v>176</v>
      </c>
      <c r="C22" s="18"/>
      <c r="D22" s="19" t="s">
        <v>101</v>
      </c>
      <c r="E22" s="1" t="s">
        <v>43</v>
      </c>
      <c r="F22" s="20" t="s">
        <v>177</v>
      </c>
      <c r="G22">
        <f t="shared" si="0"/>
        <v>25</v>
      </c>
      <c r="H22">
        <f t="shared" si="1"/>
        <v>75</v>
      </c>
      <c r="I22">
        <f t="shared" si="2"/>
        <v>50</v>
      </c>
      <c r="J22">
        <f t="shared" si="3"/>
        <v>163.04</v>
      </c>
      <c r="K22">
        <f t="shared" si="4"/>
        <v>29.347199999999997</v>
      </c>
      <c r="L22">
        <f t="shared" si="5"/>
        <v>-9.4499999999999993</v>
      </c>
      <c r="M22">
        <f t="shared" si="6"/>
        <v>83.33</v>
      </c>
    </row>
    <row r="23" spans="1:13" ht="18" customHeight="1" x14ac:dyDescent="0.3">
      <c r="A23" s="25" t="s">
        <v>180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21" t="s">
        <v>181</v>
      </c>
      <c r="B24" s="22" t="s">
        <v>637</v>
      </c>
      <c r="C24" s="23"/>
      <c r="D24" s="24" t="s">
        <v>101</v>
      </c>
      <c r="E24" s="1" t="s">
        <v>43</v>
      </c>
      <c r="F24" s="20" t="s">
        <v>324</v>
      </c>
      <c r="G24">
        <f t="shared" si="0"/>
        <v>93.75</v>
      </c>
      <c r="H24">
        <f t="shared" si="1"/>
        <v>62.5</v>
      </c>
      <c r="I24">
        <f t="shared" si="2"/>
        <v>62.5</v>
      </c>
      <c r="J24">
        <f t="shared" si="3"/>
        <v>135.87</v>
      </c>
      <c r="K24">
        <f t="shared" si="4"/>
        <v>24.456600000000002</v>
      </c>
      <c r="L24">
        <f t="shared" si="5"/>
        <v>150.63999999999999</v>
      </c>
      <c r="M24">
        <f t="shared" si="6"/>
        <v>104.17</v>
      </c>
    </row>
    <row r="25" spans="1:13" ht="15" customHeight="1" x14ac:dyDescent="0.3">
      <c r="A25" s="16" t="s">
        <v>181</v>
      </c>
      <c r="B25" s="17" t="s">
        <v>255</v>
      </c>
      <c r="C25" s="18"/>
      <c r="D25" s="19" t="s">
        <v>101</v>
      </c>
      <c r="E25" s="1" t="s">
        <v>43</v>
      </c>
      <c r="F25" s="20" t="s">
        <v>256</v>
      </c>
      <c r="G25">
        <f t="shared" si="0"/>
        <v>31.25</v>
      </c>
      <c r="H25">
        <f t="shared" si="1"/>
        <v>75</v>
      </c>
      <c r="I25">
        <f t="shared" si="2"/>
        <v>22.5</v>
      </c>
      <c r="J25">
        <f t="shared" si="3"/>
        <v>163.04</v>
      </c>
      <c r="K25">
        <f t="shared" si="4"/>
        <v>29.347199999999997</v>
      </c>
      <c r="L25">
        <f t="shared" si="5"/>
        <v>4.1399999999999997</v>
      </c>
      <c r="M25">
        <f t="shared" si="6"/>
        <v>37.5</v>
      </c>
    </row>
    <row r="26" spans="1:13" ht="15" customHeight="1" x14ac:dyDescent="0.3">
      <c r="A26" s="21" t="s">
        <v>181</v>
      </c>
      <c r="B26" s="22" t="s">
        <v>265</v>
      </c>
      <c r="C26" s="23"/>
      <c r="D26" s="24" t="s">
        <v>101</v>
      </c>
      <c r="E26" s="1" t="s">
        <v>43</v>
      </c>
      <c r="F26" s="20" t="s">
        <v>266</v>
      </c>
      <c r="G26">
        <f t="shared" si="0"/>
        <v>125</v>
      </c>
      <c r="H26">
        <f t="shared" si="1"/>
        <v>50</v>
      </c>
      <c r="I26">
        <f t="shared" si="2"/>
        <v>187.5</v>
      </c>
      <c r="J26">
        <f t="shared" si="3"/>
        <v>108.7</v>
      </c>
      <c r="K26">
        <f t="shared" si="4"/>
        <v>19.565999999999999</v>
      </c>
      <c r="L26">
        <f t="shared" si="5"/>
        <v>229.2</v>
      </c>
      <c r="M26">
        <f t="shared" si="6"/>
        <v>312.5</v>
      </c>
    </row>
    <row r="27" spans="1:13" ht="15" customHeight="1" x14ac:dyDescent="0.3">
      <c r="A27" s="16" t="s">
        <v>181</v>
      </c>
      <c r="B27" s="17" t="s">
        <v>296</v>
      </c>
      <c r="C27" s="18"/>
      <c r="D27" s="19" t="s">
        <v>101</v>
      </c>
      <c r="E27" s="1" t="s">
        <v>43</v>
      </c>
      <c r="F27" s="20" t="s">
        <v>268</v>
      </c>
      <c r="G27">
        <f t="shared" si="0"/>
        <v>15</v>
      </c>
      <c r="H27">
        <f t="shared" si="1"/>
        <v>7.5</v>
      </c>
      <c r="I27">
        <f t="shared" si="2"/>
        <v>7.5</v>
      </c>
      <c r="J27">
        <f t="shared" si="3"/>
        <v>16.3</v>
      </c>
      <c r="K27">
        <f t="shared" si="4"/>
        <v>2.9340000000000002</v>
      </c>
      <c r="L27">
        <f t="shared" si="5"/>
        <v>26.23</v>
      </c>
      <c r="M27">
        <f t="shared" si="6"/>
        <v>12.5</v>
      </c>
    </row>
    <row r="28" spans="1:13" ht="15" customHeight="1" x14ac:dyDescent="0.3">
      <c r="A28" s="21" t="s">
        <v>181</v>
      </c>
      <c r="B28" s="22" t="s">
        <v>342</v>
      </c>
      <c r="C28" s="23"/>
      <c r="D28" s="24" t="s">
        <v>101</v>
      </c>
      <c r="E28" s="1" t="s">
        <v>43</v>
      </c>
      <c r="F28" s="20" t="s">
        <v>343</v>
      </c>
      <c r="G28">
        <f t="shared" si="0"/>
        <v>275</v>
      </c>
      <c r="H28">
        <f t="shared" si="1"/>
        <v>56.25</v>
      </c>
      <c r="I28">
        <f t="shared" si="2"/>
        <v>225</v>
      </c>
      <c r="J28">
        <f t="shared" si="3"/>
        <v>122.28</v>
      </c>
      <c r="K28">
        <f t="shared" si="4"/>
        <v>22.010400000000001</v>
      </c>
      <c r="L28">
        <f t="shared" si="5"/>
        <v>549.98</v>
      </c>
      <c r="M28">
        <f t="shared" si="6"/>
        <v>375</v>
      </c>
    </row>
    <row r="29" spans="1:13" ht="18" customHeight="1" x14ac:dyDescent="0.3">
      <c r="A29" s="25" t="s">
        <v>187</v>
      </c>
      <c r="B29" s="25"/>
      <c r="C29" s="25"/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5"/>
        <v/>
      </c>
      <c r="M29" t="str">
        <f t="shared" si="6"/>
        <v/>
      </c>
    </row>
    <row r="30" spans="1:13" ht="15" customHeight="1" x14ac:dyDescent="0.3">
      <c r="A30" s="16" t="s">
        <v>188</v>
      </c>
      <c r="B30" s="17" t="s">
        <v>638</v>
      </c>
      <c r="C30" s="18"/>
      <c r="D30" s="19" t="s">
        <v>101</v>
      </c>
      <c r="E30" s="1" t="s">
        <v>43</v>
      </c>
      <c r="F30" s="20" t="s">
        <v>300</v>
      </c>
      <c r="G30">
        <f t="shared" si="0"/>
        <v>750</v>
      </c>
      <c r="H30">
        <f t="shared" si="1"/>
        <v>250</v>
      </c>
      <c r="I30">
        <f t="shared" si="2"/>
        <v>500</v>
      </c>
      <c r="J30">
        <f t="shared" si="3"/>
        <v>543.48</v>
      </c>
      <c r="K30">
        <f t="shared" si="4"/>
        <v>97.826400000000007</v>
      </c>
      <c r="L30">
        <f t="shared" si="5"/>
        <v>1417.77</v>
      </c>
      <c r="M30">
        <f t="shared" si="6"/>
        <v>833.33</v>
      </c>
    </row>
    <row r="31" spans="1:13" ht="15" customHeight="1" x14ac:dyDescent="0.3">
      <c r="A31" s="21" t="s">
        <v>188</v>
      </c>
      <c r="B31" s="22" t="s">
        <v>305</v>
      </c>
      <c r="C31" s="23"/>
      <c r="D31" s="24" t="s">
        <v>101</v>
      </c>
      <c r="E31" s="1" t="s">
        <v>43</v>
      </c>
      <c r="F31" s="20" t="s">
        <v>306</v>
      </c>
      <c r="G31">
        <f t="shared" si="0"/>
        <v>20</v>
      </c>
      <c r="H31">
        <f t="shared" si="1"/>
        <v>5</v>
      </c>
      <c r="I31">
        <f t="shared" si="2"/>
        <v>15</v>
      </c>
      <c r="J31">
        <f t="shared" si="3"/>
        <v>10.87</v>
      </c>
      <c r="K31">
        <f t="shared" si="4"/>
        <v>1.9565999999999999</v>
      </c>
      <c r="L31">
        <f t="shared" si="5"/>
        <v>39.22</v>
      </c>
      <c r="M31">
        <f t="shared" si="6"/>
        <v>25</v>
      </c>
    </row>
    <row r="32" spans="1:13" ht="15" customHeight="1" x14ac:dyDescent="0.3">
      <c r="A32" s="16" t="s">
        <v>188</v>
      </c>
      <c r="B32" s="17" t="s">
        <v>191</v>
      </c>
      <c r="C32" s="18"/>
      <c r="D32" s="19" t="s">
        <v>101</v>
      </c>
      <c r="E32" s="1" t="s">
        <v>43</v>
      </c>
      <c r="F32" s="20" t="s">
        <v>192</v>
      </c>
      <c r="G32">
        <f t="shared" si="0"/>
        <v>137.5</v>
      </c>
      <c r="H32">
        <f t="shared" si="1"/>
        <v>43.75</v>
      </c>
      <c r="I32">
        <f t="shared" si="2"/>
        <v>412.5</v>
      </c>
      <c r="J32">
        <f t="shared" si="3"/>
        <v>95.11</v>
      </c>
      <c r="K32">
        <f t="shared" si="4"/>
        <v>17.119799999999998</v>
      </c>
      <c r="L32">
        <f t="shared" si="5"/>
        <v>261.7</v>
      </c>
      <c r="M32">
        <f t="shared" si="6"/>
        <v>687.5</v>
      </c>
    </row>
    <row r="33" spans="1:13" ht="15" customHeight="1" x14ac:dyDescent="0.3">
      <c r="A33" s="21" t="s">
        <v>188</v>
      </c>
      <c r="B33" s="22" t="s">
        <v>214</v>
      </c>
      <c r="C33" s="23"/>
      <c r="D33" s="24" t="s">
        <v>101</v>
      </c>
      <c r="E33" s="1" t="s">
        <v>43</v>
      </c>
      <c r="F33" s="20" t="s">
        <v>215</v>
      </c>
      <c r="G33">
        <f t="shared" si="0"/>
        <v>93.75</v>
      </c>
      <c r="H33">
        <f t="shared" si="1"/>
        <v>50</v>
      </c>
      <c r="I33">
        <f t="shared" si="2"/>
        <v>62.5</v>
      </c>
      <c r="J33">
        <f t="shared" si="3"/>
        <v>108.7</v>
      </c>
      <c r="K33">
        <f t="shared" si="4"/>
        <v>19.565999999999999</v>
      </c>
      <c r="L33">
        <f t="shared" si="5"/>
        <v>161.27000000000001</v>
      </c>
      <c r="M33">
        <f t="shared" si="6"/>
        <v>104.17</v>
      </c>
    </row>
    <row r="34" spans="1:13" ht="15" customHeight="1" x14ac:dyDescent="0.3">
      <c r="A34" s="16" t="s">
        <v>188</v>
      </c>
      <c r="B34" s="17" t="s">
        <v>195</v>
      </c>
      <c r="C34" s="18"/>
      <c r="D34" s="19" t="s">
        <v>101</v>
      </c>
      <c r="E34" s="1" t="s">
        <v>43</v>
      </c>
      <c r="F34" s="20" t="s">
        <v>194</v>
      </c>
      <c r="G34">
        <f t="shared" si="0"/>
        <v>125</v>
      </c>
      <c r="H34">
        <f t="shared" si="1"/>
        <v>125</v>
      </c>
      <c r="I34">
        <f t="shared" si="2"/>
        <v>125</v>
      </c>
      <c r="J34">
        <f t="shared" si="3"/>
        <v>271.74</v>
      </c>
      <c r="K34">
        <f t="shared" si="4"/>
        <v>48.913200000000003</v>
      </c>
      <c r="L34">
        <f t="shared" si="5"/>
        <v>165.41</v>
      </c>
      <c r="M34">
        <f t="shared" si="6"/>
        <v>208.33</v>
      </c>
    </row>
    <row r="35" spans="1:13" ht="15" customHeight="1" x14ac:dyDescent="0.3">
      <c r="A35" s="21" t="s">
        <v>188</v>
      </c>
      <c r="B35" s="22" t="s">
        <v>193</v>
      </c>
      <c r="C35" s="23"/>
      <c r="D35" s="24" t="s">
        <v>101</v>
      </c>
      <c r="E35" s="1" t="s">
        <v>43</v>
      </c>
      <c r="F35" s="20" t="s">
        <v>194</v>
      </c>
      <c r="G35">
        <f t="shared" si="0"/>
        <v>125</v>
      </c>
      <c r="H35">
        <f t="shared" si="1"/>
        <v>125</v>
      </c>
      <c r="I35">
        <f t="shared" si="2"/>
        <v>125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208.33</v>
      </c>
    </row>
    <row r="36" spans="1:13" ht="15" customHeight="1" x14ac:dyDescent="0.3">
      <c r="A36" s="16" t="s">
        <v>188</v>
      </c>
      <c r="B36" s="17" t="s">
        <v>624</v>
      </c>
      <c r="C36" s="18"/>
      <c r="D36" s="19" t="s">
        <v>101</v>
      </c>
      <c r="E36" s="1" t="s">
        <v>43</v>
      </c>
      <c r="F36" s="20" t="s">
        <v>363</v>
      </c>
      <c r="G36">
        <f t="shared" si="0"/>
        <v>500</v>
      </c>
      <c r="H36">
        <f t="shared" si="1"/>
        <v>250</v>
      </c>
      <c r="I36">
        <f t="shared" si="2"/>
        <v>375</v>
      </c>
      <c r="J36">
        <f t="shared" si="3"/>
        <v>543.48</v>
      </c>
      <c r="K36">
        <f t="shared" si="4"/>
        <v>97.826400000000007</v>
      </c>
      <c r="L36">
        <f t="shared" si="5"/>
        <v>874.29</v>
      </c>
      <c r="M36">
        <f t="shared" si="6"/>
        <v>625</v>
      </c>
    </row>
    <row r="37" spans="1:13" ht="15" customHeight="1" x14ac:dyDescent="0.3">
      <c r="A37" s="21" t="s">
        <v>188</v>
      </c>
      <c r="B37" s="22" t="s">
        <v>307</v>
      </c>
      <c r="C37" s="23"/>
      <c r="D37" s="24" t="s">
        <v>101</v>
      </c>
      <c r="E37" s="1" t="s">
        <v>43</v>
      </c>
      <c r="F37" s="20" t="s">
        <v>302</v>
      </c>
      <c r="G37">
        <f t="shared" si="0"/>
        <v>625</v>
      </c>
      <c r="H37">
        <f t="shared" si="1"/>
        <v>1250</v>
      </c>
      <c r="I37">
        <f t="shared" si="2"/>
        <v>1250</v>
      </c>
      <c r="J37">
        <f t="shared" si="3"/>
        <v>2717.39</v>
      </c>
      <c r="K37">
        <f t="shared" si="4"/>
        <v>489.13019999999995</v>
      </c>
      <c r="L37">
        <f t="shared" si="5"/>
        <v>295.37</v>
      </c>
      <c r="M37">
        <f t="shared" si="6"/>
        <v>2083.33</v>
      </c>
    </row>
    <row r="38" spans="1:13" ht="15" customHeight="1" x14ac:dyDescent="0.3">
      <c r="A38" s="16" t="s">
        <v>188</v>
      </c>
      <c r="B38" s="17" t="s">
        <v>309</v>
      </c>
      <c r="C38" s="18"/>
      <c r="D38" s="19" t="s">
        <v>101</v>
      </c>
      <c r="E38" s="1" t="s">
        <v>43</v>
      </c>
      <c r="F38" s="20" t="s">
        <v>302</v>
      </c>
      <c r="G38">
        <f t="shared" si="0"/>
        <v>625</v>
      </c>
      <c r="H38">
        <f t="shared" si="1"/>
        <v>1250</v>
      </c>
      <c r="I38">
        <f t="shared" si="2"/>
        <v>1250</v>
      </c>
      <c r="J38">
        <f t="shared" si="3"/>
        <v>2717.39</v>
      </c>
      <c r="K38">
        <f t="shared" si="4"/>
        <v>489.13019999999995</v>
      </c>
      <c r="L38">
        <f t="shared" si="5"/>
        <v>295.37</v>
      </c>
      <c r="M38">
        <f t="shared" si="6"/>
        <v>2083.33</v>
      </c>
    </row>
    <row r="39" spans="1:13" ht="15" customHeight="1" x14ac:dyDescent="0.3">
      <c r="A39" s="21" t="s">
        <v>188</v>
      </c>
      <c r="B39" s="22" t="s">
        <v>313</v>
      </c>
      <c r="C39" s="23"/>
      <c r="D39" s="24" t="s">
        <v>101</v>
      </c>
      <c r="E39" s="1" t="s">
        <v>43</v>
      </c>
      <c r="F39" s="20" t="s">
        <v>217</v>
      </c>
      <c r="G39">
        <f t="shared" ref="G39:G73" si="7">IF($F39="","",IFERROR(VALUE(TRIM(LEFT($F39,FIND(":",$F39)-1)))*1.25,"N/A"))</f>
        <v>2.5</v>
      </c>
      <c r="H39">
        <f t="shared" ref="H39:H73" si="8">IF($F39="","",IFERROR(VALUE(TRIM(MID($F39,FIND(":",$F39)+1,FIND(":",$F39,FIND(":",$F39)+1)-FIND(":",$F39)-1)))*1.25,"N/A"))</f>
        <v>1.25</v>
      </c>
      <c r="I39">
        <f t="shared" ref="I39:I73" si="9">IF($F39="","",IFERROR(VALUE(TRIM(LEFT(MID($F39,FIND(":",$F39,FIND(":",$F39)+1)+1,LEN($F39)),FIND(" ",MID($F39,FIND(":",$F39,FIND(":",$F39)+1)+1,LEN($F39))&amp;" ")-1)))*1.25,"N/A"))</f>
        <v>2.5</v>
      </c>
      <c r="J39">
        <f t="shared" ref="J39:J73" si="10">IF(OR($F39="",$H39="N/A"),IF($F39="","","N/A"),ROUND($H39/0.46,2))</f>
        <v>2.72</v>
      </c>
      <c r="K39">
        <f t="shared" ref="K39:K73" si="11">IF(OR($F39="",$J39="N/A"),IF($F39="","","N/A"),$J39*0.18)</f>
        <v>0.48960000000000004</v>
      </c>
      <c r="L39">
        <f t="shared" ref="L39:L73" si="12">IF(OR($F39="",$G39="N/A",$K39="N/A"),IF($F39="","","N/A"),ROUND(($G39-$K39)/0.46,2))</f>
        <v>4.37</v>
      </c>
      <c r="M39">
        <f t="shared" ref="M39:M73" si="13">IF(OR($F39="",$I39="N/A"),IF($F39="","","N/A"),ROUND($I39/0.6,2))</f>
        <v>4.17</v>
      </c>
    </row>
    <row r="40" spans="1:13" ht="15" customHeight="1" x14ac:dyDescent="0.3">
      <c r="A40" s="16" t="s">
        <v>188</v>
      </c>
      <c r="B40" s="17" t="s">
        <v>314</v>
      </c>
      <c r="C40" s="18"/>
      <c r="D40" s="19" t="s">
        <v>101</v>
      </c>
      <c r="E40" s="1" t="s">
        <v>43</v>
      </c>
      <c r="F40" s="20" t="s">
        <v>315</v>
      </c>
      <c r="G40">
        <f t="shared" si="7"/>
        <v>25</v>
      </c>
      <c r="H40">
        <f t="shared" si="8"/>
        <v>25</v>
      </c>
      <c r="I40">
        <f t="shared" si="9"/>
        <v>18.75</v>
      </c>
      <c r="J40">
        <f t="shared" si="10"/>
        <v>54.35</v>
      </c>
      <c r="K40">
        <f t="shared" si="11"/>
        <v>9.7829999999999995</v>
      </c>
      <c r="L40">
        <f t="shared" si="12"/>
        <v>33.08</v>
      </c>
      <c r="M40">
        <f t="shared" si="13"/>
        <v>31.25</v>
      </c>
    </row>
    <row r="41" spans="1:13" ht="15" customHeight="1" x14ac:dyDescent="0.3">
      <c r="A41" s="21" t="s">
        <v>188</v>
      </c>
      <c r="B41" s="22" t="s">
        <v>303</v>
      </c>
      <c r="C41" s="23"/>
      <c r="D41" s="24" t="s">
        <v>101</v>
      </c>
      <c r="E41" s="1" t="s">
        <v>43</v>
      </c>
      <c r="F41" s="20" t="s">
        <v>304</v>
      </c>
      <c r="G41">
        <f t="shared" si="7"/>
        <v>1093.75</v>
      </c>
      <c r="H41">
        <f t="shared" si="8"/>
        <v>687.5</v>
      </c>
      <c r="I41">
        <f t="shared" si="9"/>
        <v>1062.5</v>
      </c>
      <c r="J41">
        <f t="shared" si="10"/>
        <v>1494.57</v>
      </c>
      <c r="K41">
        <f t="shared" si="11"/>
        <v>269.02259999999995</v>
      </c>
      <c r="L41">
        <f t="shared" si="12"/>
        <v>1792.89</v>
      </c>
      <c r="M41">
        <f t="shared" si="13"/>
        <v>1770.83</v>
      </c>
    </row>
    <row r="42" spans="1:13" ht="15" customHeight="1" x14ac:dyDescent="0.3">
      <c r="A42" s="16" t="s">
        <v>188</v>
      </c>
      <c r="B42" s="17" t="s">
        <v>316</v>
      </c>
      <c r="C42" s="18"/>
      <c r="D42" s="19" t="s">
        <v>101</v>
      </c>
      <c r="E42" s="1" t="s">
        <v>43</v>
      </c>
      <c r="F42" s="20" t="s">
        <v>317</v>
      </c>
      <c r="G42">
        <f t="shared" si="7"/>
        <v>500</v>
      </c>
      <c r="H42">
        <f t="shared" si="8"/>
        <v>375</v>
      </c>
      <c r="I42">
        <f t="shared" si="9"/>
        <v>812.5</v>
      </c>
      <c r="J42">
        <f t="shared" si="10"/>
        <v>815.22</v>
      </c>
      <c r="K42">
        <f t="shared" si="11"/>
        <v>146.7396</v>
      </c>
      <c r="L42">
        <f t="shared" si="12"/>
        <v>767.96</v>
      </c>
      <c r="M42">
        <f t="shared" si="13"/>
        <v>1354.17</v>
      </c>
    </row>
    <row r="43" spans="1:13" ht="18" customHeight="1" x14ac:dyDescent="0.3">
      <c r="A43" s="25" t="s">
        <v>220</v>
      </c>
      <c r="B43" s="25"/>
      <c r="C43" s="25"/>
      <c r="G43" t="str">
        <f t="shared" si="7"/>
        <v/>
      </c>
      <c r="H43" t="str">
        <f t="shared" si="8"/>
        <v/>
      </c>
      <c r="I43" t="str">
        <f t="shared" si="9"/>
        <v/>
      </c>
      <c r="J43" t="str">
        <f t="shared" si="10"/>
        <v/>
      </c>
      <c r="K43" t="str">
        <f t="shared" si="11"/>
        <v/>
      </c>
      <c r="L43" t="str">
        <f t="shared" si="12"/>
        <v/>
      </c>
      <c r="M43" t="str">
        <f t="shared" si="13"/>
        <v/>
      </c>
    </row>
    <row r="44" spans="1:13" ht="15" customHeight="1" x14ac:dyDescent="0.3">
      <c r="A44" s="21" t="s">
        <v>221</v>
      </c>
      <c r="B44" s="22" t="s">
        <v>321</v>
      </c>
      <c r="C44" s="23"/>
      <c r="D44" s="24" t="s">
        <v>101</v>
      </c>
      <c r="E44" s="1" t="s">
        <v>43</v>
      </c>
      <c r="F44" s="20" t="s">
        <v>322</v>
      </c>
      <c r="G44">
        <f t="shared" si="7"/>
        <v>150</v>
      </c>
      <c r="H44">
        <f t="shared" si="8"/>
        <v>300</v>
      </c>
      <c r="I44">
        <f t="shared" si="9"/>
        <v>150</v>
      </c>
      <c r="J44">
        <f t="shared" si="10"/>
        <v>652.16999999999996</v>
      </c>
      <c r="K44">
        <f t="shared" si="11"/>
        <v>117.39059999999999</v>
      </c>
      <c r="L44">
        <f t="shared" si="12"/>
        <v>70.89</v>
      </c>
      <c r="M44">
        <f t="shared" si="13"/>
        <v>250</v>
      </c>
    </row>
    <row r="45" spans="1:13" ht="15" customHeight="1" x14ac:dyDescent="0.3">
      <c r="A45" s="16" t="s">
        <v>221</v>
      </c>
      <c r="B45" s="17" t="s">
        <v>222</v>
      </c>
      <c r="C45" s="18"/>
      <c r="D45" s="19" t="s">
        <v>101</v>
      </c>
      <c r="E45" s="1" t="s">
        <v>43</v>
      </c>
      <c r="F45" s="20" t="s">
        <v>223</v>
      </c>
      <c r="G45">
        <f t="shared" si="7"/>
        <v>187.5</v>
      </c>
      <c r="H45">
        <f t="shared" si="8"/>
        <v>125</v>
      </c>
      <c r="I45">
        <f t="shared" si="9"/>
        <v>62.5</v>
      </c>
      <c r="J45">
        <f t="shared" si="10"/>
        <v>271.74</v>
      </c>
      <c r="K45">
        <f t="shared" si="11"/>
        <v>48.913200000000003</v>
      </c>
      <c r="L45">
        <f t="shared" si="12"/>
        <v>301.27999999999997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325</v>
      </c>
      <c r="C46" s="23"/>
      <c r="D46" s="24" t="s">
        <v>101</v>
      </c>
      <c r="E46" s="1" t="s">
        <v>43</v>
      </c>
      <c r="F46" s="20" t="s">
        <v>225</v>
      </c>
      <c r="G46">
        <f t="shared" si="7"/>
        <v>125</v>
      </c>
      <c r="H46">
        <f t="shared" si="8"/>
        <v>62.5</v>
      </c>
      <c r="I46">
        <f t="shared" si="9"/>
        <v>37.5</v>
      </c>
      <c r="J46">
        <f t="shared" si="10"/>
        <v>135.87</v>
      </c>
      <c r="K46">
        <f t="shared" si="11"/>
        <v>24.456600000000002</v>
      </c>
      <c r="L46">
        <f t="shared" si="12"/>
        <v>218.57</v>
      </c>
      <c r="M46">
        <f t="shared" si="13"/>
        <v>62.5</v>
      </c>
    </row>
    <row r="47" spans="1:13" ht="15" customHeight="1" x14ac:dyDescent="0.3">
      <c r="A47" s="16" t="s">
        <v>221</v>
      </c>
      <c r="B47" s="17" t="s">
        <v>228</v>
      </c>
      <c r="C47" s="18"/>
      <c r="D47" s="19" t="s">
        <v>101</v>
      </c>
      <c r="E47" s="1" t="s">
        <v>43</v>
      </c>
      <c r="F47" s="20" t="s">
        <v>229</v>
      </c>
      <c r="G47">
        <f t="shared" si="7"/>
        <v>150</v>
      </c>
      <c r="H47">
        <f t="shared" si="8"/>
        <v>75</v>
      </c>
      <c r="I47">
        <f t="shared" si="9"/>
        <v>37.5</v>
      </c>
      <c r="J47">
        <f t="shared" si="10"/>
        <v>163.04</v>
      </c>
      <c r="K47">
        <f t="shared" si="11"/>
        <v>29.347199999999997</v>
      </c>
      <c r="L47">
        <f t="shared" si="12"/>
        <v>262.29000000000002</v>
      </c>
      <c r="M47">
        <f t="shared" si="13"/>
        <v>62.5</v>
      </c>
    </row>
    <row r="48" spans="1:13" ht="15" customHeight="1" x14ac:dyDescent="0.3">
      <c r="A48" s="21" t="s">
        <v>221</v>
      </c>
      <c r="B48" s="22" t="s">
        <v>232</v>
      </c>
      <c r="C48" s="23"/>
      <c r="D48" s="24" t="s">
        <v>101</v>
      </c>
      <c r="E48" s="1" t="s">
        <v>43</v>
      </c>
      <c r="F48" s="20" t="s">
        <v>233</v>
      </c>
      <c r="G48">
        <f t="shared" si="7"/>
        <v>125</v>
      </c>
      <c r="H48">
        <f t="shared" si="8"/>
        <v>156.25</v>
      </c>
      <c r="I48">
        <f t="shared" si="9"/>
        <v>31.25</v>
      </c>
      <c r="J48">
        <f t="shared" si="10"/>
        <v>339.67</v>
      </c>
      <c r="K48">
        <f t="shared" si="11"/>
        <v>61.140599999999999</v>
      </c>
      <c r="L48">
        <f t="shared" si="12"/>
        <v>138.82</v>
      </c>
      <c r="M48">
        <f t="shared" si="13"/>
        <v>52.08</v>
      </c>
    </row>
    <row r="49" spans="1:13" ht="15" customHeight="1" x14ac:dyDescent="0.3">
      <c r="A49" s="16" t="s">
        <v>221</v>
      </c>
      <c r="B49" s="17" t="s">
        <v>234</v>
      </c>
      <c r="C49" s="18"/>
      <c r="D49" s="19" t="s">
        <v>101</v>
      </c>
      <c r="E49" s="1" t="s">
        <v>43</v>
      </c>
      <c r="F49" s="20" t="s">
        <v>235</v>
      </c>
      <c r="G49">
        <f t="shared" si="7"/>
        <v>125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165.41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639</v>
      </c>
      <c r="C50" s="23"/>
      <c r="D50" s="24" t="s">
        <v>101</v>
      </c>
      <c r="E50" s="1" t="s">
        <v>43</v>
      </c>
      <c r="F50" s="20" t="s">
        <v>237</v>
      </c>
      <c r="G50">
        <f t="shared" si="7"/>
        <v>62.5</v>
      </c>
      <c r="H50">
        <f t="shared" si="8"/>
        <v>62.5</v>
      </c>
      <c r="I50">
        <f t="shared" si="9"/>
        <v>62.5</v>
      </c>
      <c r="J50">
        <f t="shared" si="10"/>
        <v>135.87</v>
      </c>
      <c r="K50">
        <f t="shared" si="11"/>
        <v>24.456600000000002</v>
      </c>
      <c r="L50">
        <f t="shared" si="12"/>
        <v>82.7</v>
      </c>
      <c r="M50">
        <f t="shared" si="13"/>
        <v>104.17</v>
      </c>
    </row>
    <row r="51" spans="1:13" ht="15" customHeight="1" x14ac:dyDescent="0.3">
      <c r="A51" s="16" t="s">
        <v>221</v>
      </c>
      <c r="B51" s="17" t="s">
        <v>327</v>
      </c>
      <c r="C51" s="18"/>
      <c r="D51" s="19" t="s">
        <v>101</v>
      </c>
      <c r="E51" s="1" t="s">
        <v>43</v>
      </c>
      <c r="F51" s="20" t="s">
        <v>328</v>
      </c>
      <c r="G51">
        <f t="shared" si="7"/>
        <v>150</v>
      </c>
      <c r="H51">
        <f t="shared" si="8"/>
        <v>100</v>
      </c>
      <c r="I51">
        <f t="shared" si="9"/>
        <v>87.5</v>
      </c>
      <c r="J51">
        <f t="shared" si="10"/>
        <v>217.39</v>
      </c>
      <c r="K51">
        <f t="shared" si="11"/>
        <v>39.130199999999995</v>
      </c>
      <c r="L51">
        <f t="shared" si="12"/>
        <v>241.02</v>
      </c>
      <c r="M51">
        <f t="shared" si="13"/>
        <v>145.83000000000001</v>
      </c>
    </row>
    <row r="52" spans="1:13" ht="15" customHeight="1" x14ac:dyDescent="0.3">
      <c r="A52" s="21" t="s">
        <v>221</v>
      </c>
      <c r="B52" s="22" t="s">
        <v>331</v>
      </c>
      <c r="C52" s="23"/>
      <c r="D52" s="24" t="s">
        <v>101</v>
      </c>
      <c r="E52" s="1" t="s">
        <v>43</v>
      </c>
      <c r="F52" s="20" t="s">
        <v>332</v>
      </c>
      <c r="G52">
        <f t="shared" si="7"/>
        <v>168.75</v>
      </c>
      <c r="H52">
        <f t="shared" si="8"/>
        <v>168.75</v>
      </c>
      <c r="I52">
        <f t="shared" si="9"/>
        <v>168.75</v>
      </c>
      <c r="J52">
        <f t="shared" si="10"/>
        <v>366.85</v>
      </c>
      <c r="K52">
        <f t="shared" si="11"/>
        <v>66.033000000000001</v>
      </c>
      <c r="L52">
        <f t="shared" si="12"/>
        <v>223.3</v>
      </c>
      <c r="M52">
        <f t="shared" si="13"/>
        <v>281.25</v>
      </c>
    </row>
    <row r="53" spans="1:13" ht="15" customHeight="1" x14ac:dyDescent="0.3">
      <c r="A53" s="16" t="s">
        <v>221</v>
      </c>
      <c r="B53" s="17" t="s">
        <v>329</v>
      </c>
      <c r="C53" s="18"/>
      <c r="D53" s="19" t="s">
        <v>101</v>
      </c>
      <c r="E53" s="1" t="s">
        <v>43</v>
      </c>
      <c r="F53" s="20" t="s">
        <v>330</v>
      </c>
      <c r="G53">
        <f t="shared" si="7"/>
        <v>62.5</v>
      </c>
      <c r="H53">
        <f t="shared" si="8"/>
        <v>125</v>
      </c>
      <c r="I53">
        <f t="shared" si="9"/>
        <v>62.5</v>
      </c>
      <c r="J53">
        <f t="shared" si="10"/>
        <v>271.74</v>
      </c>
      <c r="K53">
        <f t="shared" si="11"/>
        <v>48.913200000000003</v>
      </c>
      <c r="L53">
        <f t="shared" si="12"/>
        <v>29.54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323</v>
      </c>
      <c r="C54" s="23"/>
      <c r="D54" s="24" t="s">
        <v>101</v>
      </c>
      <c r="E54" s="1" t="s">
        <v>43</v>
      </c>
      <c r="F54" s="20" t="s">
        <v>324</v>
      </c>
      <c r="G54">
        <f t="shared" si="7"/>
        <v>93.75</v>
      </c>
      <c r="H54">
        <f t="shared" si="8"/>
        <v>62.5</v>
      </c>
      <c r="I54">
        <f t="shared" si="9"/>
        <v>62.5</v>
      </c>
      <c r="J54">
        <f t="shared" si="10"/>
        <v>135.87</v>
      </c>
      <c r="K54">
        <f t="shared" si="11"/>
        <v>24.456600000000002</v>
      </c>
      <c r="L54">
        <f t="shared" si="12"/>
        <v>150.63999999999999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333</v>
      </c>
      <c r="C55" s="18"/>
      <c r="D55" s="19" t="s">
        <v>101</v>
      </c>
      <c r="E55" s="1" t="s">
        <v>43</v>
      </c>
      <c r="F55" s="20" t="s">
        <v>334</v>
      </c>
      <c r="G55">
        <f t="shared" si="7"/>
        <v>50</v>
      </c>
      <c r="H55">
        <f t="shared" si="8"/>
        <v>75</v>
      </c>
      <c r="I55">
        <f t="shared" si="9"/>
        <v>150</v>
      </c>
      <c r="J55">
        <f t="shared" si="10"/>
        <v>163.04</v>
      </c>
      <c r="K55">
        <f t="shared" si="11"/>
        <v>29.347199999999997</v>
      </c>
      <c r="L55">
        <f t="shared" si="12"/>
        <v>44.9</v>
      </c>
      <c r="M55">
        <f t="shared" si="13"/>
        <v>250</v>
      </c>
    </row>
    <row r="56" spans="1:13" ht="15" customHeight="1" x14ac:dyDescent="0.3">
      <c r="A56" s="21" t="s">
        <v>221</v>
      </c>
      <c r="B56" s="22" t="s">
        <v>335</v>
      </c>
      <c r="C56" s="23"/>
      <c r="D56" s="24" t="s">
        <v>101</v>
      </c>
      <c r="E56" s="1" t="s">
        <v>43</v>
      </c>
      <c r="F56" s="20" t="s">
        <v>336</v>
      </c>
      <c r="G56">
        <f t="shared" si="7"/>
        <v>112.5</v>
      </c>
      <c r="H56">
        <f t="shared" si="8"/>
        <v>75</v>
      </c>
      <c r="I56">
        <f t="shared" si="9"/>
        <v>300</v>
      </c>
      <c r="J56">
        <f t="shared" si="10"/>
        <v>163.04</v>
      </c>
      <c r="K56">
        <f t="shared" si="11"/>
        <v>29.347199999999997</v>
      </c>
      <c r="L56">
        <f t="shared" si="12"/>
        <v>180.77</v>
      </c>
      <c r="M56">
        <f t="shared" si="13"/>
        <v>500</v>
      </c>
    </row>
    <row r="57" spans="1:13" ht="15" customHeight="1" x14ac:dyDescent="0.3">
      <c r="A57" s="16" t="s">
        <v>221</v>
      </c>
      <c r="B57" s="17" t="s">
        <v>250</v>
      </c>
      <c r="C57" s="18"/>
      <c r="D57" s="19" t="s">
        <v>101</v>
      </c>
      <c r="E57" s="1" t="s">
        <v>43</v>
      </c>
      <c r="F57" s="20" t="s">
        <v>251</v>
      </c>
      <c r="G57">
        <f t="shared" si="7"/>
        <v>75</v>
      </c>
      <c r="H57">
        <f t="shared" si="8"/>
        <v>75</v>
      </c>
      <c r="I57">
        <f t="shared" si="9"/>
        <v>75</v>
      </c>
      <c r="J57">
        <f t="shared" si="10"/>
        <v>163.04</v>
      </c>
      <c r="K57">
        <f t="shared" si="11"/>
        <v>29.347199999999997</v>
      </c>
      <c r="L57">
        <f t="shared" si="12"/>
        <v>99.25</v>
      </c>
      <c r="M57">
        <f t="shared" si="13"/>
        <v>125</v>
      </c>
    </row>
    <row r="58" spans="1:13" ht="18" customHeight="1" x14ac:dyDescent="0.3">
      <c r="A58" s="25" t="s">
        <v>252</v>
      </c>
      <c r="B58" s="25"/>
      <c r="C58" s="25"/>
      <c r="G58" t="str">
        <f t="shared" si="7"/>
        <v/>
      </c>
      <c r="H58" t="str">
        <f t="shared" si="8"/>
        <v/>
      </c>
      <c r="I58" t="str">
        <f t="shared" si="9"/>
        <v/>
      </c>
      <c r="J58" t="str">
        <f t="shared" si="10"/>
        <v/>
      </c>
      <c r="K58" t="str">
        <f t="shared" si="11"/>
        <v/>
      </c>
      <c r="L58" t="str">
        <f t="shared" si="12"/>
        <v/>
      </c>
      <c r="M58" t="str">
        <f t="shared" si="13"/>
        <v/>
      </c>
    </row>
    <row r="59" spans="1:13" ht="15" customHeight="1" x14ac:dyDescent="0.3">
      <c r="A59" s="21" t="s">
        <v>253</v>
      </c>
      <c r="B59" s="22" t="s">
        <v>640</v>
      </c>
      <c r="C59" s="23"/>
      <c r="D59" s="24" t="s">
        <v>101</v>
      </c>
      <c r="E59" s="1" t="s">
        <v>43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16" t="s">
        <v>253</v>
      </c>
      <c r="B60" s="17" t="s">
        <v>255</v>
      </c>
      <c r="C60" s="18"/>
      <c r="D60" s="19" t="s">
        <v>101</v>
      </c>
      <c r="E60" s="1" t="s">
        <v>43</v>
      </c>
      <c r="F60" s="20" t="s">
        <v>256</v>
      </c>
      <c r="G60">
        <f t="shared" si="7"/>
        <v>31.25</v>
      </c>
      <c r="H60">
        <f t="shared" si="8"/>
        <v>75</v>
      </c>
      <c r="I60">
        <f t="shared" si="9"/>
        <v>22.5</v>
      </c>
      <c r="J60">
        <f t="shared" si="10"/>
        <v>163.04</v>
      </c>
      <c r="K60">
        <f t="shared" si="11"/>
        <v>29.347199999999997</v>
      </c>
      <c r="L60">
        <f t="shared" si="12"/>
        <v>4.1399999999999997</v>
      </c>
      <c r="M60">
        <f t="shared" si="13"/>
        <v>37.5</v>
      </c>
    </row>
    <row r="61" spans="1:13" ht="15" customHeight="1" x14ac:dyDescent="0.3">
      <c r="A61" s="21" t="s">
        <v>253</v>
      </c>
      <c r="B61" s="22" t="s">
        <v>259</v>
      </c>
      <c r="C61" s="23"/>
      <c r="D61" s="24" t="s">
        <v>101</v>
      </c>
      <c r="E61" s="1" t="s">
        <v>43</v>
      </c>
      <c r="F61" s="20" t="s">
        <v>260</v>
      </c>
      <c r="G61">
        <f t="shared" si="7"/>
        <v>125</v>
      </c>
      <c r="H61">
        <f t="shared" si="8"/>
        <v>50</v>
      </c>
      <c r="I61">
        <f t="shared" si="9"/>
        <v>175</v>
      </c>
      <c r="J61">
        <f t="shared" si="10"/>
        <v>108.7</v>
      </c>
      <c r="K61">
        <f t="shared" si="11"/>
        <v>19.565999999999999</v>
      </c>
      <c r="L61">
        <f t="shared" si="12"/>
        <v>229.2</v>
      </c>
      <c r="M61">
        <f t="shared" si="13"/>
        <v>291.67</v>
      </c>
    </row>
    <row r="62" spans="1:13" ht="15" customHeight="1" x14ac:dyDescent="0.3">
      <c r="A62" s="16" t="s">
        <v>253</v>
      </c>
      <c r="B62" s="17" t="s">
        <v>337</v>
      </c>
      <c r="C62" s="18"/>
      <c r="D62" s="19" t="s">
        <v>101</v>
      </c>
      <c r="E62" s="1" t="s">
        <v>43</v>
      </c>
      <c r="F62" s="20" t="s">
        <v>338</v>
      </c>
      <c r="G62">
        <f t="shared" si="7"/>
        <v>93.75</v>
      </c>
      <c r="H62">
        <f t="shared" si="8"/>
        <v>93.75</v>
      </c>
      <c r="I62">
        <f t="shared" si="9"/>
        <v>187.5</v>
      </c>
      <c r="J62">
        <f t="shared" si="10"/>
        <v>203.8</v>
      </c>
      <c r="K62">
        <f t="shared" si="11"/>
        <v>36.683999999999997</v>
      </c>
      <c r="L62">
        <f t="shared" si="12"/>
        <v>124.06</v>
      </c>
      <c r="M62">
        <f t="shared" si="13"/>
        <v>312.5</v>
      </c>
    </row>
    <row r="63" spans="1:13" ht="15" customHeight="1" x14ac:dyDescent="0.3">
      <c r="A63" s="21" t="s">
        <v>253</v>
      </c>
      <c r="B63" s="22" t="s">
        <v>228</v>
      </c>
      <c r="C63" s="23"/>
      <c r="D63" s="24" t="s">
        <v>101</v>
      </c>
      <c r="E63" s="1" t="s">
        <v>43</v>
      </c>
      <c r="F63" s="20" t="s">
        <v>229</v>
      </c>
      <c r="G63">
        <f t="shared" si="7"/>
        <v>150</v>
      </c>
      <c r="H63">
        <f t="shared" si="8"/>
        <v>75</v>
      </c>
      <c r="I63">
        <f t="shared" si="9"/>
        <v>37.5</v>
      </c>
      <c r="J63">
        <f t="shared" si="10"/>
        <v>163.04</v>
      </c>
      <c r="K63">
        <f t="shared" si="11"/>
        <v>29.347199999999997</v>
      </c>
      <c r="L63">
        <f t="shared" si="12"/>
        <v>262.29000000000002</v>
      </c>
      <c r="M63">
        <f t="shared" si="13"/>
        <v>62.5</v>
      </c>
    </row>
    <row r="64" spans="1:13" ht="18" customHeight="1" x14ac:dyDescent="0.3">
      <c r="A64" s="25" t="s">
        <v>263</v>
      </c>
      <c r="B64" s="25"/>
      <c r="C64" s="25"/>
      <c r="G64" t="str">
        <f t="shared" si="7"/>
        <v/>
      </c>
      <c r="H64" t="str">
        <f t="shared" si="8"/>
        <v/>
      </c>
      <c r="I64" t="str">
        <f t="shared" si="9"/>
        <v/>
      </c>
      <c r="J64" t="str">
        <f t="shared" si="10"/>
        <v/>
      </c>
      <c r="K64" t="str">
        <f t="shared" si="11"/>
        <v/>
      </c>
      <c r="L64" t="str">
        <f t="shared" si="12"/>
        <v/>
      </c>
      <c r="M64" t="str">
        <f t="shared" si="13"/>
        <v/>
      </c>
    </row>
    <row r="65" spans="1:13" ht="15" customHeight="1" x14ac:dyDescent="0.3">
      <c r="A65" s="16" t="s">
        <v>264</v>
      </c>
      <c r="B65" s="17" t="s">
        <v>265</v>
      </c>
      <c r="C65" s="18"/>
      <c r="D65" s="19" t="s">
        <v>101</v>
      </c>
      <c r="E65" s="1" t="s">
        <v>43</v>
      </c>
      <c r="F65" s="20" t="s">
        <v>266</v>
      </c>
      <c r="G65">
        <f t="shared" si="7"/>
        <v>125</v>
      </c>
      <c r="H65">
        <f t="shared" si="8"/>
        <v>50</v>
      </c>
      <c r="I65">
        <f t="shared" si="9"/>
        <v>187.5</v>
      </c>
      <c r="J65">
        <f t="shared" si="10"/>
        <v>108.7</v>
      </c>
      <c r="K65">
        <f t="shared" si="11"/>
        <v>19.565999999999999</v>
      </c>
      <c r="L65">
        <f t="shared" si="12"/>
        <v>229.2</v>
      </c>
      <c r="M65">
        <f t="shared" si="13"/>
        <v>312.5</v>
      </c>
    </row>
    <row r="66" spans="1:13" ht="15" customHeight="1" x14ac:dyDescent="0.3">
      <c r="A66" s="21" t="s">
        <v>264</v>
      </c>
      <c r="B66" s="22" t="s">
        <v>296</v>
      </c>
      <c r="C66" s="23"/>
      <c r="D66" s="24" t="s">
        <v>101</v>
      </c>
      <c r="E66" s="1" t="s">
        <v>43</v>
      </c>
      <c r="F66" s="20" t="s">
        <v>268</v>
      </c>
      <c r="G66">
        <f t="shared" si="7"/>
        <v>15</v>
      </c>
      <c r="H66">
        <f t="shared" si="8"/>
        <v>7.5</v>
      </c>
      <c r="I66">
        <f t="shared" si="9"/>
        <v>7.5</v>
      </c>
      <c r="J66">
        <f t="shared" si="10"/>
        <v>16.3</v>
      </c>
      <c r="K66">
        <f t="shared" si="11"/>
        <v>2.9340000000000002</v>
      </c>
      <c r="L66">
        <f t="shared" si="12"/>
        <v>26.23</v>
      </c>
      <c r="M66">
        <f t="shared" si="13"/>
        <v>12.5</v>
      </c>
    </row>
    <row r="67" spans="1:13" ht="15" customHeight="1" x14ac:dyDescent="0.3">
      <c r="A67" s="16" t="s">
        <v>264</v>
      </c>
      <c r="B67" s="17" t="s">
        <v>342</v>
      </c>
      <c r="C67" s="18"/>
      <c r="D67" s="19" t="s">
        <v>101</v>
      </c>
      <c r="E67" s="1" t="s">
        <v>43</v>
      </c>
      <c r="F67" s="20" t="s">
        <v>343</v>
      </c>
      <c r="G67">
        <f t="shared" si="7"/>
        <v>275</v>
      </c>
      <c r="H67">
        <f t="shared" si="8"/>
        <v>56.25</v>
      </c>
      <c r="I67">
        <f t="shared" si="9"/>
        <v>225</v>
      </c>
      <c r="J67">
        <f t="shared" si="10"/>
        <v>122.28</v>
      </c>
      <c r="K67">
        <f t="shared" si="11"/>
        <v>22.010400000000001</v>
      </c>
      <c r="L67">
        <f t="shared" si="12"/>
        <v>549.98</v>
      </c>
      <c r="M67">
        <f t="shared" si="13"/>
        <v>375</v>
      </c>
    </row>
    <row r="68" spans="1:13" ht="15" customHeight="1" x14ac:dyDescent="0.3">
      <c r="A68" s="21" t="s">
        <v>264</v>
      </c>
      <c r="B68" s="22" t="s">
        <v>641</v>
      </c>
      <c r="C68" s="23"/>
      <c r="D68" s="24" t="s">
        <v>101</v>
      </c>
      <c r="E68" s="1" t="s">
        <v>43</v>
      </c>
      <c r="F68" s="20" t="s">
        <v>345</v>
      </c>
      <c r="G68">
        <f t="shared" si="7"/>
        <v>168.75</v>
      </c>
      <c r="H68">
        <f t="shared" si="8"/>
        <v>42.5</v>
      </c>
      <c r="I68">
        <f t="shared" si="9"/>
        <v>181.25</v>
      </c>
      <c r="J68">
        <f t="shared" si="10"/>
        <v>92.39</v>
      </c>
      <c r="K68">
        <f t="shared" si="11"/>
        <v>16.630199999999999</v>
      </c>
      <c r="L68">
        <f t="shared" si="12"/>
        <v>330.7</v>
      </c>
      <c r="M68">
        <f t="shared" si="13"/>
        <v>302.08</v>
      </c>
    </row>
    <row r="69" spans="1:13" ht="18" customHeight="1" x14ac:dyDescent="0.3">
      <c r="A69" s="25" t="s">
        <v>269</v>
      </c>
      <c r="B69" s="25"/>
      <c r="C69" s="25"/>
      <c r="G69" t="str">
        <f t="shared" si="7"/>
        <v/>
      </c>
      <c r="H69" t="str">
        <f t="shared" si="8"/>
        <v/>
      </c>
      <c r="I69" t="str">
        <f t="shared" si="9"/>
        <v/>
      </c>
      <c r="J69" t="str">
        <f t="shared" si="10"/>
        <v/>
      </c>
      <c r="K69" t="str">
        <f t="shared" si="11"/>
        <v/>
      </c>
      <c r="L69" t="str">
        <f t="shared" si="12"/>
        <v/>
      </c>
      <c r="M69" t="str">
        <f t="shared" si="13"/>
        <v/>
      </c>
    </row>
    <row r="70" spans="1:13" ht="15" customHeight="1" x14ac:dyDescent="0.3">
      <c r="A70" s="16" t="s">
        <v>270</v>
      </c>
      <c r="B70" s="17" t="s">
        <v>271</v>
      </c>
      <c r="C70" s="18"/>
      <c r="D70" s="19" t="s">
        <v>101</v>
      </c>
      <c r="E70" s="1" t="s">
        <v>43</v>
      </c>
      <c r="F70" s="20" t="s">
        <v>241</v>
      </c>
      <c r="G70">
        <f t="shared" si="7"/>
        <v>7.5</v>
      </c>
      <c r="H70">
        <f t="shared" si="8"/>
        <v>15</v>
      </c>
      <c r="I70">
        <f t="shared" si="9"/>
        <v>15</v>
      </c>
      <c r="J70">
        <f t="shared" si="10"/>
        <v>32.61</v>
      </c>
      <c r="K70">
        <f t="shared" si="11"/>
        <v>5.8697999999999997</v>
      </c>
      <c r="L70">
        <f t="shared" si="12"/>
        <v>3.54</v>
      </c>
      <c r="M70">
        <f t="shared" si="13"/>
        <v>25</v>
      </c>
    </row>
    <row r="71" spans="1:13" ht="15" customHeight="1" x14ac:dyDescent="0.3">
      <c r="A71" s="21" t="s">
        <v>270</v>
      </c>
      <c r="B71" s="22" t="s">
        <v>272</v>
      </c>
      <c r="C71" s="23"/>
      <c r="D71" s="24" t="s">
        <v>101</v>
      </c>
      <c r="E71" s="1" t="s">
        <v>43</v>
      </c>
      <c r="F71" s="20" t="s">
        <v>273</v>
      </c>
      <c r="G71">
        <f t="shared" si="7"/>
        <v>112.5</v>
      </c>
      <c r="H71">
        <f t="shared" si="8"/>
        <v>112.5</v>
      </c>
      <c r="I71">
        <f t="shared" si="9"/>
        <v>93.75</v>
      </c>
      <c r="J71">
        <f t="shared" si="10"/>
        <v>244.57</v>
      </c>
      <c r="K71">
        <f t="shared" si="11"/>
        <v>44.022599999999997</v>
      </c>
      <c r="L71">
        <f t="shared" si="12"/>
        <v>148.86000000000001</v>
      </c>
      <c r="M71">
        <f t="shared" si="13"/>
        <v>156.25</v>
      </c>
    </row>
    <row r="72" spans="1:13" ht="15" customHeight="1" x14ac:dyDescent="0.3">
      <c r="A72" s="16" t="s">
        <v>270</v>
      </c>
      <c r="B72" s="17" t="s">
        <v>348</v>
      </c>
      <c r="C72" s="18"/>
      <c r="D72" s="19" t="s">
        <v>101</v>
      </c>
      <c r="E72" s="1" t="s">
        <v>43</v>
      </c>
      <c r="F72" s="20" t="s">
        <v>349</v>
      </c>
      <c r="G72">
        <f t="shared" si="7"/>
        <v>37.5</v>
      </c>
      <c r="H72">
        <f t="shared" si="8"/>
        <v>12.5</v>
      </c>
      <c r="I72">
        <f t="shared" si="9"/>
        <v>12.5</v>
      </c>
      <c r="J72">
        <f t="shared" si="10"/>
        <v>27.17</v>
      </c>
      <c r="K72">
        <f t="shared" si="11"/>
        <v>4.8906000000000001</v>
      </c>
      <c r="L72">
        <f t="shared" si="12"/>
        <v>70.89</v>
      </c>
      <c r="M72">
        <f t="shared" si="13"/>
        <v>20.83</v>
      </c>
    </row>
    <row r="73" spans="1:13" ht="15" customHeight="1" x14ac:dyDescent="0.3">
      <c r="A73" s="21" t="s">
        <v>270</v>
      </c>
      <c r="B73" s="22" t="s">
        <v>346</v>
      </c>
      <c r="C73" s="23"/>
      <c r="D73" s="24" t="s">
        <v>101</v>
      </c>
      <c r="E73" s="1" t="s">
        <v>43</v>
      </c>
      <c r="F73" s="20" t="s">
        <v>347</v>
      </c>
      <c r="G73">
        <f t="shared" si="7"/>
        <v>25</v>
      </c>
      <c r="H73">
        <f t="shared" si="8"/>
        <v>12.5</v>
      </c>
      <c r="I73">
        <f t="shared" si="9"/>
        <v>12.5</v>
      </c>
      <c r="J73">
        <f t="shared" si="10"/>
        <v>27.17</v>
      </c>
      <c r="K73">
        <f t="shared" si="11"/>
        <v>4.8906000000000001</v>
      </c>
      <c r="L73">
        <f t="shared" si="12"/>
        <v>43.72</v>
      </c>
      <c r="M73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8:C58"/>
    <mergeCell ref="A64:C64"/>
    <mergeCell ref="A69:C69"/>
    <mergeCell ref="A12:C12"/>
    <mergeCell ref="A18:C18"/>
    <mergeCell ref="A23:C23"/>
    <mergeCell ref="A29:C29"/>
    <mergeCell ref="A43:C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CAF50"/>
  </sheetPr>
  <dimension ref="A1:M67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642</v>
      </c>
      <c r="B1" s="26"/>
      <c r="C1" s="26"/>
    </row>
    <row r="2" spans="1:13" ht="19.5" customHeight="1" x14ac:dyDescent="0.3">
      <c r="A2" s="27" t="s">
        <v>643</v>
      </c>
      <c r="B2" s="27"/>
      <c r="C2" s="27"/>
    </row>
    <row r="3" spans="1:13" ht="19.5" customHeight="1" x14ac:dyDescent="0.3">
      <c r="A3" s="27" t="s">
        <v>644</v>
      </c>
      <c r="B3" s="27"/>
      <c r="C3" s="27"/>
    </row>
    <row r="4" spans="1:13" ht="19.5" customHeight="1" x14ac:dyDescent="0.3">
      <c r="A4" s="27" t="s">
        <v>645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646</v>
      </c>
      <c r="C8" s="18"/>
      <c r="D8" s="19" t="s">
        <v>103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103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636</v>
      </c>
      <c r="C10" s="18"/>
      <c r="D10" s="19" t="s">
        <v>103</v>
      </c>
      <c r="E10" s="1" t="s">
        <v>43</v>
      </c>
      <c r="F10" s="20" t="s">
        <v>153</v>
      </c>
      <c r="G10">
        <f t="shared" si="0"/>
        <v>25</v>
      </c>
      <c r="H10">
        <f t="shared" si="1"/>
        <v>25</v>
      </c>
      <c r="I10">
        <f t="shared" si="2"/>
        <v>12.5</v>
      </c>
      <c r="J10">
        <f t="shared" si="3"/>
        <v>54.35</v>
      </c>
      <c r="K10">
        <f t="shared" si="4"/>
        <v>9.7829999999999995</v>
      </c>
      <c r="L10">
        <f t="shared" si="5"/>
        <v>33.08</v>
      </c>
      <c r="M10">
        <f t="shared" si="6"/>
        <v>20.83</v>
      </c>
    </row>
    <row r="11" spans="1:13" ht="15" customHeight="1" x14ac:dyDescent="0.3">
      <c r="A11" s="21" t="s">
        <v>141</v>
      </c>
      <c r="B11" s="22" t="s">
        <v>290</v>
      </c>
      <c r="C11" s="23"/>
      <c r="D11" s="24" t="s">
        <v>103</v>
      </c>
      <c r="E11" s="1" t="s">
        <v>43</v>
      </c>
      <c r="F11" s="20" t="s">
        <v>291</v>
      </c>
      <c r="G11">
        <f t="shared" si="0"/>
        <v>150</v>
      </c>
      <c r="H11">
        <f t="shared" si="1"/>
        <v>75</v>
      </c>
      <c r="I11">
        <f t="shared" si="2"/>
        <v>50</v>
      </c>
      <c r="J11">
        <f t="shared" si="3"/>
        <v>163.04</v>
      </c>
      <c r="K11">
        <f t="shared" si="4"/>
        <v>29.347199999999997</v>
      </c>
      <c r="L11">
        <f t="shared" si="5"/>
        <v>262.29000000000002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647</v>
      </c>
      <c r="C12" s="18"/>
      <c r="D12" s="19" t="s">
        <v>103</v>
      </c>
      <c r="E12" s="1" t="s">
        <v>43</v>
      </c>
      <c r="F12" s="20" t="s">
        <v>288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176</v>
      </c>
      <c r="C14" s="23"/>
      <c r="D14" s="24" t="s">
        <v>103</v>
      </c>
      <c r="E14" s="1" t="s">
        <v>43</v>
      </c>
      <c r="F14" s="20" t="s">
        <v>177</v>
      </c>
      <c r="G14">
        <f t="shared" si="0"/>
        <v>25</v>
      </c>
      <c r="H14">
        <f t="shared" si="1"/>
        <v>75</v>
      </c>
      <c r="I14">
        <f t="shared" si="2"/>
        <v>50</v>
      </c>
      <c r="J14">
        <f t="shared" si="3"/>
        <v>163.04</v>
      </c>
      <c r="K14">
        <f t="shared" si="4"/>
        <v>29.347199999999997</v>
      </c>
      <c r="L14">
        <f t="shared" si="5"/>
        <v>-9.4499999999999993</v>
      </c>
      <c r="M14">
        <f t="shared" si="6"/>
        <v>83.33</v>
      </c>
    </row>
    <row r="15" spans="1:13" ht="15" customHeight="1" x14ac:dyDescent="0.3">
      <c r="A15" s="16" t="s">
        <v>156</v>
      </c>
      <c r="B15" s="17" t="s">
        <v>165</v>
      </c>
      <c r="C15" s="18"/>
      <c r="D15" s="19" t="s">
        <v>103</v>
      </c>
      <c r="E15" s="1" t="s">
        <v>43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648</v>
      </c>
      <c r="C16" s="23"/>
      <c r="D16" s="24" t="s">
        <v>103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292</v>
      </c>
      <c r="C17" s="18"/>
      <c r="D17" s="19" t="s">
        <v>103</v>
      </c>
      <c r="E17" s="1" t="s">
        <v>43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163</v>
      </c>
      <c r="C18" s="23"/>
      <c r="D18" s="24" t="s">
        <v>103</v>
      </c>
      <c r="E18" s="1" t="s">
        <v>43</v>
      </c>
      <c r="F18" s="20" t="s">
        <v>164</v>
      </c>
      <c r="G18">
        <f t="shared" si="0"/>
        <v>12.5</v>
      </c>
      <c r="H18">
        <f t="shared" si="1"/>
        <v>25</v>
      </c>
      <c r="I18">
        <f t="shared" si="2"/>
        <v>12.5</v>
      </c>
      <c r="J18">
        <f t="shared" si="3"/>
        <v>54.35</v>
      </c>
      <c r="K18">
        <f t="shared" si="4"/>
        <v>9.7829999999999995</v>
      </c>
      <c r="L18">
        <f t="shared" si="5"/>
        <v>5.91</v>
      </c>
      <c r="M18">
        <f t="shared" si="6"/>
        <v>20.83</v>
      </c>
    </row>
    <row r="19" spans="1:13" ht="18" customHeight="1" x14ac:dyDescent="0.3">
      <c r="A19" s="25" t="s">
        <v>167</v>
      </c>
      <c r="B19" s="25"/>
      <c r="C19" s="25"/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5"/>
        <v/>
      </c>
      <c r="M19" t="str">
        <f t="shared" si="6"/>
        <v/>
      </c>
    </row>
    <row r="20" spans="1:13" ht="15" customHeight="1" x14ac:dyDescent="0.3">
      <c r="A20" s="16" t="s">
        <v>168</v>
      </c>
      <c r="B20" s="17" t="s">
        <v>175</v>
      </c>
      <c r="C20" s="18"/>
      <c r="D20" s="19" t="s">
        <v>103</v>
      </c>
      <c r="E20" s="1" t="s">
        <v>43</v>
      </c>
      <c r="F20" s="20" t="s">
        <v>147</v>
      </c>
      <c r="G20">
        <f t="shared" si="0"/>
        <v>100</v>
      </c>
      <c r="H20">
        <f t="shared" si="1"/>
        <v>50</v>
      </c>
      <c r="I20">
        <f t="shared" si="2"/>
        <v>50</v>
      </c>
      <c r="J20">
        <f t="shared" si="3"/>
        <v>108.7</v>
      </c>
      <c r="K20">
        <f t="shared" si="4"/>
        <v>19.565999999999999</v>
      </c>
      <c r="L20">
        <f t="shared" si="5"/>
        <v>174.86</v>
      </c>
      <c r="M20">
        <f t="shared" si="6"/>
        <v>83.33</v>
      </c>
    </row>
    <row r="21" spans="1:13" ht="15" customHeight="1" x14ac:dyDescent="0.3">
      <c r="A21" s="21" t="s">
        <v>168</v>
      </c>
      <c r="B21" s="22" t="s">
        <v>294</v>
      </c>
      <c r="C21" s="23"/>
      <c r="D21" s="24" t="s">
        <v>103</v>
      </c>
      <c r="E21" s="1" t="s">
        <v>43</v>
      </c>
      <c r="F21" s="20" t="s">
        <v>149</v>
      </c>
      <c r="G21">
        <f t="shared" si="0"/>
        <v>50</v>
      </c>
      <c r="H21">
        <f t="shared" si="1"/>
        <v>25</v>
      </c>
      <c r="I21">
        <f t="shared" si="2"/>
        <v>25</v>
      </c>
      <c r="J21">
        <f t="shared" si="3"/>
        <v>54.35</v>
      </c>
      <c r="K21">
        <f t="shared" si="4"/>
        <v>9.7829999999999995</v>
      </c>
      <c r="L21">
        <f t="shared" si="5"/>
        <v>87.43</v>
      </c>
      <c r="M21">
        <f t="shared" si="6"/>
        <v>41.67</v>
      </c>
    </row>
    <row r="22" spans="1:13" ht="15" customHeight="1" x14ac:dyDescent="0.3">
      <c r="A22" s="16" t="s">
        <v>168</v>
      </c>
      <c r="B22" s="17" t="s">
        <v>295</v>
      </c>
      <c r="C22" s="18"/>
      <c r="D22" s="19" t="s">
        <v>103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8" customHeight="1" x14ac:dyDescent="0.3">
      <c r="A23" s="25" t="s">
        <v>180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21" t="s">
        <v>181</v>
      </c>
      <c r="B24" s="22" t="s">
        <v>323</v>
      </c>
      <c r="C24" s="23"/>
      <c r="D24" s="24" t="s">
        <v>103</v>
      </c>
      <c r="E24" s="1" t="s">
        <v>43</v>
      </c>
      <c r="F24" s="20" t="s">
        <v>324</v>
      </c>
      <c r="G24">
        <f t="shared" si="0"/>
        <v>93.75</v>
      </c>
      <c r="H24">
        <f t="shared" si="1"/>
        <v>62.5</v>
      </c>
      <c r="I24">
        <f t="shared" si="2"/>
        <v>62.5</v>
      </c>
      <c r="J24">
        <f t="shared" si="3"/>
        <v>135.87</v>
      </c>
      <c r="K24">
        <f t="shared" si="4"/>
        <v>24.456600000000002</v>
      </c>
      <c r="L24">
        <f t="shared" si="5"/>
        <v>150.63999999999999</v>
      </c>
      <c r="M24">
        <f t="shared" si="6"/>
        <v>104.17</v>
      </c>
    </row>
    <row r="25" spans="1:13" ht="15" customHeight="1" x14ac:dyDescent="0.3">
      <c r="A25" s="16" t="s">
        <v>181</v>
      </c>
      <c r="B25" s="17" t="s">
        <v>296</v>
      </c>
      <c r="C25" s="18"/>
      <c r="D25" s="19" t="s">
        <v>103</v>
      </c>
      <c r="E25" s="1" t="s">
        <v>43</v>
      </c>
      <c r="F25" s="20" t="s">
        <v>268</v>
      </c>
      <c r="G25">
        <f t="shared" si="0"/>
        <v>15</v>
      </c>
      <c r="H25">
        <f t="shared" si="1"/>
        <v>7.5</v>
      </c>
      <c r="I25">
        <f t="shared" si="2"/>
        <v>7.5</v>
      </c>
      <c r="J25">
        <f t="shared" si="3"/>
        <v>16.3</v>
      </c>
      <c r="K25">
        <f t="shared" si="4"/>
        <v>2.9340000000000002</v>
      </c>
      <c r="L25">
        <f t="shared" si="5"/>
        <v>26.23</v>
      </c>
      <c r="M25">
        <f t="shared" si="6"/>
        <v>12.5</v>
      </c>
    </row>
    <row r="26" spans="1:13" ht="15" customHeight="1" x14ac:dyDescent="0.3">
      <c r="A26" s="21" t="s">
        <v>181</v>
      </c>
      <c r="B26" s="22" t="s">
        <v>649</v>
      </c>
      <c r="C26" s="23"/>
      <c r="D26" s="24" t="s">
        <v>103</v>
      </c>
      <c r="E26" s="1" t="s">
        <v>43</v>
      </c>
      <c r="F26" s="20" t="s">
        <v>456</v>
      </c>
      <c r="G26" t="str">
        <f t="shared" si="0"/>
        <v>N/A</v>
      </c>
      <c r="H26" t="str">
        <f t="shared" si="1"/>
        <v>N/A</v>
      </c>
      <c r="I26" t="str">
        <f t="shared" si="2"/>
        <v>N/A</v>
      </c>
      <c r="J26" t="str">
        <f t="shared" si="3"/>
        <v>N/A</v>
      </c>
      <c r="K26" t="str">
        <f t="shared" si="4"/>
        <v>N/A</v>
      </c>
      <c r="L26" t="str">
        <f t="shared" si="5"/>
        <v>N/A</v>
      </c>
      <c r="M26" t="str">
        <f t="shared" si="6"/>
        <v>N/A</v>
      </c>
    </row>
    <row r="27" spans="1:13" ht="15" customHeight="1" x14ac:dyDescent="0.3">
      <c r="A27" s="16" t="s">
        <v>181</v>
      </c>
      <c r="B27" s="17" t="s">
        <v>342</v>
      </c>
      <c r="C27" s="18"/>
      <c r="D27" s="19" t="s">
        <v>103</v>
      </c>
      <c r="E27" s="1" t="s">
        <v>43</v>
      </c>
      <c r="F27" s="20" t="s">
        <v>343</v>
      </c>
      <c r="G27">
        <f t="shared" si="0"/>
        <v>275</v>
      </c>
      <c r="H27">
        <f t="shared" si="1"/>
        <v>56.25</v>
      </c>
      <c r="I27">
        <f t="shared" si="2"/>
        <v>225</v>
      </c>
      <c r="J27">
        <f t="shared" si="3"/>
        <v>122.28</v>
      </c>
      <c r="K27">
        <f t="shared" si="4"/>
        <v>22.010400000000001</v>
      </c>
      <c r="L27">
        <f t="shared" si="5"/>
        <v>549.98</v>
      </c>
      <c r="M27">
        <f t="shared" si="6"/>
        <v>375</v>
      </c>
    </row>
    <row r="28" spans="1:13" ht="18" customHeight="1" x14ac:dyDescent="0.3">
      <c r="A28" s="25" t="s">
        <v>187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21" t="s">
        <v>188</v>
      </c>
      <c r="B29" s="22" t="s">
        <v>191</v>
      </c>
      <c r="C29" s="23"/>
      <c r="D29" s="24" t="s">
        <v>103</v>
      </c>
      <c r="E29" s="1" t="s">
        <v>43</v>
      </c>
      <c r="F29" s="20" t="s">
        <v>192</v>
      </c>
      <c r="G29">
        <f t="shared" si="0"/>
        <v>137.5</v>
      </c>
      <c r="H29">
        <f t="shared" si="1"/>
        <v>43.75</v>
      </c>
      <c r="I29">
        <f t="shared" si="2"/>
        <v>412.5</v>
      </c>
      <c r="J29">
        <f t="shared" si="3"/>
        <v>95.11</v>
      </c>
      <c r="K29">
        <f t="shared" si="4"/>
        <v>17.119799999999998</v>
      </c>
      <c r="L29">
        <f t="shared" si="5"/>
        <v>261.7</v>
      </c>
      <c r="M29">
        <f t="shared" si="6"/>
        <v>687.5</v>
      </c>
    </row>
    <row r="30" spans="1:13" ht="15" customHeight="1" x14ac:dyDescent="0.3">
      <c r="A30" s="16" t="s">
        <v>188</v>
      </c>
      <c r="B30" s="17" t="s">
        <v>314</v>
      </c>
      <c r="C30" s="18"/>
      <c r="D30" s="19" t="s">
        <v>103</v>
      </c>
      <c r="E30" s="1" t="s">
        <v>43</v>
      </c>
      <c r="F30" s="20" t="s">
        <v>315</v>
      </c>
      <c r="G30">
        <f t="shared" si="0"/>
        <v>25</v>
      </c>
      <c r="H30">
        <f t="shared" si="1"/>
        <v>25</v>
      </c>
      <c r="I30">
        <f t="shared" si="2"/>
        <v>18.75</v>
      </c>
      <c r="J30">
        <f t="shared" si="3"/>
        <v>54.35</v>
      </c>
      <c r="K30">
        <f t="shared" si="4"/>
        <v>9.7829999999999995</v>
      </c>
      <c r="L30">
        <f t="shared" si="5"/>
        <v>33.08</v>
      </c>
      <c r="M30">
        <f t="shared" si="6"/>
        <v>31.25</v>
      </c>
    </row>
    <row r="31" spans="1:13" ht="15" customHeight="1" x14ac:dyDescent="0.3">
      <c r="A31" s="21" t="s">
        <v>188</v>
      </c>
      <c r="B31" s="22" t="s">
        <v>316</v>
      </c>
      <c r="C31" s="23"/>
      <c r="D31" s="24" t="s">
        <v>103</v>
      </c>
      <c r="E31" s="1" t="s">
        <v>43</v>
      </c>
      <c r="F31" s="20" t="s">
        <v>317</v>
      </c>
      <c r="G31">
        <f t="shared" si="0"/>
        <v>500</v>
      </c>
      <c r="H31">
        <f t="shared" si="1"/>
        <v>375</v>
      </c>
      <c r="I31">
        <f t="shared" si="2"/>
        <v>812.5</v>
      </c>
      <c r="J31">
        <f t="shared" si="3"/>
        <v>815.22</v>
      </c>
      <c r="K31">
        <f t="shared" si="4"/>
        <v>146.7396</v>
      </c>
      <c r="L31">
        <f t="shared" si="5"/>
        <v>767.96</v>
      </c>
      <c r="M31">
        <f t="shared" si="6"/>
        <v>1354.17</v>
      </c>
    </row>
    <row r="32" spans="1:13" ht="15" customHeight="1" x14ac:dyDescent="0.3">
      <c r="A32" s="16" t="s">
        <v>188</v>
      </c>
      <c r="B32" s="17" t="s">
        <v>305</v>
      </c>
      <c r="C32" s="18"/>
      <c r="D32" s="19" t="s">
        <v>103</v>
      </c>
      <c r="E32" s="1" t="s">
        <v>43</v>
      </c>
      <c r="F32" s="20" t="s">
        <v>306</v>
      </c>
      <c r="G32">
        <f t="shared" si="0"/>
        <v>20</v>
      </c>
      <c r="H32">
        <f t="shared" si="1"/>
        <v>5</v>
      </c>
      <c r="I32">
        <f t="shared" si="2"/>
        <v>15</v>
      </c>
      <c r="J32">
        <f t="shared" si="3"/>
        <v>10.87</v>
      </c>
      <c r="K32">
        <f t="shared" si="4"/>
        <v>1.9565999999999999</v>
      </c>
      <c r="L32">
        <f t="shared" si="5"/>
        <v>39.22</v>
      </c>
      <c r="M32">
        <f t="shared" si="6"/>
        <v>25</v>
      </c>
    </row>
    <row r="33" spans="1:13" ht="15" customHeight="1" x14ac:dyDescent="0.3">
      <c r="A33" s="21" t="s">
        <v>188</v>
      </c>
      <c r="B33" s="22" t="s">
        <v>650</v>
      </c>
      <c r="C33" s="23"/>
      <c r="D33" s="24" t="s">
        <v>103</v>
      </c>
      <c r="E33" s="1" t="s">
        <v>43</v>
      </c>
      <c r="F33" s="20" t="s">
        <v>300</v>
      </c>
      <c r="G33">
        <f t="shared" si="0"/>
        <v>750</v>
      </c>
      <c r="H33">
        <f t="shared" si="1"/>
        <v>250</v>
      </c>
      <c r="I33">
        <f t="shared" si="2"/>
        <v>500</v>
      </c>
      <c r="J33">
        <f t="shared" si="3"/>
        <v>543.48</v>
      </c>
      <c r="K33">
        <f t="shared" si="4"/>
        <v>97.826400000000007</v>
      </c>
      <c r="L33">
        <f t="shared" si="5"/>
        <v>1417.77</v>
      </c>
      <c r="M33">
        <f t="shared" si="6"/>
        <v>833.33</v>
      </c>
    </row>
    <row r="34" spans="1:13" ht="15" customHeight="1" x14ac:dyDescent="0.3">
      <c r="A34" s="16" t="s">
        <v>188</v>
      </c>
      <c r="B34" s="17" t="s">
        <v>193</v>
      </c>
      <c r="C34" s="18"/>
      <c r="D34" s="19" t="s">
        <v>103</v>
      </c>
      <c r="E34" s="1" t="s">
        <v>43</v>
      </c>
      <c r="F34" s="20" t="s">
        <v>194</v>
      </c>
      <c r="G34">
        <f t="shared" si="0"/>
        <v>125</v>
      </c>
      <c r="H34">
        <f t="shared" si="1"/>
        <v>125</v>
      </c>
      <c r="I34">
        <f t="shared" si="2"/>
        <v>125</v>
      </c>
      <c r="J34">
        <f t="shared" si="3"/>
        <v>271.74</v>
      </c>
      <c r="K34">
        <f t="shared" si="4"/>
        <v>48.913200000000003</v>
      </c>
      <c r="L34">
        <f t="shared" si="5"/>
        <v>165.41</v>
      </c>
      <c r="M34">
        <f t="shared" si="6"/>
        <v>208.33</v>
      </c>
    </row>
    <row r="35" spans="1:13" ht="15" customHeight="1" x14ac:dyDescent="0.3">
      <c r="A35" s="21" t="s">
        <v>188</v>
      </c>
      <c r="B35" s="22" t="s">
        <v>214</v>
      </c>
      <c r="C35" s="23"/>
      <c r="D35" s="24" t="s">
        <v>103</v>
      </c>
      <c r="E35" s="1" t="s">
        <v>43</v>
      </c>
      <c r="F35" s="20" t="s">
        <v>215</v>
      </c>
      <c r="G35">
        <f t="shared" si="0"/>
        <v>93.75</v>
      </c>
      <c r="H35">
        <f t="shared" si="1"/>
        <v>50</v>
      </c>
      <c r="I35">
        <f t="shared" si="2"/>
        <v>62.5</v>
      </c>
      <c r="J35">
        <f t="shared" si="3"/>
        <v>108.7</v>
      </c>
      <c r="K35">
        <f t="shared" si="4"/>
        <v>19.565999999999999</v>
      </c>
      <c r="L35">
        <f t="shared" si="5"/>
        <v>161.27000000000001</v>
      </c>
      <c r="M35">
        <f t="shared" si="6"/>
        <v>104.17</v>
      </c>
    </row>
    <row r="36" spans="1:13" ht="15" customHeight="1" x14ac:dyDescent="0.3">
      <c r="A36" s="16" t="s">
        <v>188</v>
      </c>
      <c r="B36" s="17" t="s">
        <v>195</v>
      </c>
      <c r="C36" s="18"/>
      <c r="D36" s="19" t="s">
        <v>103</v>
      </c>
      <c r="E36" s="1" t="s">
        <v>43</v>
      </c>
      <c r="F36" s="20" t="s">
        <v>194</v>
      </c>
      <c r="G36">
        <f t="shared" si="0"/>
        <v>125</v>
      </c>
      <c r="H36">
        <f t="shared" si="1"/>
        <v>125</v>
      </c>
      <c r="I36">
        <f t="shared" si="2"/>
        <v>125</v>
      </c>
      <c r="J36">
        <f t="shared" si="3"/>
        <v>271.74</v>
      </c>
      <c r="K36">
        <f t="shared" si="4"/>
        <v>48.913200000000003</v>
      </c>
      <c r="L36">
        <f t="shared" si="5"/>
        <v>165.41</v>
      </c>
      <c r="M36">
        <f t="shared" si="6"/>
        <v>208.33</v>
      </c>
    </row>
    <row r="37" spans="1:13" ht="15" customHeight="1" x14ac:dyDescent="0.3">
      <c r="A37" s="21" t="s">
        <v>188</v>
      </c>
      <c r="B37" s="22" t="s">
        <v>624</v>
      </c>
      <c r="C37" s="23"/>
      <c r="D37" s="24" t="s">
        <v>103</v>
      </c>
      <c r="E37" s="1" t="s">
        <v>43</v>
      </c>
      <c r="F37" s="20" t="s">
        <v>363</v>
      </c>
      <c r="G37">
        <f t="shared" si="0"/>
        <v>500</v>
      </c>
      <c r="H37">
        <f t="shared" si="1"/>
        <v>250</v>
      </c>
      <c r="I37">
        <f t="shared" si="2"/>
        <v>375</v>
      </c>
      <c r="J37">
        <f t="shared" si="3"/>
        <v>543.48</v>
      </c>
      <c r="K37">
        <f t="shared" si="4"/>
        <v>97.826400000000007</v>
      </c>
      <c r="L37">
        <f t="shared" si="5"/>
        <v>874.29</v>
      </c>
      <c r="M37">
        <f t="shared" si="6"/>
        <v>625</v>
      </c>
    </row>
    <row r="38" spans="1:13" ht="15" customHeight="1" x14ac:dyDescent="0.3">
      <c r="A38" s="16" t="s">
        <v>188</v>
      </c>
      <c r="B38" s="17" t="s">
        <v>313</v>
      </c>
      <c r="C38" s="18"/>
      <c r="D38" s="19" t="s">
        <v>103</v>
      </c>
      <c r="E38" s="1" t="s">
        <v>43</v>
      </c>
      <c r="F38" s="20" t="s">
        <v>217</v>
      </c>
      <c r="G38">
        <f t="shared" si="0"/>
        <v>2.5</v>
      </c>
      <c r="H38">
        <f t="shared" si="1"/>
        <v>1.25</v>
      </c>
      <c r="I38">
        <f t="shared" si="2"/>
        <v>2.5</v>
      </c>
      <c r="J38">
        <f t="shared" si="3"/>
        <v>2.72</v>
      </c>
      <c r="K38">
        <f t="shared" si="4"/>
        <v>0.48960000000000004</v>
      </c>
      <c r="L38">
        <f t="shared" si="5"/>
        <v>4.37</v>
      </c>
      <c r="M38">
        <f t="shared" si="6"/>
        <v>4.17</v>
      </c>
    </row>
    <row r="39" spans="1:13" ht="15" customHeight="1" x14ac:dyDescent="0.3">
      <c r="A39" s="21" t="s">
        <v>188</v>
      </c>
      <c r="B39" s="22" t="s">
        <v>625</v>
      </c>
      <c r="C39" s="23"/>
      <c r="D39" s="24" t="s">
        <v>103</v>
      </c>
      <c r="E39" s="1" t="s">
        <v>43</v>
      </c>
      <c r="F39" s="20" t="s">
        <v>304</v>
      </c>
      <c r="G39">
        <f t="shared" ref="G39:G67" si="7">IF($F39="","",IFERROR(VALUE(TRIM(LEFT($F39,FIND(":",$F39)-1)))*1.25,"N/A"))</f>
        <v>1093.75</v>
      </c>
      <c r="H39">
        <f t="shared" ref="H39:H67" si="8">IF($F39="","",IFERROR(VALUE(TRIM(MID($F39,FIND(":",$F39)+1,FIND(":",$F39,FIND(":",$F39)+1)-FIND(":",$F39)-1)))*1.25,"N/A"))</f>
        <v>687.5</v>
      </c>
      <c r="I39">
        <f t="shared" ref="I39:I67" si="9">IF($F39="","",IFERROR(VALUE(TRIM(LEFT(MID($F39,FIND(":",$F39,FIND(":",$F39)+1)+1,LEN($F39)),FIND(" ",MID($F39,FIND(":",$F39,FIND(":",$F39)+1)+1,LEN($F39))&amp;" ")-1)))*1.25,"N/A"))</f>
        <v>1062.5</v>
      </c>
      <c r="J39">
        <f t="shared" ref="J39:J67" si="10">IF(OR($F39="",$H39="N/A"),IF($F39="","","N/A"),ROUND($H39/0.46,2))</f>
        <v>1494.57</v>
      </c>
      <c r="K39">
        <f t="shared" ref="K39:K67" si="11">IF(OR($F39="",$J39="N/A"),IF($F39="","","N/A"),$J39*0.18)</f>
        <v>269.02259999999995</v>
      </c>
      <c r="L39">
        <f t="shared" ref="L39:L67" si="12">IF(OR($F39="",$G39="N/A",$K39="N/A"),IF($F39="","","N/A"),ROUND(($G39-$K39)/0.46,2))</f>
        <v>1792.89</v>
      </c>
      <c r="M39">
        <f t="shared" ref="M39:M67" si="13">IF(OR($F39="",$I39="N/A"),IF($F39="","","N/A"),ROUND($I39/0.6,2))</f>
        <v>1770.83</v>
      </c>
    </row>
    <row r="40" spans="1:13" ht="18" customHeight="1" x14ac:dyDescent="0.3">
      <c r="A40" s="25" t="s">
        <v>220</v>
      </c>
      <c r="B40" s="25"/>
      <c r="C40" s="25"/>
      <c r="G40" t="str">
        <f t="shared" si="7"/>
        <v/>
      </c>
      <c r="H40" t="str">
        <f t="shared" si="8"/>
        <v/>
      </c>
      <c r="I40" t="str">
        <f t="shared" si="9"/>
        <v/>
      </c>
      <c r="J40" t="str">
        <f t="shared" si="10"/>
        <v/>
      </c>
      <c r="K40" t="str">
        <f t="shared" si="11"/>
        <v/>
      </c>
      <c r="L40" t="str">
        <f t="shared" si="12"/>
        <v/>
      </c>
      <c r="M40" t="str">
        <f t="shared" si="13"/>
        <v/>
      </c>
    </row>
    <row r="41" spans="1:13" ht="15" customHeight="1" x14ac:dyDescent="0.3">
      <c r="A41" s="16" t="s">
        <v>221</v>
      </c>
      <c r="B41" s="17" t="s">
        <v>323</v>
      </c>
      <c r="C41" s="18"/>
      <c r="D41" s="19" t="s">
        <v>103</v>
      </c>
      <c r="E41" s="1" t="s">
        <v>43</v>
      </c>
      <c r="F41" s="20" t="s">
        <v>324</v>
      </c>
      <c r="G41">
        <f t="shared" si="7"/>
        <v>93.75</v>
      </c>
      <c r="H41">
        <f t="shared" si="8"/>
        <v>62.5</v>
      </c>
      <c r="I41">
        <f t="shared" si="9"/>
        <v>62.5</v>
      </c>
      <c r="J41">
        <f t="shared" si="10"/>
        <v>135.87</v>
      </c>
      <c r="K41">
        <f t="shared" si="11"/>
        <v>24.456600000000002</v>
      </c>
      <c r="L41">
        <f t="shared" si="12"/>
        <v>150.63999999999999</v>
      </c>
      <c r="M41">
        <f t="shared" si="13"/>
        <v>104.17</v>
      </c>
    </row>
    <row r="42" spans="1:13" ht="15" customHeight="1" x14ac:dyDescent="0.3">
      <c r="A42" s="21" t="s">
        <v>221</v>
      </c>
      <c r="B42" s="22" t="s">
        <v>255</v>
      </c>
      <c r="C42" s="23"/>
      <c r="D42" s="24" t="s">
        <v>103</v>
      </c>
      <c r="E42" s="1" t="s">
        <v>43</v>
      </c>
      <c r="F42" s="20" t="s">
        <v>256</v>
      </c>
      <c r="G42">
        <f t="shared" si="7"/>
        <v>31.25</v>
      </c>
      <c r="H42">
        <f t="shared" si="8"/>
        <v>75</v>
      </c>
      <c r="I42">
        <f t="shared" si="9"/>
        <v>22.5</v>
      </c>
      <c r="J42">
        <f t="shared" si="10"/>
        <v>163.04</v>
      </c>
      <c r="K42">
        <f t="shared" si="11"/>
        <v>29.347199999999997</v>
      </c>
      <c r="L42">
        <f t="shared" si="12"/>
        <v>4.1399999999999997</v>
      </c>
      <c r="M42">
        <f t="shared" si="13"/>
        <v>37.5</v>
      </c>
    </row>
    <row r="43" spans="1:13" ht="15" customHeight="1" x14ac:dyDescent="0.3">
      <c r="A43" s="16" t="s">
        <v>221</v>
      </c>
      <c r="B43" s="17" t="s">
        <v>228</v>
      </c>
      <c r="C43" s="18"/>
      <c r="D43" s="19" t="s">
        <v>103</v>
      </c>
      <c r="E43" s="1" t="s">
        <v>43</v>
      </c>
      <c r="F43" s="20" t="s">
        <v>229</v>
      </c>
      <c r="G43">
        <f t="shared" si="7"/>
        <v>150</v>
      </c>
      <c r="H43">
        <f t="shared" si="8"/>
        <v>75</v>
      </c>
      <c r="I43">
        <f t="shared" si="9"/>
        <v>37.5</v>
      </c>
      <c r="J43">
        <f t="shared" si="10"/>
        <v>163.04</v>
      </c>
      <c r="K43">
        <f t="shared" si="11"/>
        <v>29.347199999999997</v>
      </c>
      <c r="L43">
        <f t="shared" si="12"/>
        <v>262.29000000000002</v>
      </c>
      <c r="M43">
        <f t="shared" si="13"/>
        <v>62.5</v>
      </c>
    </row>
    <row r="44" spans="1:13" ht="15" customHeight="1" x14ac:dyDescent="0.3">
      <c r="A44" s="21" t="s">
        <v>221</v>
      </c>
      <c r="B44" s="22" t="s">
        <v>222</v>
      </c>
      <c r="C44" s="23"/>
      <c r="D44" s="24" t="s">
        <v>103</v>
      </c>
      <c r="E44" s="1" t="s">
        <v>43</v>
      </c>
      <c r="F44" s="20" t="s">
        <v>223</v>
      </c>
      <c r="G44">
        <f t="shared" si="7"/>
        <v>187.5</v>
      </c>
      <c r="H44">
        <f t="shared" si="8"/>
        <v>125</v>
      </c>
      <c r="I44">
        <f t="shared" si="9"/>
        <v>62.5</v>
      </c>
      <c r="J44">
        <f t="shared" si="10"/>
        <v>271.74</v>
      </c>
      <c r="K44">
        <f t="shared" si="11"/>
        <v>48.913200000000003</v>
      </c>
      <c r="L44">
        <f t="shared" si="12"/>
        <v>301.27999999999997</v>
      </c>
      <c r="M44">
        <f t="shared" si="13"/>
        <v>104.17</v>
      </c>
    </row>
    <row r="45" spans="1:13" ht="15" customHeight="1" x14ac:dyDescent="0.3">
      <c r="A45" s="16" t="s">
        <v>221</v>
      </c>
      <c r="B45" s="17" t="s">
        <v>325</v>
      </c>
      <c r="C45" s="18"/>
      <c r="D45" s="19" t="s">
        <v>103</v>
      </c>
      <c r="E45" s="1" t="s">
        <v>43</v>
      </c>
      <c r="F45" s="20" t="s">
        <v>225</v>
      </c>
      <c r="G45">
        <f t="shared" si="7"/>
        <v>125</v>
      </c>
      <c r="H45">
        <f t="shared" si="8"/>
        <v>62.5</v>
      </c>
      <c r="I45">
        <f t="shared" si="9"/>
        <v>37.5</v>
      </c>
      <c r="J45">
        <f t="shared" si="10"/>
        <v>135.87</v>
      </c>
      <c r="K45">
        <f t="shared" si="11"/>
        <v>24.456600000000002</v>
      </c>
      <c r="L45">
        <f t="shared" si="12"/>
        <v>218.57</v>
      </c>
      <c r="M45">
        <f t="shared" si="13"/>
        <v>62.5</v>
      </c>
    </row>
    <row r="46" spans="1:13" ht="15" customHeight="1" x14ac:dyDescent="0.3">
      <c r="A46" s="21" t="s">
        <v>221</v>
      </c>
      <c r="B46" s="22" t="s">
        <v>236</v>
      </c>
      <c r="C46" s="23"/>
      <c r="D46" s="24" t="s">
        <v>103</v>
      </c>
      <c r="E46" s="1" t="s">
        <v>43</v>
      </c>
      <c r="F46" s="20" t="s">
        <v>237</v>
      </c>
      <c r="G46">
        <f t="shared" si="7"/>
        <v>62.5</v>
      </c>
      <c r="H46">
        <f t="shared" si="8"/>
        <v>62.5</v>
      </c>
      <c r="I46">
        <f t="shared" si="9"/>
        <v>62.5</v>
      </c>
      <c r="J46">
        <f t="shared" si="10"/>
        <v>135.87</v>
      </c>
      <c r="K46">
        <f t="shared" si="11"/>
        <v>24.456600000000002</v>
      </c>
      <c r="L46">
        <f t="shared" si="12"/>
        <v>82.7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327</v>
      </c>
      <c r="C47" s="18"/>
      <c r="D47" s="19" t="s">
        <v>103</v>
      </c>
      <c r="E47" s="1" t="s">
        <v>43</v>
      </c>
      <c r="F47" s="20" t="s">
        <v>328</v>
      </c>
      <c r="G47">
        <f t="shared" si="7"/>
        <v>150</v>
      </c>
      <c r="H47">
        <f t="shared" si="8"/>
        <v>100</v>
      </c>
      <c r="I47">
        <f t="shared" si="9"/>
        <v>87.5</v>
      </c>
      <c r="J47">
        <f t="shared" si="10"/>
        <v>217.39</v>
      </c>
      <c r="K47">
        <f t="shared" si="11"/>
        <v>39.130199999999995</v>
      </c>
      <c r="L47">
        <f t="shared" si="12"/>
        <v>241.02</v>
      </c>
      <c r="M47">
        <f t="shared" si="13"/>
        <v>145.83000000000001</v>
      </c>
    </row>
    <row r="48" spans="1:13" ht="15" customHeight="1" x14ac:dyDescent="0.3">
      <c r="A48" s="21" t="s">
        <v>221</v>
      </c>
      <c r="B48" s="22" t="s">
        <v>321</v>
      </c>
      <c r="C48" s="23"/>
      <c r="D48" s="24" t="s">
        <v>103</v>
      </c>
      <c r="E48" s="1" t="s">
        <v>43</v>
      </c>
      <c r="F48" s="20" t="s">
        <v>322</v>
      </c>
      <c r="G48">
        <f t="shared" si="7"/>
        <v>150</v>
      </c>
      <c r="H48">
        <f t="shared" si="8"/>
        <v>300</v>
      </c>
      <c r="I48">
        <f t="shared" si="9"/>
        <v>150</v>
      </c>
      <c r="J48">
        <f t="shared" si="10"/>
        <v>652.16999999999996</v>
      </c>
      <c r="K48">
        <f t="shared" si="11"/>
        <v>117.39059999999999</v>
      </c>
      <c r="L48">
        <f t="shared" si="12"/>
        <v>70.89</v>
      </c>
      <c r="M48">
        <f t="shared" si="13"/>
        <v>250</v>
      </c>
    </row>
    <row r="49" spans="1:13" ht="15" customHeight="1" x14ac:dyDescent="0.3">
      <c r="A49" s="16" t="s">
        <v>221</v>
      </c>
      <c r="B49" s="17" t="s">
        <v>333</v>
      </c>
      <c r="C49" s="18"/>
      <c r="D49" s="19" t="s">
        <v>103</v>
      </c>
      <c r="E49" s="1" t="s">
        <v>43</v>
      </c>
      <c r="F49" s="20" t="s">
        <v>334</v>
      </c>
      <c r="G49">
        <f t="shared" si="7"/>
        <v>50</v>
      </c>
      <c r="H49">
        <f t="shared" si="8"/>
        <v>75</v>
      </c>
      <c r="I49">
        <f t="shared" si="9"/>
        <v>150</v>
      </c>
      <c r="J49">
        <f t="shared" si="10"/>
        <v>163.04</v>
      </c>
      <c r="K49">
        <f t="shared" si="11"/>
        <v>29.347199999999997</v>
      </c>
      <c r="L49">
        <f t="shared" si="12"/>
        <v>44.9</v>
      </c>
      <c r="M49">
        <f t="shared" si="13"/>
        <v>250</v>
      </c>
    </row>
    <row r="50" spans="1:13" ht="15" customHeight="1" x14ac:dyDescent="0.3">
      <c r="A50" s="21" t="s">
        <v>221</v>
      </c>
      <c r="B50" s="22" t="s">
        <v>335</v>
      </c>
      <c r="C50" s="23"/>
      <c r="D50" s="24" t="s">
        <v>103</v>
      </c>
      <c r="E50" s="1" t="s">
        <v>43</v>
      </c>
      <c r="F50" s="20" t="s">
        <v>336</v>
      </c>
      <c r="G50">
        <f t="shared" si="7"/>
        <v>112.5</v>
      </c>
      <c r="H50">
        <f t="shared" si="8"/>
        <v>75</v>
      </c>
      <c r="I50">
        <f t="shared" si="9"/>
        <v>300</v>
      </c>
      <c r="J50">
        <f t="shared" si="10"/>
        <v>163.04</v>
      </c>
      <c r="K50">
        <f t="shared" si="11"/>
        <v>29.347199999999997</v>
      </c>
      <c r="L50">
        <f t="shared" si="12"/>
        <v>180.77</v>
      </c>
      <c r="M50">
        <f t="shared" si="13"/>
        <v>500</v>
      </c>
    </row>
    <row r="51" spans="1:13" ht="15" customHeight="1" x14ac:dyDescent="0.3">
      <c r="A51" s="16" t="s">
        <v>221</v>
      </c>
      <c r="B51" s="17" t="s">
        <v>232</v>
      </c>
      <c r="C51" s="18"/>
      <c r="D51" s="19" t="s">
        <v>103</v>
      </c>
      <c r="E51" s="1" t="s">
        <v>43</v>
      </c>
      <c r="F51" s="20" t="s">
        <v>233</v>
      </c>
      <c r="G51">
        <f t="shared" si="7"/>
        <v>125</v>
      </c>
      <c r="H51">
        <f t="shared" si="8"/>
        <v>156.25</v>
      </c>
      <c r="I51">
        <f t="shared" si="9"/>
        <v>31.25</v>
      </c>
      <c r="J51">
        <f t="shared" si="10"/>
        <v>339.67</v>
      </c>
      <c r="K51">
        <f t="shared" si="11"/>
        <v>61.140599999999999</v>
      </c>
      <c r="L51">
        <f t="shared" si="12"/>
        <v>138.82</v>
      </c>
      <c r="M51">
        <f t="shared" si="13"/>
        <v>52.08</v>
      </c>
    </row>
    <row r="52" spans="1:13" ht="15" customHeight="1" x14ac:dyDescent="0.3">
      <c r="A52" s="21" t="s">
        <v>221</v>
      </c>
      <c r="B52" s="22" t="s">
        <v>234</v>
      </c>
      <c r="C52" s="23"/>
      <c r="D52" s="24" t="s">
        <v>103</v>
      </c>
      <c r="E52" s="1" t="s">
        <v>43</v>
      </c>
      <c r="F52" s="20" t="s">
        <v>235</v>
      </c>
      <c r="G52">
        <f t="shared" si="7"/>
        <v>125</v>
      </c>
      <c r="H52">
        <f t="shared" si="8"/>
        <v>125</v>
      </c>
      <c r="I52">
        <f t="shared" si="9"/>
        <v>62.5</v>
      </c>
      <c r="J52">
        <f t="shared" si="10"/>
        <v>271.74</v>
      </c>
      <c r="K52">
        <f t="shared" si="11"/>
        <v>48.913200000000003</v>
      </c>
      <c r="L52">
        <f t="shared" si="12"/>
        <v>165.41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250</v>
      </c>
      <c r="C53" s="18"/>
      <c r="D53" s="19" t="s">
        <v>103</v>
      </c>
      <c r="E53" s="1" t="s">
        <v>43</v>
      </c>
      <c r="F53" s="20" t="s">
        <v>251</v>
      </c>
      <c r="G53">
        <f t="shared" si="7"/>
        <v>75</v>
      </c>
      <c r="H53">
        <f t="shared" si="8"/>
        <v>75</v>
      </c>
      <c r="I53">
        <f t="shared" si="9"/>
        <v>75</v>
      </c>
      <c r="J53">
        <f t="shared" si="10"/>
        <v>163.04</v>
      </c>
      <c r="K53">
        <f t="shared" si="11"/>
        <v>29.347199999999997</v>
      </c>
      <c r="L53">
        <f t="shared" si="12"/>
        <v>99.25</v>
      </c>
      <c r="M53">
        <f t="shared" si="13"/>
        <v>125</v>
      </c>
    </row>
    <row r="54" spans="1:13" ht="18" customHeight="1" x14ac:dyDescent="0.3">
      <c r="A54" s="25" t="s">
        <v>252</v>
      </c>
      <c r="B54" s="25"/>
      <c r="C54" s="25"/>
      <c r="G54" t="str">
        <f t="shared" si="7"/>
        <v/>
      </c>
      <c r="H54" t="str">
        <f t="shared" si="8"/>
        <v/>
      </c>
      <c r="I54" t="str">
        <f t="shared" si="9"/>
        <v/>
      </c>
      <c r="J54" t="str">
        <f t="shared" si="10"/>
        <v/>
      </c>
      <c r="K54" t="str">
        <f t="shared" si="11"/>
        <v/>
      </c>
      <c r="L54" t="str">
        <f t="shared" si="12"/>
        <v/>
      </c>
      <c r="M54" t="str">
        <f t="shared" si="13"/>
        <v/>
      </c>
    </row>
    <row r="55" spans="1:13" ht="15" customHeight="1" x14ac:dyDescent="0.3">
      <c r="A55" s="21" t="s">
        <v>253</v>
      </c>
      <c r="B55" s="22" t="s">
        <v>323</v>
      </c>
      <c r="C55" s="23"/>
      <c r="D55" s="24" t="s">
        <v>103</v>
      </c>
      <c r="E55" s="1" t="s">
        <v>43</v>
      </c>
      <c r="F55" s="20" t="s">
        <v>324</v>
      </c>
      <c r="G55">
        <f t="shared" si="7"/>
        <v>93.75</v>
      </c>
      <c r="H55">
        <f t="shared" si="8"/>
        <v>62.5</v>
      </c>
      <c r="I55">
        <f t="shared" si="9"/>
        <v>62.5</v>
      </c>
      <c r="J55">
        <f t="shared" si="10"/>
        <v>135.87</v>
      </c>
      <c r="K55">
        <f t="shared" si="11"/>
        <v>24.456600000000002</v>
      </c>
      <c r="L55">
        <f t="shared" si="12"/>
        <v>150.63999999999999</v>
      </c>
      <c r="M55">
        <f t="shared" si="13"/>
        <v>104.17</v>
      </c>
    </row>
    <row r="56" spans="1:13" ht="15" customHeight="1" x14ac:dyDescent="0.3">
      <c r="A56" s="16" t="s">
        <v>253</v>
      </c>
      <c r="B56" s="17" t="s">
        <v>255</v>
      </c>
      <c r="C56" s="18"/>
      <c r="D56" s="19" t="s">
        <v>103</v>
      </c>
      <c r="E56" s="1" t="s">
        <v>43</v>
      </c>
      <c r="F56" s="20" t="s">
        <v>256</v>
      </c>
      <c r="G56">
        <f t="shared" si="7"/>
        <v>31.25</v>
      </c>
      <c r="H56">
        <f t="shared" si="8"/>
        <v>75</v>
      </c>
      <c r="I56">
        <f t="shared" si="9"/>
        <v>22.5</v>
      </c>
      <c r="J56">
        <f t="shared" si="10"/>
        <v>163.04</v>
      </c>
      <c r="K56">
        <f t="shared" si="11"/>
        <v>29.347199999999997</v>
      </c>
      <c r="L56">
        <f t="shared" si="12"/>
        <v>4.1399999999999997</v>
      </c>
      <c r="M56">
        <f t="shared" si="13"/>
        <v>37.5</v>
      </c>
    </row>
    <row r="57" spans="1:13" ht="15" customHeight="1" x14ac:dyDescent="0.3">
      <c r="A57" s="21" t="s">
        <v>253</v>
      </c>
      <c r="B57" s="22" t="s">
        <v>228</v>
      </c>
      <c r="C57" s="23"/>
      <c r="D57" s="24" t="s">
        <v>103</v>
      </c>
      <c r="E57" s="1" t="s">
        <v>43</v>
      </c>
      <c r="F57" s="20" t="s">
        <v>229</v>
      </c>
      <c r="G57">
        <f t="shared" si="7"/>
        <v>150</v>
      </c>
      <c r="H57">
        <f t="shared" si="8"/>
        <v>75</v>
      </c>
      <c r="I57">
        <f t="shared" si="9"/>
        <v>37.5</v>
      </c>
      <c r="J57">
        <f t="shared" si="10"/>
        <v>163.04</v>
      </c>
      <c r="K57">
        <f t="shared" si="11"/>
        <v>29.347199999999997</v>
      </c>
      <c r="L57">
        <f t="shared" si="12"/>
        <v>262.29000000000002</v>
      </c>
      <c r="M57">
        <f t="shared" si="13"/>
        <v>62.5</v>
      </c>
    </row>
    <row r="58" spans="1:13" ht="15" customHeight="1" x14ac:dyDescent="0.3">
      <c r="A58" s="16" t="s">
        <v>253</v>
      </c>
      <c r="B58" s="17" t="s">
        <v>259</v>
      </c>
      <c r="C58" s="18"/>
      <c r="D58" s="19" t="s">
        <v>103</v>
      </c>
      <c r="E58" s="1" t="s">
        <v>43</v>
      </c>
      <c r="F58" s="20" t="s">
        <v>260</v>
      </c>
      <c r="G58">
        <f t="shared" si="7"/>
        <v>125</v>
      </c>
      <c r="H58">
        <f t="shared" si="8"/>
        <v>50</v>
      </c>
      <c r="I58">
        <f t="shared" si="9"/>
        <v>175</v>
      </c>
      <c r="J58">
        <f t="shared" si="10"/>
        <v>108.7</v>
      </c>
      <c r="K58">
        <f t="shared" si="11"/>
        <v>19.565999999999999</v>
      </c>
      <c r="L58">
        <f t="shared" si="12"/>
        <v>229.2</v>
      </c>
      <c r="M58">
        <f t="shared" si="13"/>
        <v>291.67</v>
      </c>
    </row>
    <row r="59" spans="1:13" ht="18" customHeight="1" x14ac:dyDescent="0.3">
      <c r="A59" s="25" t="s">
        <v>263</v>
      </c>
      <c r="B59" s="25"/>
      <c r="C59" s="25"/>
      <c r="G59" t="str">
        <f t="shared" si="7"/>
        <v/>
      </c>
      <c r="H59" t="str">
        <f t="shared" si="8"/>
        <v/>
      </c>
      <c r="I59" t="str">
        <f t="shared" si="9"/>
        <v/>
      </c>
      <c r="J59" t="str">
        <f t="shared" si="10"/>
        <v/>
      </c>
      <c r="K59" t="str">
        <f t="shared" si="11"/>
        <v/>
      </c>
      <c r="L59" t="str">
        <f t="shared" si="12"/>
        <v/>
      </c>
      <c r="M59" t="str">
        <f t="shared" si="13"/>
        <v/>
      </c>
    </row>
    <row r="60" spans="1:13" ht="15" customHeight="1" x14ac:dyDescent="0.3">
      <c r="A60" s="21" t="s">
        <v>264</v>
      </c>
      <c r="B60" s="22" t="s">
        <v>296</v>
      </c>
      <c r="C60" s="23"/>
      <c r="D60" s="24" t="s">
        <v>103</v>
      </c>
      <c r="E60" s="1" t="s">
        <v>43</v>
      </c>
      <c r="F60" s="20" t="s">
        <v>268</v>
      </c>
      <c r="G60">
        <f t="shared" si="7"/>
        <v>15</v>
      </c>
      <c r="H60">
        <f t="shared" si="8"/>
        <v>7.5</v>
      </c>
      <c r="I60">
        <f t="shared" si="9"/>
        <v>7.5</v>
      </c>
      <c r="J60">
        <f t="shared" si="10"/>
        <v>16.3</v>
      </c>
      <c r="K60">
        <f t="shared" si="11"/>
        <v>2.9340000000000002</v>
      </c>
      <c r="L60">
        <f t="shared" si="12"/>
        <v>26.23</v>
      </c>
      <c r="M60">
        <f t="shared" si="13"/>
        <v>12.5</v>
      </c>
    </row>
    <row r="61" spans="1:13" ht="15" customHeight="1" x14ac:dyDescent="0.3">
      <c r="A61" s="16" t="s">
        <v>264</v>
      </c>
      <c r="B61" s="17" t="s">
        <v>629</v>
      </c>
      <c r="C61" s="18"/>
      <c r="D61" s="19" t="s">
        <v>103</v>
      </c>
      <c r="E61" s="1" t="s">
        <v>43</v>
      </c>
      <c r="F61" s="20" t="s">
        <v>343</v>
      </c>
      <c r="G61">
        <f t="shared" si="7"/>
        <v>275</v>
      </c>
      <c r="H61">
        <f t="shared" si="8"/>
        <v>56.25</v>
      </c>
      <c r="I61">
        <f t="shared" si="9"/>
        <v>225</v>
      </c>
      <c r="J61">
        <f t="shared" si="10"/>
        <v>122.28</v>
      </c>
      <c r="K61">
        <f t="shared" si="11"/>
        <v>22.010400000000001</v>
      </c>
      <c r="L61">
        <f t="shared" si="12"/>
        <v>549.98</v>
      </c>
      <c r="M61">
        <f t="shared" si="13"/>
        <v>375</v>
      </c>
    </row>
    <row r="62" spans="1:13" ht="15" customHeight="1" x14ac:dyDescent="0.3">
      <c r="A62" s="21" t="s">
        <v>264</v>
      </c>
      <c r="B62" s="22" t="s">
        <v>265</v>
      </c>
      <c r="C62" s="23"/>
      <c r="D62" s="24" t="s">
        <v>103</v>
      </c>
      <c r="E62" s="1" t="s">
        <v>43</v>
      </c>
      <c r="F62" s="20" t="s">
        <v>266</v>
      </c>
      <c r="G62">
        <f t="shared" si="7"/>
        <v>125</v>
      </c>
      <c r="H62">
        <f t="shared" si="8"/>
        <v>50</v>
      </c>
      <c r="I62">
        <f t="shared" si="9"/>
        <v>187.5</v>
      </c>
      <c r="J62">
        <f t="shared" si="10"/>
        <v>108.7</v>
      </c>
      <c r="K62">
        <f t="shared" si="11"/>
        <v>19.565999999999999</v>
      </c>
      <c r="L62">
        <f t="shared" si="12"/>
        <v>229.2</v>
      </c>
      <c r="M62">
        <f t="shared" si="13"/>
        <v>312.5</v>
      </c>
    </row>
    <row r="63" spans="1:13" ht="18" customHeight="1" x14ac:dyDescent="0.3">
      <c r="A63" s="25" t="s">
        <v>269</v>
      </c>
      <c r="B63" s="25"/>
      <c r="C63" s="25"/>
      <c r="G63" t="str">
        <f t="shared" si="7"/>
        <v/>
      </c>
      <c r="H63" t="str">
        <f t="shared" si="8"/>
        <v/>
      </c>
      <c r="I63" t="str">
        <f t="shared" si="9"/>
        <v/>
      </c>
      <c r="J63" t="str">
        <f t="shared" si="10"/>
        <v/>
      </c>
      <c r="K63" t="str">
        <f t="shared" si="11"/>
        <v/>
      </c>
      <c r="L63" t="str">
        <f t="shared" si="12"/>
        <v/>
      </c>
      <c r="M63" t="str">
        <f t="shared" si="13"/>
        <v/>
      </c>
    </row>
    <row r="64" spans="1:13" ht="15" customHeight="1" x14ac:dyDescent="0.3">
      <c r="A64" s="16" t="s">
        <v>270</v>
      </c>
      <c r="B64" s="17" t="s">
        <v>348</v>
      </c>
      <c r="C64" s="18"/>
      <c r="D64" s="19" t="s">
        <v>103</v>
      </c>
      <c r="E64" s="1" t="s">
        <v>43</v>
      </c>
      <c r="F64" s="20" t="s">
        <v>349</v>
      </c>
      <c r="G64">
        <f t="shared" si="7"/>
        <v>37.5</v>
      </c>
      <c r="H64">
        <f t="shared" si="8"/>
        <v>12.5</v>
      </c>
      <c r="I64">
        <f t="shared" si="9"/>
        <v>12.5</v>
      </c>
      <c r="J64">
        <f t="shared" si="10"/>
        <v>27.17</v>
      </c>
      <c r="K64">
        <f t="shared" si="11"/>
        <v>4.8906000000000001</v>
      </c>
      <c r="L64">
        <f t="shared" si="12"/>
        <v>70.89</v>
      </c>
      <c r="M64">
        <f t="shared" si="13"/>
        <v>20.83</v>
      </c>
    </row>
    <row r="65" spans="1:13" ht="15" customHeight="1" x14ac:dyDescent="0.3">
      <c r="A65" s="21" t="s">
        <v>270</v>
      </c>
      <c r="B65" s="22" t="s">
        <v>346</v>
      </c>
      <c r="C65" s="23"/>
      <c r="D65" s="24" t="s">
        <v>103</v>
      </c>
      <c r="E65" s="1" t="s">
        <v>43</v>
      </c>
      <c r="F65" s="20" t="s">
        <v>347</v>
      </c>
      <c r="G65">
        <f t="shared" si="7"/>
        <v>25</v>
      </c>
      <c r="H65">
        <f t="shared" si="8"/>
        <v>12.5</v>
      </c>
      <c r="I65">
        <f t="shared" si="9"/>
        <v>12.5</v>
      </c>
      <c r="J65">
        <f t="shared" si="10"/>
        <v>27.17</v>
      </c>
      <c r="K65">
        <f t="shared" si="11"/>
        <v>4.8906000000000001</v>
      </c>
      <c r="L65">
        <f t="shared" si="12"/>
        <v>43.72</v>
      </c>
      <c r="M65">
        <f t="shared" si="13"/>
        <v>20.83</v>
      </c>
    </row>
    <row r="66" spans="1:13" ht="15" customHeight="1" x14ac:dyDescent="0.3">
      <c r="A66" s="16" t="s">
        <v>270</v>
      </c>
      <c r="B66" s="17" t="s">
        <v>651</v>
      </c>
      <c r="C66" s="18"/>
      <c r="D66" s="19" t="s">
        <v>103</v>
      </c>
      <c r="E66" s="1" t="s">
        <v>43</v>
      </c>
      <c r="F66" s="20" t="s">
        <v>586</v>
      </c>
      <c r="G66">
        <f t="shared" si="7"/>
        <v>125</v>
      </c>
      <c r="H66">
        <f t="shared" si="8"/>
        <v>62.5</v>
      </c>
      <c r="I66">
        <f t="shared" si="9"/>
        <v>125</v>
      </c>
      <c r="J66">
        <f t="shared" si="10"/>
        <v>135.87</v>
      </c>
      <c r="K66">
        <f t="shared" si="11"/>
        <v>24.456600000000002</v>
      </c>
      <c r="L66">
        <f t="shared" si="12"/>
        <v>218.57</v>
      </c>
      <c r="M66">
        <f t="shared" si="13"/>
        <v>208.33</v>
      </c>
    </row>
    <row r="67" spans="1:13" ht="15" customHeight="1" x14ac:dyDescent="0.3">
      <c r="A67" s="21" t="s">
        <v>270</v>
      </c>
      <c r="B67" s="22" t="s">
        <v>271</v>
      </c>
      <c r="C67" s="23"/>
      <c r="D67" s="24" t="s">
        <v>103</v>
      </c>
      <c r="E67" s="1" t="s">
        <v>43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</sheetData>
  <mergeCells count="13">
    <mergeCell ref="A1:C1"/>
    <mergeCell ref="A2:C2"/>
    <mergeCell ref="A3:C3"/>
    <mergeCell ref="A4:C4"/>
    <mergeCell ref="A7:C7"/>
    <mergeCell ref="A54:C54"/>
    <mergeCell ref="A59:C59"/>
    <mergeCell ref="A63:C63"/>
    <mergeCell ref="A13:C13"/>
    <mergeCell ref="A19:C19"/>
    <mergeCell ref="A23:C23"/>
    <mergeCell ref="A28:C28"/>
    <mergeCell ref="A40:C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6BB6A"/>
  </sheetPr>
  <dimension ref="A1:M69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652</v>
      </c>
      <c r="B1" s="26"/>
      <c r="C1" s="26"/>
    </row>
    <row r="2" spans="1:13" ht="19.5" customHeight="1" x14ac:dyDescent="0.3">
      <c r="A2" s="27" t="s">
        <v>653</v>
      </c>
      <c r="B2" s="27"/>
      <c r="C2" s="27"/>
    </row>
    <row r="3" spans="1:13" ht="19.5" customHeight="1" x14ac:dyDescent="0.3">
      <c r="A3" s="27" t="s">
        <v>654</v>
      </c>
      <c r="B3" s="27"/>
      <c r="C3" s="27"/>
    </row>
    <row r="4" spans="1:13" ht="19.5" customHeight="1" x14ac:dyDescent="0.3">
      <c r="A4" s="27" t="s">
        <v>655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656</v>
      </c>
      <c r="C8" s="18"/>
      <c r="D8" s="19" t="s">
        <v>105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105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657</v>
      </c>
      <c r="C10" s="18"/>
      <c r="D10" s="19" t="s">
        <v>105</v>
      </c>
      <c r="E10" s="1" t="s">
        <v>43</v>
      </c>
      <c r="F10" s="20" t="s">
        <v>153</v>
      </c>
      <c r="G10">
        <f t="shared" si="0"/>
        <v>25</v>
      </c>
      <c r="H10">
        <f t="shared" si="1"/>
        <v>25</v>
      </c>
      <c r="I10">
        <f t="shared" si="2"/>
        <v>12.5</v>
      </c>
      <c r="J10">
        <f t="shared" si="3"/>
        <v>54.35</v>
      </c>
      <c r="K10">
        <f t="shared" si="4"/>
        <v>9.7829999999999995</v>
      </c>
      <c r="L10">
        <f t="shared" si="5"/>
        <v>33.08</v>
      </c>
      <c r="M10">
        <f t="shared" si="6"/>
        <v>20.83</v>
      </c>
    </row>
    <row r="11" spans="1:13" ht="15" customHeight="1" x14ac:dyDescent="0.3">
      <c r="A11" s="21" t="s">
        <v>141</v>
      </c>
      <c r="B11" s="22" t="s">
        <v>290</v>
      </c>
      <c r="C11" s="23"/>
      <c r="D11" s="24" t="s">
        <v>105</v>
      </c>
      <c r="E11" s="1" t="s">
        <v>43</v>
      </c>
      <c r="F11" s="20" t="s">
        <v>291</v>
      </c>
      <c r="G11">
        <f t="shared" si="0"/>
        <v>150</v>
      </c>
      <c r="H11">
        <f t="shared" si="1"/>
        <v>75</v>
      </c>
      <c r="I11">
        <f t="shared" si="2"/>
        <v>50</v>
      </c>
      <c r="J11">
        <f t="shared" si="3"/>
        <v>163.04</v>
      </c>
      <c r="K11">
        <f t="shared" si="4"/>
        <v>29.347199999999997</v>
      </c>
      <c r="L11">
        <f t="shared" si="5"/>
        <v>262.29000000000002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647</v>
      </c>
      <c r="C12" s="18"/>
      <c r="D12" s="19" t="s">
        <v>105</v>
      </c>
      <c r="E12" s="1" t="s">
        <v>43</v>
      </c>
      <c r="F12" s="20" t="s">
        <v>288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176</v>
      </c>
      <c r="C14" s="23"/>
      <c r="D14" s="24" t="s">
        <v>105</v>
      </c>
      <c r="E14" s="1" t="s">
        <v>43</v>
      </c>
      <c r="F14" s="20" t="s">
        <v>177</v>
      </c>
      <c r="G14">
        <f t="shared" si="0"/>
        <v>25</v>
      </c>
      <c r="H14">
        <f t="shared" si="1"/>
        <v>75</v>
      </c>
      <c r="I14">
        <f t="shared" si="2"/>
        <v>50</v>
      </c>
      <c r="J14">
        <f t="shared" si="3"/>
        <v>163.04</v>
      </c>
      <c r="K14">
        <f t="shared" si="4"/>
        <v>29.347199999999997</v>
      </c>
      <c r="L14">
        <f t="shared" si="5"/>
        <v>-9.4499999999999993</v>
      </c>
      <c r="M14">
        <f t="shared" si="6"/>
        <v>83.33</v>
      </c>
    </row>
    <row r="15" spans="1:13" ht="15" customHeight="1" x14ac:dyDescent="0.3">
      <c r="A15" s="16" t="s">
        <v>156</v>
      </c>
      <c r="B15" s="17" t="s">
        <v>165</v>
      </c>
      <c r="C15" s="18"/>
      <c r="D15" s="19" t="s">
        <v>105</v>
      </c>
      <c r="E15" s="1" t="s">
        <v>43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163</v>
      </c>
      <c r="C16" s="23"/>
      <c r="D16" s="24" t="s">
        <v>105</v>
      </c>
      <c r="E16" s="1" t="s">
        <v>43</v>
      </c>
      <c r="F16" s="20" t="s">
        <v>164</v>
      </c>
      <c r="G16">
        <f t="shared" si="0"/>
        <v>12.5</v>
      </c>
      <c r="H16">
        <f t="shared" si="1"/>
        <v>25</v>
      </c>
      <c r="I16">
        <f t="shared" si="2"/>
        <v>12.5</v>
      </c>
      <c r="J16">
        <f t="shared" si="3"/>
        <v>54.35</v>
      </c>
      <c r="K16">
        <f t="shared" si="4"/>
        <v>9.7829999999999995</v>
      </c>
      <c r="L16">
        <f t="shared" si="5"/>
        <v>5.91</v>
      </c>
      <c r="M16">
        <f t="shared" si="6"/>
        <v>20.83</v>
      </c>
    </row>
    <row r="17" spans="1:13" ht="15" customHeight="1" x14ac:dyDescent="0.3">
      <c r="A17" s="16" t="s">
        <v>156</v>
      </c>
      <c r="B17" s="17" t="s">
        <v>327</v>
      </c>
      <c r="C17" s="18"/>
      <c r="D17" s="19" t="s">
        <v>105</v>
      </c>
      <c r="E17" s="1" t="s">
        <v>43</v>
      </c>
      <c r="F17" s="20" t="s">
        <v>328</v>
      </c>
      <c r="G17">
        <f t="shared" si="0"/>
        <v>150</v>
      </c>
      <c r="H17">
        <f t="shared" si="1"/>
        <v>100</v>
      </c>
      <c r="I17">
        <f t="shared" si="2"/>
        <v>87.5</v>
      </c>
      <c r="J17">
        <f t="shared" si="3"/>
        <v>217.39</v>
      </c>
      <c r="K17">
        <f t="shared" si="4"/>
        <v>39.130199999999995</v>
      </c>
      <c r="L17">
        <f t="shared" si="5"/>
        <v>241.02</v>
      </c>
      <c r="M17">
        <f t="shared" si="6"/>
        <v>145.83000000000001</v>
      </c>
    </row>
    <row r="18" spans="1:13" ht="15" customHeight="1" x14ac:dyDescent="0.3">
      <c r="A18" s="21" t="s">
        <v>156</v>
      </c>
      <c r="B18" s="22" t="s">
        <v>648</v>
      </c>
      <c r="C18" s="23"/>
      <c r="D18" s="24" t="s">
        <v>105</v>
      </c>
      <c r="E18" s="1" t="s">
        <v>43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292</v>
      </c>
      <c r="C19" s="18"/>
      <c r="D19" s="19" t="s">
        <v>105</v>
      </c>
      <c r="E19" s="1" t="s">
        <v>43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8" customHeight="1" x14ac:dyDescent="0.3">
      <c r="A20" s="25" t="s">
        <v>167</v>
      </c>
      <c r="B20" s="25"/>
      <c r="C20" s="25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5"/>
        <v/>
      </c>
      <c r="M20" t="str">
        <f t="shared" si="6"/>
        <v/>
      </c>
    </row>
    <row r="21" spans="1:13" ht="15" customHeight="1" x14ac:dyDescent="0.3">
      <c r="A21" s="21" t="s">
        <v>168</v>
      </c>
      <c r="B21" s="22" t="s">
        <v>175</v>
      </c>
      <c r="C21" s="23"/>
      <c r="D21" s="24" t="s">
        <v>105</v>
      </c>
      <c r="E21" s="1" t="s">
        <v>43</v>
      </c>
      <c r="F21" s="20" t="s">
        <v>147</v>
      </c>
      <c r="G21">
        <f t="shared" si="0"/>
        <v>100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174.86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294</v>
      </c>
      <c r="C22" s="18"/>
      <c r="D22" s="19" t="s">
        <v>105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5" customHeight="1" x14ac:dyDescent="0.3">
      <c r="A23" s="21" t="s">
        <v>168</v>
      </c>
      <c r="B23" s="22" t="s">
        <v>295</v>
      </c>
      <c r="C23" s="23"/>
      <c r="D23" s="24" t="s">
        <v>105</v>
      </c>
      <c r="E23" s="1" t="s">
        <v>43</v>
      </c>
      <c r="F23" s="20" t="s">
        <v>149</v>
      </c>
      <c r="G23">
        <f t="shared" si="0"/>
        <v>50</v>
      </c>
      <c r="H23">
        <f t="shared" si="1"/>
        <v>25</v>
      </c>
      <c r="I23">
        <f t="shared" si="2"/>
        <v>25</v>
      </c>
      <c r="J23">
        <f t="shared" si="3"/>
        <v>54.35</v>
      </c>
      <c r="K23">
        <f t="shared" si="4"/>
        <v>9.7829999999999995</v>
      </c>
      <c r="L23">
        <f t="shared" si="5"/>
        <v>87.43</v>
      </c>
      <c r="M23">
        <f t="shared" si="6"/>
        <v>41.67</v>
      </c>
    </row>
    <row r="24" spans="1:13" ht="18" customHeight="1" x14ac:dyDescent="0.3">
      <c r="A24" s="25" t="s">
        <v>180</v>
      </c>
      <c r="B24" s="25"/>
      <c r="C24" s="25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5"/>
        <v/>
      </c>
      <c r="M24" t="str">
        <f t="shared" si="6"/>
        <v/>
      </c>
    </row>
    <row r="25" spans="1:13" ht="15" customHeight="1" x14ac:dyDescent="0.3">
      <c r="A25" s="16" t="s">
        <v>181</v>
      </c>
      <c r="B25" s="17" t="s">
        <v>323</v>
      </c>
      <c r="C25" s="18"/>
      <c r="D25" s="19" t="s">
        <v>105</v>
      </c>
      <c r="E25" s="1" t="s">
        <v>43</v>
      </c>
      <c r="F25" s="20" t="s">
        <v>324</v>
      </c>
      <c r="G25">
        <f t="shared" si="0"/>
        <v>93.75</v>
      </c>
      <c r="H25">
        <f t="shared" si="1"/>
        <v>62.5</v>
      </c>
      <c r="I25">
        <f t="shared" si="2"/>
        <v>62.5</v>
      </c>
      <c r="J25">
        <f t="shared" si="3"/>
        <v>135.87</v>
      </c>
      <c r="K25">
        <f t="shared" si="4"/>
        <v>24.456600000000002</v>
      </c>
      <c r="L25">
        <f t="shared" si="5"/>
        <v>150.63999999999999</v>
      </c>
      <c r="M25">
        <f t="shared" si="6"/>
        <v>104.17</v>
      </c>
    </row>
    <row r="26" spans="1:13" ht="15" customHeight="1" x14ac:dyDescent="0.3">
      <c r="A26" s="21" t="s">
        <v>181</v>
      </c>
      <c r="B26" s="22" t="s">
        <v>658</v>
      </c>
      <c r="C26" s="23"/>
      <c r="D26" s="24" t="s">
        <v>105</v>
      </c>
      <c r="E26" s="1" t="s">
        <v>43</v>
      </c>
      <c r="F26" s="20" t="s">
        <v>268</v>
      </c>
      <c r="G26">
        <f t="shared" si="0"/>
        <v>15</v>
      </c>
      <c r="H26">
        <f t="shared" si="1"/>
        <v>7.5</v>
      </c>
      <c r="I26">
        <f t="shared" si="2"/>
        <v>7.5</v>
      </c>
      <c r="J26">
        <f t="shared" si="3"/>
        <v>16.3</v>
      </c>
      <c r="K26">
        <f t="shared" si="4"/>
        <v>2.9340000000000002</v>
      </c>
      <c r="L26">
        <f t="shared" si="5"/>
        <v>26.23</v>
      </c>
      <c r="M26">
        <f t="shared" si="6"/>
        <v>12.5</v>
      </c>
    </row>
    <row r="27" spans="1:13" ht="15" customHeight="1" x14ac:dyDescent="0.3">
      <c r="A27" s="16" t="s">
        <v>181</v>
      </c>
      <c r="B27" s="17" t="s">
        <v>629</v>
      </c>
      <c r="C27" s="18"/>
      <c r="D27" s="19" t="s">
        <v>105</v>
      </c>
      <c r="E27" s="1" t="s">
        <v>43</v>
      </c>
      <c r="F27" s="20" t="s">
        <v>343</v>
      </c>
      <c r="G27">
        <f t="shared" si="0"/>
        <v>275</v>
      </c>
      <c r="H27">
        <f t="shared" si="1"/>
        <v>56.25</v>
      </c>
      <c r="I27">
        <f t="shared" si="2"/>
        <v>225</v>
      </c>
      <c r="J27">
        <f t="shared" si="3"/>
        <v>122.28</v>
      </c>
      <c r="K27">
        <f t="shared" si="4"/>
        <v>22.010400000000001</v>
      </c>
      <c r="L27">
        <f t="shared" si="5"/>
        <v>549.98</v>
      </c>
      <c r="M27">
        <f t="shared" si="6"/>
        <v>375</v>
      </c>
    </row>
    <row r="28" spans="1:13" ht="18" customHeight="1" x14ac:dyDescent="0.3">
      <c r="A28" s="25" t="s">
        <v>187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21" t="s">
        <v>188</v>
      </c>
      <c r="B29" s="22" t="s">
        <v>305</v>
      </c>
      <c r="C29" s="23"/>
      <c r="D29" s="24" t="s">
        <v>105</v>
      </c>
      <c r="E29" s="1" t="s">
        <v>43</v>
      </c>
      <c r="F29" s="20" t="s">
        <v>306</v>
      </c>
      <c r="G29">
        <f t="shared" si="0"/>
        <v>20</v>
      </c>
      <c r="H29">
        <f t="shared" si="1"/>
        <v>5</v>
      </c>
      <c r="I29">
        <f t="shared" si="2"/>
        <v>15</v>
      </c>
      <c r="J29">
        <f t="shared" si="3"/>
        <v>10.87</v>
      </c>
      <c r="K29">
        <f t="shared" si="4"/>
        <v>1.9565999999999999</v>
      </c>
      <c r="L29">
        <f t="shared" si="5"/>
        <v>39.22</v>
      </c>
      <c r="M29">
        <f t="shared" si="6"/>
        <v>25</v>
      </c>
    </row>
    <row r="30" spans="1:13" ht="15" customHeight="1" x14ac:dyDescent="0.3">
      <c r="A30" s="16" t="s">
        <v>188</v>
      </c>
      <c r="B30" s="17" t="s">
        <v>299</v>
      </c>
      <c r="C30" s="18"/>
      <c r="D30" s="19" t="s">
        <v>105</v>
      </c>
      <c r="E30" s="1" t="s">
        <v>43</v>
      </c>
      <c r="F30" s="20" t="s">
        <v>300</v>
      </c>
      <c r="G30">
        <f t="shared" si="0"/>
        <v>750</v>
      </c>
      <c r="H30">
        <f t="shared" si="1"/>
        <v>250</v>
      </c>
      <c r="I30">
        <f t="shared" si="2"/>
        <v>500</v>
      </c>
      <c r="J30">
        <f t="shared" si="3"/>
        <v>543.48</v>
      </c>
      <c r="K30">
        <f t="shared" si="4"/>
        <v>97.826400000000007</v>
      </c>
      <c r="L30">
        <f t="shared" si="5"/>
        <v>1417.77</v>
      </c>
      <c r="M30">
        <f t="shared" si="6"/>
        <v>833.33</v>
      </c>
    </row>
    <row r="31" spans="1:13" ht="15" customHeight="1" x14ac:dyDescent="0.3">
      <c r="A31" s="21" t="s">
        <v>188</v>
      </c>
      <c r="B31" s="22" t="s">
        <v>191</v>
      </c>
      <c r="C31" s="23"/>
      <c r="D31" s="24" t="s">
        <v>105</v>
      </c>
      <c r="E31" s="1" t="s">
        <v>43</v>
      </c>
      <c r="F31" s="20" t="s">
        <v>192</v>
      </c>
      <c r="G31">
        <f t="shared" si="0"/>
        <v>137.5</v>
      </c>
      <c r="H31">
        <f t="shared" si="1"/>
        <v>43.75</v>
      </c>
      <c r="I31">
        <f t="shared" si="2"/>
        <v>412.5</v>
      </c>
      <c r="J31">
        <f t="shared" si="3"/>
        <v>95.11</v>
      </c>
      <c r="K31">
        <f t="shared" si="4"/>
        <v>17.119799999999998</v>
      </c>
      <c r="L31">
        <f t="shared" si="5"/>
        <v>261.7</v>
      </c>
      <c r="M31">
        <f t="shared" si="6"/>
        <v>687.5</v>
      </c>
    </row>
    <row r="32" spans="1:13" ht="15" customHeight="1" x14ac:dyDescent="0.3">
      <c r="A32" s="16" t="s">
        <v>188</v>
      </c>
      <c r="B32" s="17" t="s">
        <v>214</v>
      </c>
      <c r="C32" s="18"/>
      <c r="D32" s="19" t="s">
        <v>105</v>
      </c>
      <c r="E32" s="1" t="s">
        <v>43</v>
      </c>
      <c r="F32" s="20" t="s">
        <v>215</v>
      </c>
      <c r="G32">
        <f t="shared" si="0"/>
        <v>93.75</v>
      </c>
      <c r="H32">
        <f t="shared" si="1"/>
        <v>50</v>
      </c>
      <c r="I32">
        <f t="shared" si="2"/>
        <v>62.5</v>
      </c>
      <c r="J32">
        <f t="shared" si="3"/>
        <v>108.7</v>
      </c>
      <c r="K32">
        <f t="shared" si="4"/>
        <v>19.565999999999999</v>
      </c>
      <c r="L32">
        <f t="shared" si="5"/>
        <v>161.27000000000001</v>
      </c>
      <c r="M32">
        <f t="shared" si="6"/>
        <v>104.17</v>
      </c>
    </row>
    <row r="33" spans="1:13" ht="15" customHeight="1" x14ac:dyDescent="0.3">
      <c r="A33" s="21" t="s">
        <v>188</v>
      </c>
      <c r="B33" s="22" t="s">
        <v>193</v>
      </c>
      <c r="C33" s="23"/>
      <c r="D33" s="24" t="s">
        <v>105</v>
      </c>
      <c r="E33" s="1" t="s">
        <v>43</v>
      </c>
      <c r="F33" s="20" t="s">
        <v>194</v>
      </c>
      <c r="G33">
        <f t="shared" si="0"/>
        <v>125</v>
      </c>
      <c r="H33">
        <f t="shared" si="1"/>
        <v>125</v>
      </c>
      <c r="I33">
        <f t="shared" si="2"/>
        <v>125</v>
      </c>
      <c r="J33">
        <f t="shared" si="3"/>
        <v>271.74</v>
      </c>
      <c r="K33">
        <f t="shared" si="4"/>
        <v>48.913200000000003</v>
      </c>
      <c r="L33">
        <f t="shared" si="5"/>
        <v>165.41</v>
      </c>
      <c r="M33">
        <f t="shared" si="6"/>
        <v>208.33</v>
      </c>
    </row>
    <row r="34" spans="1:13" ht="15" customHeight="1" x14ac:dyDescent="0.3">
      <c r="A34" s="16" t="s">
        <v>188</v>
      </c>
      <c r="B34" s="17" t="s">
        <v>195</v>
      </c>
      <c r="C34" s="18"/>
      <c r="D34" s="19" t="s">
        <v>105</v>
      </c>
      <c r="E34" s="1" t="s">
        <v>43</v>
      </c>
      <c r="F34" s="20" t="s">
        <v>194</v>
      </c>
      <c r="G34">
        <f t="shared" si="0"/>
        <v>125</v>
      </c>
      <c r="H34">
        <f t="shared" si="1"/>
        <v>125</v>
      </c>
      <c r="I34">
        <f t="shared" si="2"/>
        <v>125</v>
      </c>
      <c r="J34">
        <f t="shared" si="3"/>
        <v>271.74</v>
      </c>
      <c r="K34">
        <f t="shared" si="4"/>
        <v>48.913200000000003</v>
      </c>
      <c r="L34">
        <f t="shared" si="5"/>
        <v>165.41</v>
      </c>
      <c r="M34">
        <f t="shared" si="6"/>
        <v>208.33</v>
      </c>
    </row>
    <row r="35" spans="1:13" ht="15" customHeight="1" x14ac:dyDescent="0.3">
      <c r="A35" s="21" t="s">
        <v>188</v>
      </c>
      <c r="B35" s="22" t="s">
        <v>314</v>
      </c>
      <c r="C35" s="23"/>
      <c r="D35" s="24" t="s">
        <v>105</v>
      </c>
      <c r="E35" s="1" t="s">
        <v>43</v>
      </c>
      <c r="F35" s="20" t="s">
        <v>315</v>
      </c>
      <c r="G35">
        <f t="shared" si="0"/>
        <v>25</v>
      </c>
      <c r="H35">
        <f t="shared" si="1"/>
        <v>25</v>
      </c>
      <c r="I35">
        <f t="shared" si="2"/>
        <v>18.75</v>
      </c>
      <c r="J35">
        <f t="shared" si="3"/>
        <v>54.35</v>
      </c>
      <c r="K35">
        <f t="shared" si="4"/>
        <v>9.7829999999999995</v>
      </c>
      <c r="L35">
        <f t="shared" si="5"/>
        <v>33.08</v>
      </c>
      <c r="M35">
        <f t="shared" si="6"/>
        <v>31.25</v>
      </c>
    </row>
    <row r="36" spans="1:13" ht="15" customHeight="1" x14ac:dyDescent="0.3">
      <c r="A36" s="16" t="s">
        <v>188</v>
      </c>
      <c r="B36" s="17" t="s">
        <v>303</v>
      </c>
      <c r="C36" s="18"/>
      <c r="D36" s="19" t="s">
        <v>105</v>
      </c>
      <c r="E36" s="1" t="s">
        <v>43</v>
      </c>
      <c r="F36" s="20" t="s">
        <v>304</v>
      </c>
      <c r="G36">
        <f t="shared" si="0"/>
        <v>1093.75</v>
      </c>
      <c r="H36">
        <f t="shared" si="1"/>
        <v>687.5</v>
      </c>
      <c r="I36">
        <f t="shared" si="2"/>
        <v>1062.5</v>
      </c>
      <c r="J36">
        <f t="shared" si="3"/>
        <v>1494.57</v>
      </c>
      <c r="K36">
        <f t="shared" si="4"/>
        <v>269.02259999999995</v>
      </c>
      <c r="L36">
        <f t="shared" si="5"/>
        <v>1792.89</v>
      </c>
      <c r="M36">
        <f t="shared" si="6"/>
        <v>1770.83</v>
      </c>
    </row>
    <row r="37" spans="1:13" ht="15" customHeight="1" x14ac:dyDescent="0.3">
      <c r="A37" s="21" t="s">
        <v>188</v>
      </c>
      <c r="B37" s="22" t="s">
        <v>308</v>
      </c>
      <c r="C37" s="23"/>
      <c r="D37" s="24" t="s">
        <v>105</v>
      </c>
      <c r="E37" s="1" t="s">
        <v>43</v>
      </c>
      <c r="F37" s="20" t="s">
        <v>302</v>
      </c>
      <c r="G37">
        <f t="shared" si="0"/>
        <v>625</v>
      </c>
      <c r="H37">
        <f t="shared" si="1"/>
        <v>1250</v>
      </c>
      <c r="I37">
        <f t="shared" si="2"/>
        <v>1250</v>
      </c>
      <c r="J37">
        <f t="shared" si="3"/>
        <v>2717.39</v>
      </c>
      <c r="K37">
        <f t="shared" si="4"/>
        <v>489.13019999999995</v>
      </c>
      <c r="L37">
        <f t="shared" si="5"/>
        <v>295.37</v>
      </c>
      <c r="M37">
        <f t="shared" si="6"/>
        <v>2083.33</v>
      </c>
    </row>
    <row r="38" spans="1:13" ht="15" customHeight="1" x14ac:dyDescent="0.3">
      <c r="A38" s="16" t="s">
        <v>188</v>
      </c>
      <c r="B38" s="17" t="s">
        <v>307</v>
      </c>
      <c r="C38" s="18"/>
      <c r="D38" s="19" t="s">
        <v>105</v>
      </c>
      <c r="E38" s="1" t="s">
        <v>43</v>
      </c>
      <c r="F38" s="20" t="s">
        <v>302</v>
      </c>
      <c r="G38">
        <f t="shared" si="0"/>
        <v>625</v>
      </c>
      <c r="H38">
        <f t="shared" si="1"/>
        <v>1250</v>
      </c>
      <c r="I38">
        <f t="shared" si="2"/>
        <v>1250</v>
      </c>
      <c r="J38">
        <f t="shared" si="3"/>
        <v>2717.39</v>
      </c>
      <c r="K38">
        <f t="shared" si="4"/>
        <v>489.13019999999995</v>
      </c>
      <c r="L38">
        <f t="shared" si="5"/>
        <v>295.37</v>
      </c>
      <c r="M38">
        <f t="shared" si="6"/>
        <v>2083.33</v>
      </c>
    </row>
    <row r="39" spans="1:13" ht="18" customHeight="1" x14ac:dyDescent="0.3">
      <c r="A39" s="25" t="s">
        <v>220</v>
      </c>
      <c r="B39" s="25"/>
      <c r="C39" s="25"/>
      <c r="G39" t="str">
        <f t="shared" ref="G39:G69" si="7">IF($F39="","",IFERROR(VALUE(TRIM(LEFT($F39,FIND(":",$F39)-1)))*1.25,"N/A"))</f>
        <v/>
      </c>
      <c r="H39" t="str">
        <f t="shared" ref="H39:H69" si="8">IF($F39="","",IFERROR(VALUE(TRIM(MID($F39,FIND(":",$F39)+1,FIND(":",$F39,FIND(":",$F39)+1)-FIND(":",$F39)-1)))*1.25,"N/A"))</f>
        <v/>
      </c>
      <c r="I39" t="str">
        <f t="shared" ref="I39:I69" si="9">IF($F39="","",IFERROR(VALUE(TRIM(LEFT(MID($F39,FIND(":",$F39,FIND(":",$F39)+1)+1,LEN($F39)),FIND(" ",MID($F39,FIND(":",$F39,FIND(":",$F39)+1)+1,LEN($F39))&amp;" ")-1)))*1.25,"N/A"))</f>
        <v/>
      </c>
      <c r="J39" t="str">
        <f t="shared" ref="J39:J69" si="10">IF(OR($F39="",$H39="N/A"),IF($F39="","","N/A"),ROUND($H39/0.46,2))</f>
        <v/>
      </c>
      <c r="K39" t="str">
        <f t="shared" ref="K39:K69" si="11">IF(OR($F39="",$J39="N/A"),IF($F39="","","N/A"),$J39*0.18)</f>
        <v/>
      </c>
      <c r="L39" t="str">
        <f t="shared" ref="L39:L69" si="12">IF(OR($F39="",$G39="N/A",$K39="N/A"),IF($F39="","","N/A"),ROUND(($G39-$K39)/0.46,2))</f>
        <v/>
      </c>
      <c r="M39" t="str">
        <f t="shared" ref="M39:M69" si="13">IF(OR($F39="",$I39="N/A"),IF($F39="","","N/A"),ROUND($I39/0.6,2))</f>
        <v/>
      </c>
    </row>
    <row r="40" spans="1:13" ht="15" customHeight="1" x14ac:dyDescent="0.3">
      <c r="A40" s="21" t="s">
        <v>221</v>
      </c>
      <c r="B40" s="22" t="s">
        <v>321</v>
      </c>
      <c r="C40" s="23"/>
      <c r="D40" s="24" t="s">
        <v>105</v>
      </c>
      <c r="E40" s="1" t="s">
        <v>43</v>
      </c>
      <c r="F40" s="20" t="s">
        <v>322</v>
      </c>
      <c r="G40">
        <f t="shared" si="7"/>
        <v>150</v>
      </c>
      <c r="H40">
        <f t="shared" si="8"/>
        <v>300</v>
      </c>
      <c r="I40">
        <f t="shared" si="9"/>
        <v>150</v>
      </c>
      <c r="J40">
        <f t="shared" si="10"/>
        <v>652.16999999999996</v>
      </c>
      <c r="K40">
        <f t="shared" si="11"/>
        <v>117.39059999999999</v>
      </c>
      <c r="L40">
        <f t="shared" si="12"/>
        <v>70.89</v>
      </c>
      <c r="M40">
        <f t="shared" si="13"/>
        <v>250</v>
      </c>
    </row>
    <row r="41" spans="1:13" ht="15" customHeight="1" x14ac:dyDescent="0.3">
      <c r="A41" s="16" t="s">
        <v>221</v>
      </c>
      <c r="B41" s="17" t="s">
        <v>222</v>
      </c>
      <c r="C41" s="18"/>
      <c r="D41" s="19" t="s">
        <v>105</v>
      </c>
      <c r="E41" s="1" t="s">
        <v>43</v>
      </c>
      <c r="F41" s="20" t="s">
        <v>223</v>
      </c>
      <c r="G41">
        <f t="shared" si="7"/>
        <v>187.5</v>
      </c>
      <c r="H41">
        <f t="shared" si="8"/>
        <v>125</v>
      </c>
      <c r="I41">
        <f t="shared" si="9"/>
        <v>62.5</v>
      </c>
      <c r="J41">
        <f t="shared" si="10"/>
        <v>271.74</v>
      </c>
      <c r="K41">
        <f t="shared" si="11"/>
        <v>48.913200000000003</v>
      </c>
      <c r="L41">
        <f t="shared" si="12"/>
        <v>301.27999999999997</v>
      </c>
      <c r="M41">
        <f t="shared" si="13"/>
        <v>104.17</v>
      </c>
    </row>
    <row r="42" spans="1:13" ht="15" customHeight="1" x14ac:dyDescent="0.3">
      <c r="A42" s="21" t="s">
        <v>221</v>
      </c>
      <c r="B42" s="22" t="s">
        <v>659</v>
      </c>
      <c r="C42" s="23"/>
      <c r="D42" s="24" t="s">
        <v>105</v>
      </c>
      <c r="E42" s="1" t="s">
        <v>43</v>
      </c>
      <c r="F42" s="20" t="s">
        <v>229</v>
      </c>
      <c r="G42">
        <f t="shared" si="7"/>
        <v>150</v>
      </c>
      <c r="H42">
        <f t="shared" si="8"/>
        <v>75</v>
      </c>
      <c r="I42">
        <f t="shared" si="9"/>
        <v>37.5</v>
      </c>
      <c r="J42">
        <f t="shared" si="10"/>
        <v>163.04</v>
      </c>
      <c r="K42">
        <f t="shared" si="11"/>
        <v>29.347199999999997</v>
      </c>
      <c r="L42">
        <f t="shared" si="12"/>
        <v>262.29000000000002</v>
      </c>
      <c r="M42">
        <f t="shared" si="13"/>
        <v>62.5</v>
      </c>
    </row>
    <row r="43" spans="1:13" ht="15" customHeight="1" x14ac:dyDescent="0.3">
      <c r="A43" s="16" t="s">
        <v>221</v>
      </c>
      <c r="B43" s="17" t="s">
        <v>325</v>
      </c>
      <c r="C43" s="18"/>
      <c r="D43" s="19" t="s">
        <v>105</v>
      </c>
      <c r="E43" s="1" t="s">
        <v>43</v>
      </c>
      <c r="F43" s="20" t="s">
        <v>225</v>
      </c>
      <c r="G43">
        <f t="shared" si="7"/>
        <v>125</v>
      </c>
      <c r="H43">
        <f t="shared" si="8"/>
        <v>62.5</v>
      </c>
      <c r="I43">
        <f t="shared" si="9"/>
        <v>37.5</v>
      </c>
      <c r="J43">
        <f t="shared" si="10"/>
        <v>135.87</v>
      </c>
      <c r="K43">
        <f t="shared" si="11"/>
        <v>24.456600000000002</v>
      </c>
      <c r="L43">
        <f t="shared" si="12"/>
        <v>218.57</v>
      </c>
      <c r="M43">
        <f t="shared" si="13"/>
        <v>62.5</v>
      </c>
    </row>
    <row r="44" spans="1:13" ht="15" customHeight="1" x14ac:dyDescent="0.3">
      <c r="A44" s="21" t="s">
        <v>221</v>
      </c>
      <c r="B44" s="22" t="s">
        <v>232</v>
      </c>
      <c r="C44" s="23"/>
      <c r="D44" s="24" t="s">
        <v>105</v>
      </c>
      <c r="E44" s="1" t="s">
        <v>43</v>
      </c>
      <c r="F44" s="20" t="s">
        <v>233</v>
      </c>
      <c r="G44">
        <f t="shared" si="7"/>
        <v>125</v>
      </c>
      <c r="H44">
        <f t="shared" si="8"/>
        <v>156.25</v>
      </c>
      <c r="I44">
        <f t="shared" si="9"/>
        <v>31.25</v>
      </c>
      <c r="J44">
        <f t="shared" si="10"/>
        <v>339.67</v>
      </c>
      <c r="K44">
        <f t="shared" si="11"/>
        <v>61.140599999999999</v>
      </c>
      <c r="L44">
        <f t="shared" si="12"/>
        <v>138.82</v>
      </c>
      <c r="M44">
        <f t="shared" si="13"/>
        <v>52.08</v>
      </c>
    </row>
    <row r="45" spans="1:13" ht="15" customHeight="1" x14ac:dyDescent="0.3">
      <c r="A45" s="16" t="s">
        <v>221</v>
      </c>
      <c r="B45" s="17" t="s">
        <v>234</v>
      </c>
      <c r="C45" s="18"/>
      <c r="D45" s="19" t="s">
        <v>105</v>
      </c>
      <c r="E45" s="1" t="s">
        <v>43</v>
      </c>
      <c r="F45" s="20" t="s">
        <v>235</v>
      </c>
      <c r="G45">
        <f t="shared" si="7"/>
        <v>125</v>
      </c>
      <c r="H45">
        <f t="shared" si="8"/>
        <v>125</v>
      </c>
      <c r="I45">
        <f t="shared" si="9"/>
        <v>62.5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236</v>
      </c>
      <c r="C46" s="23"/>
      <c r="D46" s="24" t="s">
        <v>105</v>
      </c>
      <c r="E46" s="1" t="s">
        <v>43</v>
      </c>
      <c r="F46" s="20" t="s">
        <v>237</v>
      </c>
      <c r="G46">
        <f t="shared" si="7"/>
        <v>62.5</v>
      </c>
      <c r="H46">
        <f t="shared" si="8"/>
        <v>62.5</v>
      </c>
      <c r="I46">
        <f t="shared" si="9"/>
        <v>62.5</v>
      </c>
      <c r="J46">
        <f t="shared" si="10"/>
        <v>135.87</v>
      </c>
      <c r="K46">
        <f t="shared" si="11"/>
        <v>24.456600000000002</v>
      </c>
      <c r="L46">
        <f t="shared" si="12"/>
        <v>82.7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327</v>
      </c>
      <c r="C47" s="18"/>
      <c r="D47" s="19" t="s">
        <v>105</v>
      </c>
      <c r="E47" s="1" t="s">
        <v>43</v>
      </c>
      <c r="F47" s="20" t="s">
        <v>328</v>
      </c>
      <c r="G47">
        <f t="shared" si="7"/>
        <v>150</v>
      </c>
      <c r="H47">
        <f t="shared" si="8"/>
        <v>100</v>
      </c>
      <c r="I47">
        <f t="shared" si="9"/>
        <v>87.5</v>
      </c>
      <c r="J47">
        <f t="shared" si="10"/>
        <v>217.39</v>
      </c>
      <c r="K47">
        <f t="shared" si="11"/>
        <v>39.130199999999995</v>
      </c>
      <c r="L47">
        <f t="shared" si="12"/>
        <v>241.02</v>
      </c>
      <c r="M47">
        <f t="shared" si="13"/>
        <v>145.83000000000001</v>
      </c>
    </row>
    <row r="48" spans="1:13" ht="15" customHeight="1" x14ac:dyDescent="0.3">
      <c r="A48" s="21" t="s">
        <v>221</v>
      </c>
      <c r="B48" s="22" t="s">
        <v>329</v>
      </c>
      <c r="C48" s="23"/>
      <c r="D48" s="24" t="s">
        <v>105</v>
      </c>
      <c r="E48" s="1" t="s">
        <v>43</v>
      </c>
      <c r="F48" s="20" t="s">
        <v>330</v>
      </c>
      <c r="G48">
        <f t="shared" si="7"/>
        <v>62.5</v>
      </c>
      <c r="H48">
        <f t="shared" si="8"/>
        <v>125</v>
      </c>
      <c r="I48">
        <f t="shared" si="9"/>
        <v>62.5</v>
      </c>
      <c r="J48">
        <f t="shared" si="10"/>
        <v>271.74</v>
      </c>
      <c r="K48">
        <f t="shared" si="11"/>
        <v>48.913200000000003</v>
      </c>
      <c r="L48">
        <f t="shared" si="12"/>
        <v>29.54</v>
      </c>
      <c r="M48">
        <f t="shared" si="13"/>
        <v>104.17</v>
      </c>
    </row>
    <row r="49" spans="1:13" ht="15" customHeight="1" x14ac:dyDescent="0.3">
      <c r="A49" s="16" t="s">
        <v>221</v>
      </c>
      <c r="B49" s="17" t="s">
        <v>335</v>
      </c>
      <c r="C49" s="18"/>
      <c r="D49" s="19" t="s">
        <v>105</v>
      </c>
      <c r="E49" s="1" t="s">
        <v>43</v>
      </c>
      <c r="F49" s="20" t="s">
        <v>336</v>
      </c>
      <c r="G49">
        <f t="shared" si="7"/>
        <v>112.5</v>
      </c>
      <c r="H49">
        <f t="shared" si="8"/>
        <v>75</v>
      </c>
      <c r="I49">
        <f t="shared" si="9"/>
        <v>300</v>
      </c>
      <c r="J49">
        <f t="shared" si="10"/>
        <v>163.04</v>
      </c>
      <c r="K49">
        <f t="shared" si="11"/>
        <v>29.347199999999997</v>
      </c>
      <c r="L49">
        <f t="shared" si="12"/>
        <v>180.77</v>
      </c>
      <c r="M49">
        <f t="shared" si="13"/>
        <v>500</v>
      </c>
    </row>
    <row r="50" spans="1:13" ht="15" customHeight="1" x14ac:dyDescent="0.3">
      <c r="A50" s="21" t="s">
        <v>221</v>
      </c>
      <c r="B50" s="22" t="s">
        <v>333</v>
      </c>
      <c r="C50" s="23"/>
      <c r="D50" s="24" t="s">
        <v>105</v>
      </c>
      <c r="E50" s="1" t="s">
        <v>43</v>
      </c>
      <c r="F50" s="20" t="s">
        <v>334</v>
      </c>
      <c r="G50">
        <f t="shared" si="7"/>
        <v>50</v>
      </c>
      <c r="H50">
        <f t="shared" si="8"/>
        <v>75</v>
      </c>
      <c r="I50">
        <f t="shared" si="9"/>
        <v>150</v>
      </c>
      <c r="J50">
        <f t="shared" si="10"/>
        <v>163.04</v>
      </c>
      <c r="K50">
        <f t="shared" si="11"/>
        <v>29.347199999999997</v>
      </c>
      <c r="L50">
        <f t="shared" si="12"/>
        <v>44.9</v>
      </c>
      <c r="M50">
        <f t="shared" si="13"/>
        <v>250</v>
      </c>
    </row>
    <row r="51" spans="1:13" ht="15" customHeight="1" x14ac:dyDescent="0.3">
      <c r="A51" s="16" t="s">
        <v>221</v>
      </c>
      <c r="B51" s="17" t="s">
        <v>323</v>
      </c>
      <c r="C51" s="18"/>
      <c r="D51" s="19" t="s">
        <v>105</v>
      </c>
      <c r="E51" s="1" t="s">
        <v>43</v>
      </c>
      <c r="F51" s="20" t="s">
        <v>324</v>
      </c>
      <c r="G51">
        <f t="shared" si="7"/>
        <v>93.75</v>
      </c>
      <c r="H51">
        <f t="shared" si="8"/>
        <v>62.5</v>
      </c>
      <c r="I51">
        <f t="shared" si="9"/>
        <v>62.5</v>
      </c>
      <c r="J51">
        <f t="shared" si="10"/>
        <v>135.87</v>
      </c>
      <c r="K51">
        <f t="shared" si="11"/>
        <v>24.456600000000002</v>
      </c>
      <c r="L51">
        <f t="shared" si="12"/>
        <v>150.63999999999999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365</v>
      </c>
      <c r="C52" s="23"/>
      <c r="D52" s="24" t="s">
        <v>105</v>
      </c>
      <c r="E52" s="1" t="s">
        <v>43</v>
      </c>
      <c r="F52" s="20" t="s">
        <v>366</v>
      </c>
      <c r="G52">
        <f t="shared" si="7"/>
        <v>93.75</v>
      </c>
      <c r="H52">
        <f t="shared" si="8"/>
        <v>93.75</v>
      </c>
      <c r="I52">
        <f t="shared" si="9"/>
        <v>93.75</v>
      </c>
      <c r="J52">
        <f t="shared" si="10"/>
        <v>203.8</v>
      </c>
      <c r="K52">
        <f t="shared" si="11"/>
        <v>36.683999999999997</v>
      </c>
      <c r="L52">
        <f t="shared" si="12"/>
        <v>124.06</v>
      </c>
      <c r="M52">
        <f t="shared" si="13"/>
        <v>156.25</v>
      </c>
    </row>
    <row r="53" spans="1:13" ht="15" customHeight="1" x14ac:dyDescent="0.3">
      <c r="A53" s="16" t="s">
        <v>221</v>
      </c>
      <c r="B53" s="17" t="s">
        <v>250</v>
      </c>
      <c r="C53" s="18"/>
      <c r="D53" s="19" t="s">
        <v>105</v>
      </c>
      <c r="E53" s="1" t="s">
        <v>43</v>
      </c>
      <c r="F53" s="20" t="s">
        <v>251</v>
      </c>
      <c r="G53">
        <f t="shared" si="7"/>
        <v>75</v>
      </c>
      <c r="H53">
        <f t="shared" si="8"/>
        <v>75</v>
      </c>
      <c r="I53">
        <f t="shared" si="9"/>
        <v>75</v>
      </c>
      <c r="J53">
        <f t="shared" si="10"/>
        <v>163.04</v>
      </c>
      <c r="K53">
        <f t="shared" si="11"/>
        <v>29.347199999999997</v>
      </c>
      <c r="L53">
        <f t="shared" si="12"/>
        <v>99.25</v>
      </c>
      <c r="M53">
        <f t="shared" si="13"/>
        <v>125</v>
      </c>
    </row>
    <row r="54" spans="1:13" ht="15" customHeight="1" x14ac:dyDescent="0.3">
      <c r="A54" s="21" t="s">
        <v>221</v>
      </c>
      <c r="B54" s="22" t="s">
        <v>240</v>
      </c>
      <c r="C54" s="23"/>
      <c r="D54" s="24" t="s">
        <v>105</v>
      </c>
      <c r="E54" s="1" t="s">
        <v>43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8" customHeight="1" x14ac:dyDescent="0.3">
      <c r="A55" s="25" t="s">
        <v>252</v>
      </c>
      <c r="B55" s="25"/>
      <c r="C55" s="25"/>
      <c r="G55" t="str">
        <f t="shared" si="7"/>
        <v/>
      </c>
      <c r="H55" t="str">
        <f t="shared" si="8"/>
        <v/>
      </c>
      <c r="I55" t="str">
        <f t="shared" si="9"/>
        <v/>
      </c>
      <c r="J55" t="str">
        <f t="shared" si="10"/>
        <v/>
      </c>
      <c r="K55" t="str">
        <f t="shared" si="11"/>
        <v/>
      </c>
      <c r="L55" t="str">
        <f t="shared" si="12"/>
        <v/>
      </c>
      <c r="M55" t="str">
        <f t="shared" si="13"/>
        <v/>
      </c>
    </row>
    <row r="56" spans="1:13" ht="15" customHeight="1" x14ac:dyDescent="0.3">
      <c r="A56" s="16" t="s">
        <v>253</v>
      </c>
      <c r="B56" s="17" t="s">
        <v>660</v>
      </c>
      <c r="C56" s="18"/>
      <c r="D56" s="19" t="s">
        <v>105</v>
      </c>
      <c r="E56" s="1" t="s">
        <v>43</v>
      </c>
      <c r="F56" s="20" t="s">
        <v>468</v>
      </c>
      <c r="G56">
        <f t="shared" si="7"/>
        <v>125</v>
      </c>
      <c r="H56">
        <f t="shared" si="8"/>
        <v>62.5</v>
      </c>
      <c r="I56">
        <f t="shared" si="9"/>
        <v>62.5</v>
      </c>
      <c r="J56">
        <f t="shared" si="10"/>
        <v>135.87</v>
      </c>
      <c r="K56">
        <f t="shared" si="11"/>
        <v>24.456600000000002</v>
      </c>
      <c r="L56">
        <f t="shared" si="12"/>
        <v>218.57</v>
      </c>
      <c r="M56">
        <f t="shared" si="13"/>
        <v>104.17</v>
      </c>
    </row>
    <row r="57" spans="1:13" ht="15" customHeight="1" x14ac:dyDescent="0.3">
      <c r="A57" s="21" t="s">
        <v>253</v>
      </c>
      <c r="B57" s="22" t="s">
        <v>323</v>
      </c>
      <c r="C57" s="23"/>
      <c r="D57" s="24" t="s">
        <v>105</v>
      </c>
      <c r="E57" s="1" t="s">
        <v>43</v>
      </c>
      <c r="F57" s="20" t="s">
        <v>324</v>
      </c>
      <c r="G57">
        <f t="shared" si="7"/>
        <v>93.75</v>
      </c>
      <c r="H57">
        <f t="shared" si="8"/>
        <v>62.5</v>
      </c>
      <c r="I57">
        <f t="shared" si="9"/>
        <v>62.5</v>
      </c>
      <c r="J57">
        <f t="shared" si="10"/>
        <v>135.87</v>
      </c>
      <c r="K57">
        <f t="shared" si="11"/>
        <v>24.456600000000002</v>
      </c>
      <c r="L57">
        <f t="shared" si="12"/>
        <v>150.63999999999999</v>
      </c>
      <c r="M57">
        <f t="shared" si="13"/>
        <v>104.17</v>
      </c>
    </row>
    <row r="58" spans="1:13" ht="15" customHeight="1" x14ac:dyDescent="0.3">
      <c r="A58" s="16" t="s">
        <v>253</v>
      </c>
      <c r="B58" s="17" t="s">
        <v>255</v>
      </c>
      <c r="C58" s="18"/>
      <c r="D58" s="19" t="s">
        <v>105</v>
      </c>
      <c r="E58" s="1" t="s">
        <v>43</v>
      </c>
      <c r="F58" s="20" t="s">
        <v>256</v>
      </c>
      <c r="G58">
        <f t="shared" si="7"/>
        <v>31.25</v>
      </c>
      <c r="H58">
        <f t="shared" si="8"/>
        <v>75</v>
      </c>
      <c r="I58">
        <f t="shared" si="9"/>
        <v>22.5</v>
      </c>
      <c r="J58">
        <f t="shared" si="10"/>
        <v>163.04</v>
      </c>
      <c r="K58">
        <f t="shared" si="11"/>
        <v>29.347199999999997</v>
      </c>
      <c r="L58">
        <f t="shared" si="12"/>
        <v>4.1399999999999997</v>
      </c>
      <c r="M58">
        <f t="shared" si="13"/>
        <v>37.5</v>
      </c>
    </row>
    <row r="59" spans="1:13" ht="15" customHeight="1" x14ac:dyDescent="0.3">
      <c r="A59" s="21" t="s">
        <v>253</v>
      </c>
      <c r="B59" s="22" t="s">
        <v>259</v>
      </c>
      <c r="C59" s="23"/>
      <c r="D59" s="24" t="s">
        <v>105</v>
      </c>
      <c r="E59" s="1" t="s">
        <v>43</v>
      </c>
      <c r="F59" s="20" t="s">
        <v>260</v>
      </c>
      <c r="G59">
        <f t="shared" si="7"/>
        <v>125</v>
      </c>
      <c r="H59">
        <f t="shared" si="8"/>
        <v>50</v>
      </c>
      <c r="I59">
        <f t="shared" si="9"/>
        <v>175</v>
      </c>
      <c r="J59">
        <f t="shared" si="10"/>
        <v>108.7</v>
      </c>
      <c r="K59">
        <f t="shared" si="11"/>
        <v>19.565999999999999</v>
      </c>
      <c r="L59">
        <f t="shared" si="12"/>
        <v>229.2</v>
      </c>
      <c r="M59">
        <f t="shared" si="13"/>
        <v>291.67</v>
      </c>
    </row>
    <row r="60" spans="1:13" ht="15" customHeight="1" x14ac:dyDescent="0.3">
      <c r="A60" s="16" t="s">
        <v>253</v>
      </c>
      <c r="B60" s="17" t="s">
        <v>337</v>
      </c>
      <c r="C60" s="18"/>
      <c r="D60" s="19" t="s">
        <v>105</v>
      </c>
      <c r="E60" s="1" t="s">
        <v>43</v>
      </c>
      <c r="F60" s="20" t="s">
        <v>338</v>
      </c>
      <c r="G60">
        <f t="shared" si="7"/>
        <v>93.75</v>
      </c>
      <c r="H60">
        <f t="shared" si="8"/>
        <v>93.75</v>
      </c>
      <c r="I60">
        <f t="shared" si="9"/>
        <v>187.5</v>
      </c>
      <c r="J60">
        <f t="shared" si="10"/>
        <v>203.8</v>
      </c>
      <c r="K60">
        <f t="shared" si="11"/>
        <v>36.683999999999997</v>
      </c>
      <c r="L60">
        <f t="shared" si="12"/>
        <v>124.06</v>
      </c>
      <c r="M60">
        <f t="shared" si="13"/>
        <v>312.5</v>
      </c>
    </row>
    <row r="61" spans="1:13" ht="18" customHeight="1" x14ac:dyDescent="0.3">
      <c r="A61" s="25" t="s">
        <v>263</v>
      </c>
      <c r="B61" s="25"/>
      <c r="C61" s="25"/>
      <c r="G61" t="str">
        <f t="shared" si="7"/>
        <v/>
      </c>
      <c r="H61" t="str">
        <f t="shared" si="8"/>
        <v/>
      </c>
      <c r="I61" t="str">
        <f t="shared" si="9"/>
        <v/>
      </c>
      <c r="J61" t="str">
        <f t="shared" si="10"/>
        <v/>
      </c>
      <c r="K61" t="str">
        <f t="shared" si="11"/>
        <v/>
      </c>
      <c r="L61" t="str">
        <f t="shared" si="12"/>
        <v/>
      </c>
      <c r="M61" t="str">
        <f t="shared" si="13"/>
        <v/>
      </c>
    </row>
    <row r="62" spans="1:13" ht="15" customHeight="1" x14ac:dyDescent="0.3">
      <c r="A62" s="21" t="s">
        <v>264</v>
      </c>
      <c r="B62" s="22" t="s">
        <v>628</v>
      </c>
      <c r="C62" s="23"/>
      <c r="D62" s="24" t="s">
        <v>105</v>
      </c>
      <c r="E62" s="1" t="s">
        <v>43</v>
      </c>
      <c r="F62" s="20" t="s">
        <v>268</v>
      </c>
      <c r="G62">
        <f t="shared" si="7"/>
        <v>15</v>
      </c>
      <c r="H62">
        <f t="shared" si="8"/>
        <v>7.5</v>
      </c>
      <c r="I62">
        <f t="shared" si="9"/>
        <v>7.5</v>
      </c>
      <c r="J62">
        <f t="shared" si="10"/>
        <v>16.3</v>
      </c>
      <c r="K62">
        <f t="shared" si="11"/>
        <v>2.9340000000000002</v>
      </c>
      <c r="L62">
        <f t="shared" si="12"/>
        <v>26.23</v>
      </c>
      <c r="M62">
        <f t="shared" si="13"/>
        <v>12.5</v>
      </c>
    </row>
    <row r="63" spans="1:13" ht="15" customHeight="1" x14ac:dyDescent="0.3">
      <c r="A63" s="16" t="s">
        <v>264</v>
      </c>
      <c r="B63" s="17" t="s">
        <v>629</v>
      </c>
      <c r="C63" s="18"/>
      <c r="D63" s="19" t="s">
        <v>105</v>
      </c>
      <c r="E63" s="1" t="s">
        <v>43</v>
      </c>
      <c r="F63" s="20" t="s">
        <v>343</v>
      </c>
      <c r="G63">
        <f t="shared" si="7"/>
        <v>275</v>
      </c>
      <c r="H63">
        <f t="shared" si="8"/>
        <v>56.25</v>
      </c>
      <c r="I63">
        <f t="shared" si="9"/>
        <v>225</v>
      </c>
      <c r="J63">
        <f t="shared" si="10"/>
        <v>122.28</v>
      </c>
      <c r="K63">
        <f t="shared" si="11"/>
        <v>22.010400000000001</v>
      </c>
      <c r="L63">
        <f t="shared" si="12"/>
        <v>549.98</v>
      </c>
      <c r="M63">
        <f t="shared" si="13"/>
        <v>375</v>
      </c>
    </row>
    <row r="64" spans="1:13" ht="15" customHeight="1" x14ac:dyDescent="0.3">
      <c r="A64" s="21" t="s">
        <v>264</v>
      </c>
      <c r="B64" s="22" t="s">
        <v>265</v>
      </c>
      <c r="C64" s="23"/>
      <c r="D64" s="24" t="s">
        <v>105</v>
      </c>
      <c r="E64" s="1" t="s">
        <v>43</v>
      </c>
      <c r="F64" s="20" t="s">
        <v>266</v>
      </c>
      <c r="G64">
        <f t="shared" si="7"/>
        <v>125</v>
      </c>
      <c r="H64">
        <f t="shared" si="8"/>
        <v>50</v>
      </c>
      <c r="I64">
        <f t="shared" si="9"/>
        <v>187.5</v>
      </c>
      <c r="J64">
        <f t="shared" si="10"/>
        <v>108.7</v>
      </c>
      <c r="K64">
        <f t="shared" si="11"/>
        <v>19.565999999999999</v>
      </c>
      <c r="L64">
        <f t="shared" si="12"/>
        <v>229.2</v>
      </c>
      <c r="M64">
        <f t="shared" si="13"/>
        <v>312.5</v>
      </c>
    </row>
    <row r="65" spans="1:13" ht="18" customHeight="1" x14ac:dyDescent="0.3">
      <c r="A65" s="25" t="s">
        <v>269</v>
      </c>
      <c r="B65" s="25"/>
      <c r="C65" s="25"/>
      <c r="G65" t="str">
        <f t="shared" si="7"/>
        <v/>
      </c>
      <c r="H65" t="str">
        <f t="shared" si="8"/>
        <v/>
      </c>
      <c r="I65" t="str">
        <f t="shared" si="9"/>
        <v/>
      </c>
      <c r="J65" t="str">
        <f t="shared" si="10"/>
        <v/>
      </c>
      <c r="K65" t="str">
        <f t="shared" si="11"/>
        <v/>
      </c>
      <c r="L65" t="str">
        <f t="shared" si="12"/>
        <v/>
      </c>
      <c r="M65" t="str">
        <f t="shared" si="13"/>
        <v/>
      </c>
    </row>
    <row r="66" spans="1:13" ht="15" customHeight="1" x14ac:dyDescent="0.3">
      <c r="A66" s="16" t="s">
        <v>270</v>
      </c>
      <c r="B66" s="17" t="s">
        <v>346</v>
      </c>
      <c r="C66" s="18"/>
      <c r="D66" s="19" t="s">
        <v>105</v>
      </c>
      <c r="E66" s="1" t="s">
        <v>43</v>
      </c>
      <c r="F66" s="20" t="s">
        <v>347</v>
      </c>
      <c r="G66">
        <f t="shared" si="7"/>
        <v>25</v>
      </c>
      <c r="H66">
        <f t="shared" si="8"/>
        <v>12.5</v>
      </c>
      <c r="I66">
        <f t="shared" si="9"/>
        <v>12.5</v>
      </c>
      <c r="J66">
        <f t="shared" si="10"/>
        <v>27.17</v>
      </c>
      <c r="K66">
        <f t="shared" si="11"/>
        <v>4.8906000000000001</v>
      </c>
      <c r="L66">
        <f t="shared" si="12"/>
        <v>43.72</v>
      </c>
      <c r="M66">
        <f t="shared" si="13"/>
        <v>20.83</v>
      </c>
    </row>
    <row r="67" spans="1:13" ht="15" customHeight="1" x14ac:dyDescent="0.3">
      <c r="A67" s="21" t="s">
        <v>270</v>
      </c>
      <c r="B67" s="22" t="s">
        <v>271</v>
      </c>
      <c r="C67" s="23"/>
      <c r="D67" s="24" t="s">
        <v>105</v>
      </c>
      <c r="E67" s="1" t="s">
        <v>43</v>
      </c>
      <c r="F67" s="20" t="s">
        <v>241</v>
      </c>
      <c r="G67">
        <f t="shared" si="7"/>
        <v>7.5</v>
      </c>
      <c r="H67">
        <f t="shared" si="8"/>
        <v>15</v>
      </c>
      <c r="I67">
        <f t="shared" si="9"/>
        <v>15</v>
      </c>
      <c r="J67">
        <f t="shared" si="10"/>
        <v>32.61</v>
      </c>
      <c r="K67">
        <f t="shared" si="11"/>
        <v>5.8697999999999997</v>
      </c>
      <c r="L67">
        <f t="shared" si="12"/>
        <v>3.54</v>
      </c>
      <c r="M67">
        <f t="shared" si="13"/>
        <v>25</v>
      </c>
    </row>
    <row r="68" spans="1:13" ht="15" customHeight="1" x14ac:dyDescent="0.3">
      <c r="A68" s="16" t="s">
        <v>270</v>
      </c>
      <c r="B68" s="17" t="s">
        <v>272</v>
      </c>
      <c r="C68" s="18"/>
      <c r="D68" s="19" t="s">
        <v>105</v>
      </c>
      <c r="E68" s="1" t="s">
        <v>43</v>
      </c>
      <c r="F68" s="20" t="s">
        <v>273</v>
      </c>
      <c r="G68">
        <f t="shared" si="7"/>
        <v>112.5</v>
      </c>
      <c r="H68">
        <f t="shared" si="8"/>
        <v>112.5</v>
      </c>
      <c r="I68">
        <f t="shared" si="9"/>
        <v>93.75</v>
      </c>
      <c r="J68">
        <f t="shared" si="10"/>
        <v>244.57</v>
      </c>
      <c r="K68">
        <f t="shared" si="11"/>
        <v>44.022599999999997</v>
      </c>
      <c r="L68">
        <f t="shared" si="12"/>
        <v>148.86000000000001</v>
      </c>
      <c r="M68">
        <f t="shared" si="13"/>
        <v>156.25</v>
      </c>
    </row>
    <row r="69" spans="1:13" ht="15" customHeight="1" x14ac:dyDescent="0.3">
      <c r="A69" s="21" t="s">
        <v>270</v>
      </c>
      <c r="B69" s="22" t="s">
        <v>348</v>
      </c>
      <c r="C69" s="23"/>
      <c r="D69" s="24" t="s">
        <v>105</v>
      </c>
      <c r="E69" s="1" t="s">
        <v>43</v>
      </c>
      <c r="F69" s="20" t="s">
        <v>349</v>
      </c>
      <c r="G69">
        <f t="shared" si="7"/>
        <v>37.5</v>
      </c>
      <c r="H69">
        <f t="shared" si="8"/>
        <v>12.5</v>
      </c>
      <c r="I69">
        <f t="shared" si="9"/>
        <v>12.5</v>
      </c>
      <c r="J69">
        <f t="shared" si="10"/>
        <v>27.17</v>
      </c>
      <c r="K69">
        <f t="shared" si="11"/>
        <v>4.8906000000000001</v>
      </c>
      <c r="L69">
        <f t="shared" si="12"/>
        <v>70.89</v>
      </c>
      <c r="M69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5:C55"/>
    <mergeCell ref="A61:C61"/>
    <mergeCell ref="A65:C65"/>
    <mergeCell ref="A13:C13"/>
    <mergeCell ref="A20:C20"/>
    <mergeCell ref="A24:C24"/>
    <mergeCell ref="A28:C28"/>
    <mergeCell ref="A39:C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1C784"/>
  </sheetPr>
  <dimension ref="A1:M10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661</v>
      </c>
      <c r="B1" s="26"/>
      <c r="C1" s="26"/>
    </row>
    <row r="2" spans="1:13" ht="19.5" customHeight="1" x14ac:dyDescent="0.3">
      <c r="A2" s="27" t="s">
        <v>662</v>
      </c>
      <c r="B2" s="27"/>
      <c r="C2" s="27"/>
    </row>
    <row r="3" spans="1:13" ht="19.5" customHeight="1" x14ac:dyDescent="0.3">
      <c r="A3" s="27" t="s">
        <v>663</v>
      </c>
      <c r="B3" s="27"/>
      <c r="C3" s="27"/>
    </row>
    <row r="4" spans="1:13" ht="19.5" customHeight="1" x14ac:dyDescent="0.3">
      <c r="A4" s="27" t="s">
        <v>664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665</v>
      </c>
      <c r="C8" s="18"/>
      <c r="D8" s="19" t="s">
        <v>107</v>
      </c>
      <c r="E8" s="1" t="s">
        <v>53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107</v>
      </c>
      <c r="E9" s="1" t="s">
        <v>53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150</v>
      </c>
      <c r="C10" s="18"/>
      <c r="D10" s="19" t="s">
        <v>107</v>
      </c>
      <c r="E10" s="1" t="s">
        <v>53</v>
      </c>
      <c r="F10" s="20" t="s">
        <v>149</v>
      </c>
      <c r="G10">
        <f t="shared" si="0"/>
        <v>50</v>
      </c>
      <c r="H10">
        <f t="shared" si="1"/>
        <v>25</v>
      </c>
      <c r="I10">
        <f t="shared" si="2"/>
        <v>25</v>
      </c>
      <c r="J10">
        <f t="shared" si="3"/>
        <v>54.35</v>
      </c>
      <c r="K10">
        <f t="shared" si="4"/>
        <v>9.7829999999999995</v>
      </c>
      <c r="L10">
        <f t="shared" si="5"/>
        <v>87.43</v>
      </c>
      <c r="M10">
        <f t="shared" si="6"/>
        <v>41.67</v>
      </c>
    </row>
    <row r="11" spans="1:13" ht="15" customHeight="1" x14ac:dyDescent="0.3">
      <c r="A11" s="21" t="s">
        <v>141</v>
      </c>
      <c r="B11" s="22" t="s">
        <v>372</v>
      </c>
      <c r="C11" s="23"/>
      <c r="D11" s="24" t="s">
        <v>107</v>
      </c>
      <c r="E11" s="1" t="s">
        <v>53</v>
      </c>
      <c r="F11" s="20" t="s">
        <v>291</v>
      </c>
      <c r="G11">
        <f t="shared" si="0"/>
        <v>150</v>
      </c>
      <c r="H11">
        <f t="shared" si="1"/>
        <v>75</v>
      </c>
      <c r="I11">
        <f t="shared" si="2"/>
        <v>50</v>
      </c>
      <c r="J11">
        <f t="shared" si="3"/>
        <v>163.04</v>
      </c>
      <c r="K11">
        <f t="shared" si="4"/>
        <v>29.347199999999997</v>
      </c>
      <c r="L11">
        <f t="shared" si="5"/>
        <v>262.29000000000002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148</v>
      </c>
      <c r="C12" s="18"/>
      <c r="D12" s="19" t="s">
        <v>107</v>
      </c>
      <c r="E12" s="1" t="s">
        <v>53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376</v>
      </c>
      <c r="C13" s="23"/>
      <c r="D13" s="24" t="s">
        <v>107</v>
      </c>
      <c r="E13" s="1" t="s">
        <v>53</v>
      </c>
      <c r="F13" s="20" t="s">
        <v>147</v>
      </c>
      <c r="G13">
        <f t="shared" si="0"/>
        <v>100</v>
      </c>
      <c r="H13">
        <f t="shared" si="1"/>
        <v>50</v>
      </c>
      <c r="I13">
        <f t="shared" si="2"/>
        <v>50</v>
      </c>
      <c r="J13">
        <f t="shared" si="3"/>
        <v>108.7</v>
      </c>
      <c r="K13">
        <f t="shared" si="4"/>
        <v>19.565999999999999</v>
      </c>
      <c r="L13">
        <f t="shared" si="5"/>
        <v>174.86</v>
      </c>
      <c r="M13">
        <f t="shared" si="6"/>
        <v>83.33</v>
      </c>
    </row>
    <row r="14" spans="1:13" ht="15" customHeight="1" x14ac:dyDescent="0.3">
      <c r="A14" s="16" t="s">
        <v>141</v>
      </c>
      <c r="B14" s="17" t="s">
        <v>666</v>
      </c>
      <c r="C14" s="18"/>
      <c r="D14" s="19" t="s">
        <v>107</v>
      </c>
      <c r="E14" s="1" t="s">
        <v>53</v>
      </c>
      <c r="F14" s="20" t="s">
        <v>153</v>
      </c>
      <c r="G14">
        <f t="shared" si="0"/>
        <v>25</v>
      </c>
      <c r="H14">
        <f t="shared" si="1"/>
        <v>25</v>
      </c>
      <c r="I14">
        <f t="shared" si="2"/>
        <v>12.5</v>
      </c>
      <c r="J14">
        <f t="shared" si="3"/>
        <v>54.35</v>
      </c>
      <c r="K14">
        <f t="shared" si="4"/>
        <v>9.7829999999999995</v>
      </c>
      <c r="L14">
        <f t="shared" si="5"/>
        <v>33.08</v>
      </c>
      <c r="M14">
        <f t="shared" si="6"/>
        <v>20.83</v>
      </c>
    </row>
    <row r="15" spans="1:13" ht="15" customHeight="1" x14ac:dyDescent="0.3">
      <c r="A15" s="21" t="s">
        <v>141</v>
      </c>
      <c r="B15" s="22" t="s">
        <v>667</v>
      </c>
      <c r="C15" s="23"/>
      <c r="D15" s="24" t="s">
        <v>107</v>
      </c>
      <c r="E15" s="1" t="s">
        <v>53</v>
      </c>
      <c r="F15" s="20" t="s">
        <v>288</v>
      </c>
      <c r="G15">
        <f t="shared" si="0"/>
        <v>50</v>
      </c>
      <c r="H15">
        <f t="shared" si="1"/>
        <v>25</v>
      </c>
      <c r="I15">
        <f t="shared" si="2"/>
        <v>25</v>
      </c>
      <c r="J15">
        <f t="shared" si="3"/>
        <v>54.35</v>
      </c>
      <c r="K15">
        <f t="shared" si="4"/>
        <v>9.7829999999999995</v>
      </c>
      <c r="L15">
        <f t="shared" si="5"/>
        <v>87.43</v>
      </c>
      <c r="M15">
        <f t="shared" si="6"/>
        <v>41.67</v>
      </c>
    </row>
    <row r="16" spans="1:13" ht="18" customHeight="1" x14ac:dyDescent="0.3">
      <c r="A16" s="25" t="s">
        <v>155</v>
      </c>
      <c r="B16" s="25"/>
      <c r="C16" s="25"/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  <c r="M16" t="str">
        <f t="shared" si="6"/>
        <v/>
      </c>
    </row>
    <row r="17" spans="1:13" ht="15" customHeight="1" x14ac:dyDescent="0.3">
      <c r="A17" s="16" t="s">
        <v>156</v>
      </c>
      <c r="B17" s="17" t="s">
        <v>377</v>
      </c>
      <c r="C17" s="18"/>
      <c r="D17" s="19" t="s">
        <v>107</v>
      </c>
      <c r="E17" s="1" t="s">
        <v>53</v>
      </c>
      <c r="F17" s="20" t="s">
        <v>158</v>
      </c>
      <c r="G17">
        <f t="shared" si="0"/>
        <v>31.25</v>
      </c>
      <c r="H17">
        <f t="shared" si="1"/>
        <v>62.5</v>
      </c>
      <c r="I17">
        <f t="shared" si="2"/>
        <v>37.5</v>
      </c>
      <c r="J17">
        <f t="shared" si="3"/>
        <v>135.87</v>
      </c>
      <c r="K17">
        <f t="shared" si="4"/>
        <v>24.456600000000002</v>
      </c>
      <c r="L17">
        <f t="shared" si="5"/>
        <v>14.77</v>
      </c>
      <c r="M17">
        <f t="shared" si="6"/>
        <v>62.5</v>
      </c>
    </row>
    <row r="18" spans="1:13" ht="15" customHeight="1" x14ac:dyDescent="0.3">
      <c r="A18" s="21" t="s">
        <v>156</v>
      </c>
      <c r="B18" s="22" t="s">
        <v>668</v>
      </c>
      <c r="C18" s="23"/>
      <c r="D18" s="24" t="s">
        <v>107</v>
      </c>
      <c r="E18" s="1" t="s">
        <v>53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669</v>
      </c>
      <c r="C19" s="18"/>
      <c r="D19" s="19" t="s">
        <v>107</v>
      </c>
      <c r="E19" s="1" t="s">
        <v>53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670</v>
      </c>
      <c r="C20" s="23"/>
      <c r="D20" s="24" t="s">
        <v>107</v>
      </c>
      <c r="E20" s="1" t="s">
        <v>53</v>
      </c>
      <c r="F20" s="20" t="s">
        <v>164</v>
      </c>
      <c r="G20">
        <f t="shared" si="0"/>
        <v>12.5</v>
      </c>
      <c r="H20">
        <f t="shared" si="1"/>
        <v>25</v>
      </c>
      <c r="I20">
        <f t="shared" si="2"/>
        <v>12.5</v>
      </c>
      <c r="J20">
        <f t="shared" si="3"/>
        <v>54.35</v>
      </c>
      <c r="K20">
        <f t="shared" si="4"/>
        <v>9.7829999999999995</v>
      </c>
      <c r="L20">
        <f t="shared" si="5"/>
        <v>5.91</v>
      </c>
      <c r="M20">
        <f t="shared" si="6"/>
        <v>20.83</v>
      </c>
    </row>
    <row r="21" spans="1:13" ht="15" customHeight="1" x14ac:dyDescent="0.3">
      <c r="A21" s="16" t="s">
        <v>156</v>
      </c>
      <c r="B21" s="17" t="s">
        <v>378</v>
      </c>
      <c r="C21" s="18"/>
      <c r="D21" s="19" t="s">
        <v>107</v>
      </c>
      <c r="E21" s="1" t="s">
        <v>53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537</v>
      </c>
      <c r="C22" s="23"/>
      <c r="D22" s="24" t="s">
        <v>107</v>
      </c>
      <c r="E22" s="1" t="s">
        <v>53</v>
      </c>
      <c r="F22" s="20" t="s">
        <v>328</v>
      </c>
      <c r="G22">
        <f t="shared" si="0"/>
        <v>150</v>
      </c>
      <c r="H22">
        <f t="shared" si="1"/>
        <v>100</v>
      </c>
      <c r="I22">
        <f t="shared" si="2"/>
        <v>87.5</v>
      </c>
      <c r="J22">
        <f t="shared" si="3"/>
        <v>217.39</v>
      </c>
      <c r="K22">
        <f t="shared" si="4"/>
        <v>39.130199999999995</v>
      </c>
      <c r="L22">
        <f t="shared" si="5"/>
        <v>241.02</v>
      </c>
      <c r="M22">
        <f t="shared" si="6"/>
        <v>145.83000000000001</v>
      </c>
    </row>
    <row r="23" spans="1:13" ht="15" customHeight="1" x14ac:dyDescent="0.3">
      <c r="A23" s="16" t="s">
        <v>156</v>
      </c>
      <c r="B23" s="17" t="s">
        <v>165</v>
      </c>
      <c r="C23" s="18"/>
      <c r="D23" s="19" t="s">
        <v>107</v>
      </c>
      <c r="E23" s="1" t="s">
        <v>53</v>
      </c>
      <c r="F23" s="20" t="s">
        <v>160</v>
      </c>
      <c r="G23">
        <f t="shared" si="0"/>
        <v>25</v>
      </c>
      <c r="H23">
        <f t="shared" si="1"/>
        <v>50</v>
      </c>
      <c r="I23">
        <f t="shared" si="2"/>
        <v>25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41.67</v>
      </c>
    </row>
    <row r="24" spans="1:13" ht="15" customHeight="1" x14ac:dyDescent="0.3">
      <c r="A24" s="21" t="s">
        <v>156</v>
      </c>
      <c r="B24" s="22" t="s">
        <v>166</v>
      </c>
      <c r="C24" s="23"/>
      <c r="D24" s="24" t="s">
        <v>107</v>
      </c>
      <c r="E24" s="1" t="s">
        <v>53</v>
      </c>
      <c r="F24" s="20" t="s">
        <v>160</v>
      </c>
      <c r="G24">
        <f t="shared" si="0"/>
        <v>25</v>
      </c>
      <c r="H24">
        <f t="shared" si="1"/>
        <v>50</v>
      </c>
      <c r="I24">
        <f t="shared" si="2"/>
        <v>25</v>
      </c>
      <c r="J24">
        <f t="shared" si="3"/>
        <v>108.7</v>
      </c>
      <c r="K24">
        <f t="shared" si="4"/>
        <v>19.565999999999999</v>
      </c>
      <c r="L24">
        <f t="shared" si="5"/>
        <v>11.81</v>
      </c>
      <c r="M24">
        <f t="shared" si="6"/>
        <v>41.67</v>
      </c>
    </row>
    <row r="25" spans="1:13" ht="18" customHeight="1" x14ac:dyDescent="0.3">
      <c r="A25" s="25" t="s">
        <v>167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16" t="s">
        <v>168</v>
      </c>
      <c r="B26" s="17" t="s">
        <v>174</v>
      </c>
      <c r="C26" s="18"/>
      <c r="D26" s="19" t="s">
        <v>107</v>
      </c>
      <c r="E26" s="1" t="s">
        <v>53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169</v>
      </c>
      <c r="C27" s="23"/>
      <c r="D27" s="24" t="s">
        <v>107</v>
      </c>
      <c r="E27" s="1" t="s">
        <v>53</v>
      </c>
      <c r="F27" s="20" t="s">
        <v>170</v>
      </c>
      <c r="G27">
        <f t="shared" si="0"/>
        <v>25</v>
      </c>
      <c r="H27">
        <f t="shared" si="1"/>
        <v>50</v>
      </c>
      <c r="I27">
        <f t="shared" si="2"/>
        <v>50</v>
      </c>
      <c r="J27">
        <f t="shared" si="3"/>
        <v>108.7</v>
      </c>
      <c r="K27">
        <f t="shared" si="4"/>
        <v>19.565999999999999</v>
      </c>
      <c r="L27">
        <f t="shared" si="5"/>
        <v>11.81</v>
      </c>
      <c r="M27">
        <f t="shared" si="6"/>
        <v>83.33</v>
      </c>
    </row>
    <row r="28" spans="1:13" ht="15" customHeight="1" x14ac:dyDescent="0.3">
      <c r="A28" s="16" t="s">
        <v>168</v>
      </c>
      <c r="B28" s="17" t="s">
        <v>358</v>
      </c>
      <c r="C28" s="18"/>
      <c r="D28" s="19" t="s">
        <v>107</v>
      </c>
      <c r="E28" s="1" t="s">
        <v>53</v>
      </c>
      <c r="F28" s="20" t="s">
        <v>147</v>
      </c>
      <c r="G28">
        <f t="shared" si="0"/>
        <v>100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174.86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171</v>
      </c>
      <c r="C29" s="23"/>
      <c r="D29" s="24" t="s">
        <v>107</v>
      </c>
      <c r="E29" s="1" t="s">
        <v>53</v>
      </c>
      <c r="F29" s="20" t="s">
        <v>147</v>
      </c>
      <c r="G29">
        <f t="shared" si="0"/>
        <v>100</v>
      </c>
      <c r="H29">
        <f t="shared" si="1"/>
        <v>50</v>
      </c>
      <c r="I29">
        <f t="shared" si="2"/>
        <v>50</v>
      </c>
      <c r="J29">
        <f t="shared" si="3"/>
        <v>108.7</v>
      </c>
      <c r="K29">
        <f t="shared" si="4"/>
        <v>19.565999999999999</v>
      </c>
      <c r="L29">
        <f t="shared" si="5"/>
        <v>174.86</v>
      </c>
      <c r="M29">
        <f t="shared" si="6"/>
        <v>83.33</v>
      </c>
    </row>
    <row r="30" spans="1:13" ht="15" customHeight="1" x14ac:dyDescent="0.3">
      <c r="A30" s="16" t="s">
        <v>168</v>
      </c>
      <c r="B30" s="17" t="s">
        <v>295</v>
      </c>
      <c r="C30" s="18"/>
      <c r="D30" s="19" t="s">
        <v>107</v>
      </c>
      <c r="E30" s="1" t="s">
        <v>53</v>
      </c>
      <c r="F30" s="20" t="s">
        <v>149</v>
      </c>
      <c r="G30">
        <f t="shared" si="0"/>
        <v>50</v>
      </c>
      <c r="H30">
        <f t="shared" si="1"/>
        <v>25</v>
      </c>
      <c r="I30">
        <f t="shared" si="2"/>
        <v>25</v>
      </c>
      <c r="J30">
        <f t="shared" si="3"/>
        <v>54.35</v>
      </c>
      <c r="K30">
        <f t="shared" si="4"/>
        <v>9.7829999999999995</v>
      </c>
      <c r="L30">
        <f t="shared" si="5"/>
        <v>87.43</v>
      </c>
      <c r="M30">
        <f t="shared" si="6"/>
        <v>41.67</v>
      </c>
    </row>
    <row r="31" spans="1:13" ht="15" customHeight="1" x14ac:dyDescent="0.3">
      <c r="A31" s="21" t="s">
        <v>168</v>
      </c>
      <c r="B31" s="22" t="s">
        <v>176</v>
      </c>
      <c r="C31" s="23"/>
      <c r="D31" s="24" t="s">
        <v>107</v>
      </c>
      <c r="E31" s="1" t="s">
        <v>53</v>
      </c>
      <c r="F31" s="20" t="s">
        <v>177</v>
      </c>
      <c r="G31">
        <f t="shared" si="0"/>
        <v>25</v>
      </c>
      <c r="H31">
        <f t="shared" si="1"/>
        <v>75</v>
      </c>
      <c r="I31">
        <f t="shared" si="2"/>
        <v>50</v>
      </c>
      <c r="J31">
        <f t="shared" si="3"/>
        <v>163.04</v>
      </c>
      <c r="K31">
        <f t="shared" si="4"/>
        <v>29.347199999999997</v>
      </c>
      <c r="L31">
        <f t="shared" si="5"/>
        <v>-9.4499999999999993</v>
      </c>
      <c r="M31">
        <f t="shared" si="6"/>
        <v>83.33</v>
      </c>
    </row>
    <row r="32" spans="1:13" ht="15" customHeight="1" x14ac:dyDescent="0.3">
      <c r="A32" s="16" t="s">
        <v>168</v>
      </c>
      <c r="B32" s="17" t="s">
        <v>172</v>
      </c>
      <c r="C32" s="18"/>
      <c r="D32" s="19" t="s">
        <v>107</v>
      </c>
      <c r="E32" s="1" t="s">
        <v>53</v>
      </c>
      <c r="F32" s="20" t="s">
        <v>173</v>
      </c>
      <c r="G32">
        <f t="shared" si="0"/>
        <v>75</v>
      </c>
      <c r="H32">
        <f t="shared" si="1"/>
        <v>112.5</v>
      </c>
      <c r="I32">
        <f t="shared" si="2"/>
        <v>75</v>
      </c>
      <c r="J32">
        <f t="shared" si="3"/>
        <v>244.57</v>
      </c>
      <c r="K32">
        <f t="shared" si="4"/>
        <v>44.022599999999997</v>
      </c>
      <c r="L32">
        <f t="shared" si="5"/>
        <v>67.34</v>
      </c>
      <c r="M32">
        <f t="shared" si="6"/>
        <v>125</v>
      </c>
    </row>
    <row r="33" spans="1:13" ht="15" customHeight="1" x14ac:dyDescent="0.3">
      <c r="A33" s="21" t="s">
        <v>168</v>
      </c>
      <c r="B33" s="22" t="s">
        <v>671</v>
      </c>
      <c r="C33" s="23"/>
      <c r="D33" s="24" t="s">
        <v>107</v>
      </c>
      <c r="E33" s="1" t="s">
        <v>53</v>
      </c>
      <c r="F33" s="20" t="s">
        <v>179</v>
      </c>
      <c r="G33">
        <f t="shared" si="0"/>
        <v>1500</v>
      </c>
      <c r="H33">
        <f t="shared" si="1"/>
        <v>750</v>
      </c>
      <c r="I33">
        <f t="shared" si="2"/>
        <v>3375</v>
      </c>
      <c r="J33">
        <f t="shared" si="3"/>
        <v>1630.43</v>
      </c>
      <c r="K33">
        <f t="shared" si="4"/>
        <v>293.47739999999999</v>
      </c>
      <c r="L33">
        <f t="shared" si="5"/>
        <v>2622.88</v>
      </c>
      <c r="M33">
        <f t="shared" si="6"/>
        <v>5625</v>
      </c>
    </row>
    <row r="34" spans="1:13" ht="18" customHeight="1" x14ac:dyDescent="0.3">
      <c r="A34" s="25" t="s">
        <v>180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16" t="s">
        <v>181</v>
      </c>
      <c r="B35" s="17" t="s">
        <v>672</v>
      </c>
      <c r="C35" s="18"/>
      <c r="D35" s="19" t="s">
        <v>107</v>
      </c>
      <c r="E35" s="1" t="s">
        <v>53</v>
      </c>
      <c r="F35" s="20" t="s">
        <v>298</v>
      </c>
      <c r="G35">
        <f t="shared" si="0"/>
        <v>75</v>
      </c>
      <c r="H35">
        <f t="shared" si="1"/>
        <v>37.5</v>
      </c>
      <c r="I35">
        <f t="shared" si="2"/>
        <v>37.5</v>
      </c>
      <c r="J35">
        <f t="shared" si="3"/>
        <v>81.52</v>
      </c>
      <c r="K35">
        <f t="shared" si="4"/>
        <v>14.673599999999999</v>
      </c>
      <c r="L35">
        <f t="shared" si="5"/>
        <v>131.13999999999999</v>
      </c>
      <c r="M35">
        <f t="shared" si="6"/>
        <v>62.5</v>
      </c>
    </row>
    <row r="36" spans="1:13" ht="15" customHeight="1" x14ac:dyDescent="0.3">
      <c r="A36" s="21" t="s">
        <v>181</v>
      </c>
      <c r="B36" s="22" t="s">
        <v>673</v>
      </c>
      <c r="C36" s="23"/>
      <c r="D36" s="24" t="s">
        <v>107</v>
      </c>
      <c r="E36" s="1" t="s">
        <v>53</v>
      </c>
      <c r="F36" s="20" t="s">
        <v>298</v>
      </c>
      <c r="G36">
        <f t="shared" si="0"/>
        <v>75</v>
      </c>
      <c r="H36">
        <f t="shared" si="1"/>
        <v>37.5</v>
      </c>
      <c r="I36">
        <f t="shared" si="2"/>
        <v>37.5</v>
      </c>
      <c r="J36">
        <f t="shared" si="3"/>
        <v>81.52</v>
      </c>
      <c r="K36">
        <f t="shared" si="4"/>
        <v>14.673599999999999</v>
      </c>
      <c r="L36">
        <f t="shared" si="5"/>
        <v>131.13999999999999</v>
      </c>
      <c r="M36">
        <f t="shared" si="6"/>
        <v>62.5</v>
      </c>
    </row>
    <row r="37" spans="1:13" ht="15" customHeight="1" x14ac:dyDescent="0.3">
      <c r="A37" s="16" t="s">
        <v>181</v>
      </c>
      <c r="B37" s="17" t="s">
        <v>182</v>
      </c>
      <c r="C37" s="18"/>
      <c r="D37" s="19" t="s">
        <v>107</v>
      </c>
      <c r="E37" s="1" t="s">
        <v>53</v>
      </c>
      <c r="F37" s="20" t="s">
        <v>183</v>
      </c>
      <c r="G37">
        <f t="shared" si="0"/>
        <v>350</v>
      </c>
      <c r="H37">
        <f t="shared" si="1"/>
        <v>112.5</v>
      </c>
      <c r="I37">
        <f t="shared" si="2"/>
        <v>112.5</v>
      </c>
      <c r="J37">
        <f t="shared" si="3"/>
        <v>244.57</v>
      </c>
      <c r="K37">
        <f t="shared" si="4"/>
        <v>44.022599999999997</v>
      </c>
      <c r="L37">
        <f t="shared" si="5"/>
        <v>665.17</v>
      </c>
      <c r="M37">
        <f t="shared" si="6"/>
        <v>187.5</v>
      </c>
    </row>
    <row r="38" spans="1:13" ht="15" customHeight="1" x14ac:dyDescent="0.3">
      <c r="A38" s="21" t="s">
        <v>181</v>
      </c>
      <c r="B38" s="22" t="s">
        <v>674</v>
      </c>
      <c r="C38" s="23"/>
      <c r="D38" s="24" t="s">
        <v>107</v>
      </c>
      <c r="E38" s="1" t="s">
        <v>53</v>
      </c>
      <c r="F38" s="20" t="s">
        <v>185</v>
      </c>
      <c r="G38">
        <f t="shared" si="0"/>
        <v>125</v>
      </c>
      <c r="H38">
        <f t="shared" si="1"/>
        <v>62.5</v>
      </c>
      <c r="I38">
        <f t="shared" si="2"/>
        <v>62.5</v>
      </c>
      <c r="J38">
        <f t="shared" si="3"/>
        <v>135.87</v>
      </c>
      <c r="K38">
        <f t="shared" si="4"/>
        <v>24.456600000000002</v>
      </c>
      <c r="L38">
        <f t="shared" si="5"/>
        <v>218.57</v>
      </c>
      <c r="M38">
        <f t="shared" si="6"/>
        <v>104.17</v>
      </c>
    </row>
    <row r="39" spans="1:13" ht="15" customHeight="1" x14ac:dyDescent="0.3">
      <c r="A39" s="16" t="s">
        <v>181</v>
      </c>
      <c r="B39" s="17" t="s">
        <v>212</v>
      </c>
      <c r="C39" s="18"/>
      <c r="D39" s="19" t="s">
        <v>107</v>
      </c>
      <c r="E39" s="1" t="s">
        <v>53</v>
      </c>
      <c r="F39" s="20" t="s">
        <v>213</v>
      </c>
      <c r="G39">
        <f t="shared" ref="G39:G70" si="7">IF($F39="","",IFERROR(VALUE(TRIM(LEFT($F39,FIND(":",$F39)-1)))*1.25,"N/A"))</f>
        <v>625</v>
      </c>
      <c r="H39">
        <f t="shared" ref="H39:H70" si="8">IF($F39="","",IFERROR(VALUE(TRIM(MID($F39,FIND(":",$F39)+1,FIND(":",$F39,FIND(":",$F39)+1)-FIND(":",$F39)-1)))*1.25,"N/A"))</f>
        <v>250</v>
      </c>
      <c r="I39">
        <f t="shared" ref="I39:I70" si="9">IF($F39="","",IFERROR(VALUE(TRIM(LEFT(MID($F39,FIND(":",$F39,FIND(":",$F39)+1)+1,LEN($F39)),FIND(" ",MID($F39,FIND(":",$F39,FIND(":",$F39)+1)+1,LEN($F39))&amp;" ")-1)))*1.25,"N/A"))</f>
        <v>375</v>
      </c>
      <c r="J39">
        <f t="shared" ref="J39:J70" si="10">IF(OR($F39="",$H39="N/A"),IF($F39="","","N/A"),ROUND($H39/0.46,2))</f>
        <v>543.48</v>
      </c>
      <c r="K39">
        <f t="shared" ref="K39:K70" si="11">IF(OR($F39="",$J39="N/A"),IF($F39="","","N/A"),$J39*0.18)</f>
        <v>97.826400000000007</v>
      </c>
      <c r="L39">
        <f t="shared" ref="L39:L70" si="12">IF(OR($F39="",$G39="N/A",$K39="N/A"),IF($F39="","","N/A"),ROUND(($G39-$K39)/0.46,2))</f>
        <v>1146.03</v>
      </c>
      <c r="M39">
        <f t="shared" ref="M39:M70" si="13">IF(OR($F39="",$I39="N/A"),IF($F39="","","N/A"),ROUND($I39/0.6,2))</f>
        <v>625</v>
      </c>
    </row>
    <row r="40" spans="1:13" ht="15" customHeight="1" x14ac:dyDescent="0.3">
      <c r="A40" s="21" t="s">
        <v>181</v>
      </c>
      <c r="B40" s="22" t="s">
        <v>296</v>
      </c>
      <c r="C40" s="23"/>
      <c r="D40" s="24" t="s">
        <v>107</v>
      </c>
      <c r="E40" s="1" t="s">
        <v>53</v>
      </c>
      <c r="F40" s="20" t="s">
        <v>268</v>
      </c>
      <c r="G40">
        <f t="shared" si="7"/>
        <v>15</v>
      </c>
      <c r="H40">
        <f t="shared" si="8"/>
        <v>7.5</v>
      </c>
      <c r="I40">
        <f t="shared" si="9"/>
        <v>7.5</v>
      </c>
      <c r="J40">
        <f t="shared" si="10"/>
        <v>16.3</v>
      </c>
      <c r="K40">
        <f t="shared" si="11"/>
        <v>2.9340000000000002</v>
      </c>
      <c r="L40">
        <f t="shared" si="12"/>
        <v>26.23</v>
      </c>
      <c r="M40">
        <f t="shared" si="13"/>
        <v>12.5</v>
      </c>
    </row>
    <row r="41" spans="1:13" ht="15" customHeight="1" x14ac:dyDescent="0.3">
      <c r="A41" s="16" t="s">
        <v>181</v>
      </c>
      <c r="B41" s="17" t="s">
        <v>184</v>
      </c>
      <c r="C41" s="18"/>
      <c r="D41" s="19" t="s">
        <v>107</v>
      </c>
      <c r="E41" s="1" t="s">
        <v>53</v>
      </c>
      <c r="F41" s="20" t="s">
        <v>185</v>
      </c>
      <c r="G41">
        <f t="shared" si="7"/>
        <v>125</v>
      </c>
      <c r="H41">
        <f t="shared" si="8"/>
        <v>62.5</v>
      </c>
      <c r="I41">
        <f t="shared" si="9"/>
        <v>62.5</v>
      </c>
      <c r="J41">
        <f t="shared" si="10"/>
        <v>135.87</v>
      </c>
      <c r="K41">
        <f t="shared" si="11"/>
        <v>24.456600000000002</v>
      </c>
      <c r="L41">
        <f t="shared" si="12"/>
        <v>218.57</v>
      </c>
      <c r="M41">
        <f t="shared" si="13"/>
        <v>104.17</v>
      </c>
    </row>
    <row r="42" spans="1:13" ht="15" customHeight="1" x14ac:dyDescent="0.3">
      <c r="A42" s="21" t="s">
        <v>181</v>
      </c>
      <c r="B42" s="22" t="s">
        <v>342</v>
      </c>
      <c r="C42" s="23"/>
      <c r="D42" s="24" t="s">
        <v>107</v>
      </c>
      <c r="E42" s="1" t="s">
        <v>53</v>
      </c>
      <c r="F42" s="20" t="s">
        <v>343</v>
      </c>
      <c r="G42">
        <f t="shared" si="7"/>
        <v>275</v>
      </c>
      <c r="H42">
        <f t="shared" si="8"/>
        <v>56.25</v>
      </c>
      <c r="I42">
        <f t="shared" si="9"/>
        <v>225</v>
      </c>
      <c r="J42">
        <f t="shared" si="10"/>
        <v>122.28</v>
      </c>
      <c r="K42">
        <f t="shared" si="11"/>
        <v>22.010400000000001</v>
      </c>
      <c r="L42">
        <f t="shared" si="12"/>
        <v>549.98</v>
      </c>
      <c r="M42">
        <f t="shared" si="13"/>
        <v>375</v>
      </c>
    </row>
    <row r="43" spans="1:13" ht="15" customHeight="1" x14ac:dyDescent="0.3">
      <c r="A43" s="16" t="s">
        <v>181</v>
      </c>
      <c r="B43" s="17" t="s">
        <v>344</v>
      </c>
      <c r="C43" s="18"/>
      <c r="D43" s="19" t="s">
        <v>107</v>
      </c>
      <c r="E43" s="1" t="s">
        <v>53</v>
      </c>
      <c r="F43" s="20" t="s">
        <v>345</v>
      </c>
      <c r="G43">
        <f t="shared" si="7"/>
        <v>168.75</v>
      </c>
      <c r="H43">
        <f t="shared" si="8"/>
        <v>42.5</v>
      </c>
      <c r="I43">
        <f t="shared" si="9"/>
        <v>181.25</v>
      </c>
      <c r="J43">
        <f t="shared" si="10"/>
        <v>92.39</v>
      </c>
      <c r="K43">
        <f t="shared" si="11"/>
        <v>16.630199999999999</v>
      </c>
      <c r="L43">
        <f t="shared" si="12"/>
        <v>330.7</v>
      </c>
      <c r="M43">
        <f t="shared" si="13"/>
        <v>302.08</v>
      </c>
    </row>
    <row r="44" spans="1:13" ht="18" customHeight="1" x14ac:dyDescent="0.3">
      <c r="A44" s="25" t="s">
        <v>675</v>
      </c>
      <c r="B44" s="25"/>
      <c r="C44" s="25"/>
      <c r="G44" t="str">
        <f t="shared" si="7"/>
        <v/>
      </c>
      <c r="H44" t="str">
        <f t="shared" si="8"/>
        <v/>
      </c>
      <c r="I44" t="str">
        <f t="shared" si="9"/>
        <v/>
      </c>
      <c r="J44" t="str">
        <f t="shared" si="10"/>
        <v/>
      </c>
      <c r="K44" t="str">
        <f t="shared" si="11"/>
        <v/>
      </c>
      <c r="L44" t="str">
        <f t="shared" si="12"/>
        <v/>
      </c>
      <c r="M44" t="str">
        <f t="shared" si="13"/>
        <v/>
      </c>
    </row>
    <row r="45" spans="1:13" ht="15" customHeight="1" x14ac:dyDescent="0.3">
      <c r="A45" s="21" t="s">
        <v>676</v>
      </c>
      <c r="B45" s="22" t="s">
        <v>677</v>
      </c>
      <c r="C45" s="23"/>
      <c r="D45" s="24" t="s">
        <v>107</v>
      </c>
      <c r="E45" s="1" t="s">
        <v>53</v>
      </c>
      <c r="F45" s="20" t="s">
        <v>190</v>
      </c>
      <c r="G45">
        <f t="shared" si="7"/>
        <v>125</v>
      </c>
      <c r="H45">
        <f t="shared" si="8"/>
        <v>125</v>
      </c>
      <c r="I45">
        <f t="shared" si="9"/>
        <v>187.5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312.5</v>
      </c>
    </row>
    <row r="46" spans="1:13" ht="15" customHeight="1" x14ac:dyDescent="0.3">
      <c r="A46" s="16" t="s">
        <v>676</v>
      </c>
      <c r="B46" s="17" t="s">
        <v>206</v>
      </c>
      <c r="C46" s="18"/>
      <c r="D46" s="19" t="s">
        <v>107</v>
      </c>
      <c r="E46" s="1" t="s">
        <v>53</v>
      </c>
      <c r="F46" s="20" t="s">
        <v>207</v>
      </c>
      <c r="G46">
        <f t="shared" si="7"/>
        <v>700</v>
      </c>
      <c r="H46">
        <f t="shared" si="8"/>
        <v>400</v>
      </c>
      <c r="I46">
        <f t="shared" si="9"/>
        <v>1500</v>
      </c>
      <c r="J46">
        <f t="shared" si="10"/>
        <v>869.57</v>
      </c>
      <c r="K46">
        <f t="shared" si="11"/>
        <v>156.52260000000001</v>
      </c>
      <c r="L46">
        <f t="shared" si="12"/>
        <v>1181.47</v>
      </c>
      <c r="M46">
        <f t="shared" si="13"/>
        <v>2500</v>
      </c>
    </row>
    <row r="47" spans="1:13" ht="15" customHeight="1" x14ac:dyDescent="0.3">
      <c r="A47" s="21" t="s">
        <v>676</v>
      </c>
      <c r="B47" s="22" t="s">
        <v>214</v>
      </c>
      <c r="C47" s="23"/>
      <c r="D47" s="24" t="s">
        <v>107</v>
      </c>
      <c r="E47" s="1" t="s">
        <v>53</v>
      </c>
      <c r="F47" s="20" t="s">
        <v>215</v>
      </c>
      <c r="G47">
        <f t="shared" si="7"/>
        <v>93.75</v>
      </c>
      <c r="H47">
        <f t="shared" si="8"/>
        <v>50</v>
      </c>
      <c r="I47">
        <f t="shared" si="9"/>
        <v>62.5</v>
      </c>
      <c r="J47">
        <f t="shared" si="10"/>
        <v>108.7</v>
      </c>
      <c r="K47">
        <f t="shared" si="11"/>
        <v>19.565999999999999</v>
      </c>
      <c r="L47">
        <f t="shared" si="12"/>
        <v>161.27000000000001</v>
      </c>
      <c r="M47">
        <f t="shared" si="13"/>
        <v>104.17</v>
      </c>
    </row>
    <row r="48" spans="1:13" ht="15" customHeight="1" x14ac:dyDescent="0.3">
      <c r="A48" s="16" t="s">
        <v>676</v>
      </c>
      <c r="B48" s="17" t="s">
        <v>310</v>
      </c>
      <c r="C48" s="18"/>
      <c r="D48" s="19" t="s">
        <v>107</v>
      </c>
      <c r="E48" s="1" t="s">
        <v>53</v>
      </c>
      <c r="F48" s="20" t="s">
        <v>311</v>
      </c>
      <c r="G48">
        <f t="shared" si="7"/>
        <v>125</v>
      </c>
      <c r="H48">
        <f t="shared" si="8"/>
        <v>50</v>
      </c>
      <c r="I48">
        <f t="shared" si="9"/>
        <v>500</v>
      </c>
      <c r="J48">
        <f t="shared" si="10"/>
        <v>108.7</v>
      </c>
      <c r="K48">
        <f t="shared" si="11"/>
        <v>19.565999999999999</v>
      </c>
      <c r="L48">
        <f t="shared" si="12"/>
        <v>229.2</v>
      </c>
      <c r="M48">
        <f t="shared" si="13"/>
        <v>833.33</v>
      </c>
    </row>
    <row r="49" spans="1:13" ht="15" customHeight="1" x14ac:dyDescent="0.3">
      <c r="A49" s="21" t="s">
        <v>676</v>
      </c>
      <c r="B49" s="22" t="s">
        <v>541</v>
      </c>
      <c r="C49" s="23"/>
      <c r="D49" s="24" t="s">
        <v>107</v>
      </c>
      <c r="E49" s="1" t="s">
        <v>53</v>
      </c>
      <c r="F49" s="20" t="s">
        <v>300</v>
      </c>
      <c r="G49">
        <f t="shared" si="7"/>
        <v>750</v>
      </c>
      <c r="H49">
        <f t="shared" si="8"/>
        <v>250</v>
      </c>
      <c r="I49">
        <f t="shared" si="9"/>
        <v>500</v>
      </c>
      <c r="J49">
        <f t="shared" si="10"/>
        <v>543.48</v>
      </c>
      <c r="K49">
        <f t="shared" si="11"/>
        <v>97.826400000000007</v>
      </c>
      <c r="L49">
        <f t="shared" si="12"/>
        <v>1417.77</v>
      </c>
      <c r="M49">
        <f t="shared" si="13"/>
        <v>833.33</v>
      </c>
    </row>
    <row r="50" spans="1:13" ht="15" customHeight="1" x14ac:dyDescent="0.3">
      <c r="A50" s="16" t="s">
        <v>676</v>
      </c>
      <c r="B50" s="17" t="s">
        <v>208</v>
      </c>
      <c r="C50" s="18"/>
      <c r="D50" s="19" t="s">
        <v>107</v>
      </c>
      <c r="E50" s="1" t="s">
        <v>53</v>
      </c>
      <c r="F50" s="20" t="s">
        <v>190</v>
      </c>
      <c r="G50">
        <f t="shared" si="7"/>
        <v>125</v>
      </c>
      <c r="H50">
        <f t="shared" si="8"/>
        <v>125</v>
      </c>
      <c r="I50">
        <f t="shared" si="9"/>
        <v>187.5</v>
      </c>
      <c r="J50">
        <f t="shared" si="10"/>
        <v>271.74</v>
      </c>
      <c r="K50">
        <f t="shared" si="11"/>
        <v>48.913200000000003</v>
      </c>
      <c r="L50">
        <f t="shared" si="12"/>
        <v>165.41</v>
      </c>
      <c r="M50">
        <f t="shared" si="13"/>
        <v>312.5</v>
      </c>
    </row>
    <row r="51" spans="1:13" ht="15" customHeight="1" x14ac:dyDescent="0.3">
      <c r="A51" s="21" t="s">
        <v>676</v>
      </c>
      <c r="B51" s="22" t="s">
        <v>195</v>
      </c>
      <c r="C51" s="23"/>
      <c r="D51" s="24" t="s">
        <v>107</v>
      </c>
      <c r="E51" s="1" t="s">
        <v>53</v>
      </c>
      <c r="F51" s="20" t="s">
        <v>194</v>
      </c>
      <c r="G51">
        <f t="shared" si="7"/>
        <v>125</v>
      </c>
      <c r="H51">
        <f t="shared" si="8"/>
        <v>125</v>
      </c>
      <c r="I51">
        <f t="shared" si="9"/>
        <v>125</v>
      </c>
      <c r="J51">
        <f t="shared" si="10"/>
        <v>271.74</v>
      </c>
      <c r="K51">
        <f t="shared" si="11"/>
        <v>48.913200000000003</v>
      </c>
      <c r="L51">
        <f t="shared" si="12"/>
        <v>165.41</v>
      </c>
      <c r="M51">
        <f t="shared" si="13"/>
        <v>208.33</v>
      </c>
    </row>
    <row r="52" spans="1:13" ht="15" customHeight="1" x14ac:dyDescent="0.3">
      <c r="A52" s="16" t="s">
        <v>676</v>
      </c>
      <c r="B52" s="17" t="s">
        <v>362</v>
      </c>
      <c r="C52" s="18"/>
      <c r="D52" s="19" t="s">
        <v>107</v>
      </c>
      <c r="E52" s="1" t="s">
        <v>53</v>
      </c>
      <c r="F52" s="20" t="s">
        <v>363</v>
      </c>
      <c r="G52">
        <f t="shared" si="7"/>
        <v>500</v>
      </c>
      <c r="H52">
        <f t="shared" si="8"/>
        <v>250</v>
      </c>
      <c r="I52">
        <f t="shared" si="9"/>
        <v>375</v>
      </c>
      <c r="J52">
        <f t="shared" si="10"/>
        <v>543.48</v>
      </c>
      <c r="K52">
        <f t="shared" si="11"/>
        <v>97.826400000000007</v>
      </c>
      <c r="L52">
        <f t="shared" si="12"/>
        <v>874.29</v>
      </c>
      <c r="M52">
        <f t="shared" si="13"/>
        <v>625</v>
      </c>
    </row>
    <row r="53" spans="1:13" ht="15" customHeight="1" x14ac:dyDescent="0.3">
      <c r="A53" s="21" t="s">
        <v>676</v>
      </c>
      <c r="B53" s="22" t="s">
        <v>678</v>
      </c>
      <c r="C53" s="23"/>
      <c r="D53" s="24" t="s">
        <v>107</v>
      </c>
      <c r="E53" s="1" t="s">
        <v>53</v>
      </c>
      <c r="F53" s="20" t="s">
        <v>211</v>
      </c>
      <c r="G53">
        <f t="shared" si="7"/>
        <v>93.75</v>
      </c>
      <c r="H53">
        <f t="shared" si="8"/>
        <v>75</v>
      </c>
      <c r="I53">
        <f t="shared" si="9"/>
        <v>62.5</v>
      </c>
      <c r="J53">
        <f t="shared" si="10"/>
        <v>163.04</v>
      </c>
      <c r="K53">
        <f t="shared" si="11"/>
        <v>29.347199999999997</v>
      </c>
      <c r="L53">
        <f t="shared" si="12"/>
        <v>140.01</v>
      </c>
      <c r="M53">
        <f t="shared" si="13"/>
        <v>104.17</v>
      </c>
    </row>
    <row r="54" spans="1:13" ht="15" customHeight="1" x14ac:dyDescent="0.3">
      <c r="A54" s="16" t="s">
        <v>676</v>
      </c>
      <c r="B54" s="17" t="s">
        <v>210</v>
      </c>
      <c r="C54" s="18"/>
      <c r="D54" s="19" t="s">
        <v>107</v>
      </c>
      <c r="E54" s="1" t="s">
        <v>53</v>
      </c>
      <c r="F54" s="20" t="s">
        <v>211</v>
      </c>
      <c r="G54">
        <f t="shared" si="7"/>
        <v>93.75</v>
      </c>
      <c r="H54">
        <f t="shared" si="8"/>
        <v>75</v>
      </c>
      <c r="I54">
        <f t="shared" si="9"/>
        <v>62.5</v>
      </c>
      <c r="J54">
        <f t="shared" si="10"/>
        <v>163.04</v>
      </c>
      <c r="K54">
        <f t="shared" si="11"/>
        <v>29.347199999999997</v>
      </c>
      <c r="L54">
        <f t="shared" si="12"/>
        <v>140.01</v>
      </c>
      <c r="M54">
        <f t="shared" si="13"/>
        <v>104.17</v>
      </c>
    </row>
    <row r="55" spans="1:13" ht="15" customHeight="1" x14ac:dyDescent="0.3">
      <c r="A55" s="21" t="s">
        <v>676</v>
      </c>
      <c r="B55" s="22" t="s">
        <v>679</v>
      </c>
      <c r="C55" s="23"/>
      <c r="D55" s="24" t="s">
        <v>107</v>
      </c>
      <c r="E55" s="1" t="s">
        <v>53</v>
      </c>
      <c r="F55" s="20" t="s">
        <v>452</v>
      </c>
      <c r="G55">
        <f t="shared" si="7"/>
        <v>250</v>
      </c>
      <c r="H55">
        <f t="shared" si="8"/>
        <v>625</v>
      </c>
      <c r="I55">
        <f t="shared" si="9"/>
        <v>250</v>
      </c>
      <c r="J55">
        <f t="shared" si="10"/>
        <v>1358.7</v>
      </c>
      <c r="K55">
        <f t="shared" si="11"/>
        <v>244.566</v>
      </c>
      <c r="L55">
        <f t="shared" si="12"/>
        <v>11.81</v>
      </c>
      <c r="M55">
        <f t="shared" si="13"/>
        <v>416.67</v>
      </c>
    </row>
    <row r="56" spans="1:13" ht="18" customHeight="1" x14ac:dyDescent="0.3">
      <c r="A56" s="25" t="s">
        <v>680</v>
      </c>
      <c r="B56" s="25"/>
      <c r="C56" s="25"/>
      <c r="G56" t="str">
        <f t="shared" si="7"/>
        <v/>
      </c>
      <c r="H56" t="str">
        <f t="shared" si="8"/>
        <v/>
      </c>
      <c r="I56" t="str">
        <f t="shared" si="9"/>
        <v/>
      </c>
      <c r="J56" t="str">
        <f t="shared" si="10"/>
        <v/>
      </c>
      <c r="K56" t="str">
        <f t="shared" si="11"/>
        <v/>
      </c>
      <c r="L56" t="str">
        <f t="shared" si="12"/>
        <v/>
      </c>
      <c r="M56" t="str">
        <f t="shared" si="13"/>
        <v/>
      </c>
    </row>
    <row r="57" spans="1:13" ht="15" customHeight="1" x14ac:dyDescent="0.3">
      <c r="A57" s="16" t="s">
        <v>681</v>
      </c>
      <c r="B57" s="17" t="s">
        <v>191</v>
      </c>
      <c r="C57" s="18"/>
      <c r="D57" s="19" t="s">
        <v>107</v>
      </c>
      <c r="E57" s="1" t="s">
        <v>53</v>
      </c>
      <c r="F57" s="20" t="s">
        <v>192</v>
      </c>
      <c r="G57">
        <f t="shared" si="7"/>
        <v>137.5</v>
      </c>
      <c r="H57">
        <f t="shared" si="8"/>
        <v>43.75</v>
      </c>
      <c r="I57">
        <f t="shared" si="9"/>
        <v>412.5</v>
      </c>
      <c r="J57">
        <f t="shared" si="10"/>
        <v>95.11</v>
      </c>
      <c r="K57">
        <f t="shared" si="11"/>
        <v>17.119799999999998</v>
      </c>
      <c r="L57">
        <f t="shared" si="12"/>
        <v>261.7</v>
      </c>
      <c r="M57">
        <f t="shared" si="13"/>
        <v>687.5</v>
      </c>
    </row>
    <row r="58" spans="1:13" ht="15" customHeight="1" x14ac:dyDescent="0.3">
      <c r="A58" s="21" t="s">
        <v>681</v>
      </c>
      <c r="B58" s="22" t="s">
        <v>305</v>
      </c>
      <c r="C58" s="23"/>
      <c r="D58" s="24" t="s">
        <v>107</v>
      </c>
      <c r="E58" s="1" t="s">
        <v>53</v>
      </c>
      <c r="F58" s="20" t="s">
        <v>306</v>
      </c>
      <c r="G58">
        <f t="shared" si="7"/>
        <v>20</v>
      </c>
      <c r="H58">
        <f t="shared" si="8"/>
        <v>5</v>
      </c>
      <c r="I58">
        <f t="shared" si="9"/>
        <v>15</v>
      </c>
      <c r="J58">
        <f t="shared" si="10"/>
        <v>10.87</v>
      </c>
      <c r="K58">
        <f t="shared" si="11"/>
        <v>1.9565999999999999</v>
      </c>
      <c r="L58">
        <f t="shared" si="12"/>
        <v>39.22</v>
      </c>
      <c r="M58">
        <f t="shared" si="13"/>
        <v>25</v>
      </c>
    </row>
    <row r="59" spans="1:13" ht="15" customHeight="1" x14ac:dyDescent="0.3">
      <c r="A59" s="16" t="s">
        <v>681</v>
      </c>
      <c r="B59" s="17" t="s">
        <v>193</v>
      </c>
      <c r="C59" s="18"/>
      <c r="D59" s="19" t="s">
        <v>107</v>
      </c>
      <c r="E59" s="1" t="s">
        <v>53</v>
      </c>
      <c r="F59" s="20" t="s">
        <v>194</v>
      </c>
      <c r="G59">
        <f t="shared" si="7"/>
        <v>125</v>
      </c>
      <c r="H59">
        <f t="shared" si="8"/>
        <v>125</v>
      </c>
      <c r="I59">
        <f t="shared" si="9"/>
        <v>125</v>
      </c>
      <c r="J59">
        <f t="shared" si="10"/>
        <v>271.74</v>
      </c>
      <c r="K59">
        <f t="shared" si="11"/>
        <v>48.913200000000003</v>
      </c>
      <c r="L59">
        <f t="shared" si="12"/>
        <v>165.41</v>
      </c>
      <c r="M59">
        <f t="shared" si="13"/>
        <v>208.33</v>
      </c>
    </row>
    <row r="60" spans="1:13" ht="15" customHeight="1" x14ac:dyDescent="0.3">
      <c r="A60" s="21" t="s">
        <v>681</v>
      </c>
      <c r="B60" s="22" t="s">
        <v>202</v>
      </c>
      <c r="C60" s="23"/>
      <c r="D60" s="24" t="s">
        <v>107</v>
      </c>
      <c r="E60" s="1" t="s">
        <v>53</v>
      </c>
      <c r="F60" s="20" t="s">
        <v>203</v>
      </c>
      <c r="G60">
        <f t="shared" si="7"/>
        <v>68.75</v>
      </c>
      <c r="H60">
        <f t="shared" si="8"/>
        <v>68.75</v>
      </c>
      <c r="I60">
        <f t="shared" si="9"/>
        <v>68.75</v>
      </c>
      <c r="J60">
        <f t="shared" si="10"/>
        <v>149.46</v>
      </c>
      <c r="K60">
        <f t="shared" si="11"/>
        <v>26.902799999999999</v>
      </c>
      <c r="L60">
        <f t="shared" si="12"/>
        <v>90.97</v>
      </c>
      <c r="M60">
        <f t="shared" si="13"/>
        <v>114.58</v>
      </c>
    </row>
    <row r="61" spans="1:13" ht="15" customHeight="1" x14ac:dyDescent="0.3">
      <c r="A61" s="16" t="s">
        <v>681</v>
      </c>
      <c r="B61" s="17" t="s">
        <v>204</v>
      </c>
      <c r="C61" s="18"/>
      <c r="D61" s="19" t="s">
        <v>107</v>
      </c>
      <c r="E61" s="1" t="s">
        <v>53</v>
      </c>
      <c r="F61" s="20" t="s">
        <v>205</v>
      </c>
      <c r="G61">
        <f t="shared" si="7"/>
        <v>100</v>
      </c>
      <c r="H61">
        <f t="shared" si="8"/>
        <v>75</v>
      </c>
      <c r="I61">
        <f t="shared" si="9"/>
        <v>37.5</v>
      </c>
      <c r="J61">
        <f t="shared" si="10"/>
        <v>163.04</v>
      </c>
      <c r="K61">
        <f t="shared" si="11"/>
        <v>29.347199999999997</v>
      </c>
      <c r="L61">
        <f t="shared" si="12"/>
        <v>153.59</v>
      </c>
      <c r="M61">
        <f t="shared" si="13"/>
        <v>62.5</v>
      </c>
    </row>
    <row r="62" spans="1:13" ht="18" customHeight="1" x14ac:dyDescent="0.3">
      <c r="A62" s="25" t="s">
        <v>220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21" t="s">
        <v>221</v>
      </c>
      <c r="B63" s="22" t="s">
        <v>682</v>
      </c>
      <c r="C63" s="23"/>
      <c r="D63" s="24" t="s">
        <v>107</v>
      </c>
      <c r="E63" s="1" t="s">
        <v>53</v>
      </c>
      <c r="F63" s="20" t="s">
        <v>225</v>
      </c>
      <c r="G63">
        <f t="shared" si="7"/>
        <v>125</v>
      </c>
      <c r="H63">
        <f t="shared" si="8"/>
        <v>62.5</v>
      </c>
      <c r="I63">
        <f t="shared" si="9"/>
        <v>37.5</v>
      </c>
      <c r="J63">
        <f t="shared" si="10"/>
        <v>135.87</v>
      </c>
      <c r="K63">
        <f t="shared" si="11"/>
        <v>24.456600000000002</v>
      </c>
      <c r="L63">
        <f t="shared" si="12"/>
        <v>218.57</v>
      </c>
      <c r="M63">
        <f t="shared" si="13"/>
        <v>62.5</v>
      </c>
    </row>
    <row r="64" spans="1:13" ht="15" customHeight="1" x14ac:dyDescent="0.3">
      <c r="A64" s="16" t="s">
        <v>221</v>
      </c>
      <c r="B64" s="17" t="s">
        <v>222</v>
      </c>
      <c r="C64" s="18"/>
      <c r="D64" s="19" t="s">
        <v>107</v>
      </c>
      <c r="E64" s="1" t="s">
        <v>53</v>
      </c>
      <c r="F64" s="20" t="s">
        <v>223</v>
      </c>
      <c r="G64">
        <f t="shared" si="7"/>
        <v>187.5</v>
      </c>
      <c r="H64">
        <f t="shared" si="8"/>
        <v>125</v>
      </c>
      <c r="I64">
        <f t="shared" si="9"/>
        <v>62.5</v>
      </c>
      <c r="J64">
        <f t="shared" si="10"/>
        <v>271.74</v>
      </c>
      <c r="K64">
        <f t="shared" si="11"/>
        <v>48.913200000000003</v>
      </c>
      <c r="L64">
        <f t="shared" si="12"/>
        <v>301.27999999999997</v>
      </c>
      <c r="M64">
        <f t="shared" si="13"/>
        <v>104.17</v>
      </c>
    </row>
    <row r="65" spans="1:13" ht="15" customHeight="1" x14ac:dyDescent="0.3">
      <c r="A65" s="21" t="s">
        <v>221</v>
      </c>
      <c r="B65" s="22" t="s">
        <v>683</v>
      </c>
      <c r="C65" s="23"/>
      <c r="D65" s="24" t="s">
        <v>107</v>
      </c>
      <c r="E65" s="1" t="s">
        <v>53</v>
      </c>
      <c r="F65" s="20" t="s">
        <v>233</v>
      </c>
      <c r="G65">
        <f t="shared" si="7"/>
        <v>125</v>
      </c>
      <c r="H65">
        <f t="shared" si="8"/>
        <v>156.25</v>
      </c>
      <c r="I65">
        <f t="shared" si="9"/>
        <v>31.25</v>
      </c>
      <c r="J65">
        <f t="shared" si="10"/>
        <v>339.67</v>
      </c>
      <c r="K65">
        <f t="shared" si="11"/>
        <v>61.140599999999999</v>
      </c>
      <c r="L65">
        <f t="shared" si="12"/>
        <v>138.82</v>
      </c>
      <c r="M65">
        <f t="shared" si="13"/>
        <v>52.08</v>
      </c>
    </row>
    <row r="66" spans="1:13" ht="15" customHeight="1" x14ac:dyDescent="0.3">
      <c r="A66" s="16" t="s">
        <v>221</v>
      </c>
      <c r="B66" s="17" t="s">
        <v>684</v>
      </c>
      <c r="C66" s="18"/>
      <c r="D66" s="19" t="s">
        <v>107</v>
      </c>
      <c r="E66" s="1" t="s">
        <v>53</v>
      </c>
      <c r="F66" s="20" t="s">
        <v>227</v>
      </c>
      <c r="G66">
        <f t="shared" si="7"/>
        <v>50</v>
      </c>
      <c r="H66">
        <f t="shared" si="8"/>
        <v>62.5</v>
      </c>
      <c r="I66">
        <f t="shared" si="9"/>
        <v>37.5</v>
      </c>
      <c r="J66">
        <f t="shared" si="10"/>
        <v>135.87</v>
      </c>
      <c r="K66">
        <f t="shared" si="11"/>
        <v>24.456600000000002</v>
      </c>
      <c r="L66">
        <f t="shared" si="12"/>
        <v>55.53</v>
      </c>
      <c r="M66">
        <f t="shared" si="13"/>
        <v>62.5</v>
      </c>
    </row>
    <row r="67" spans="1:13" ht="15" customHeight="1" x14ac:dyDescent="0.3">
      <c r="A67" s="21" t="s">
        <v>221</v>
      </c>
      <c r="B67" s="22" t="s">
        <v>685</v>
      </c>
      <c r="C67" s="23"/>
      <c r="D67" s="24" t="s">
        <v>107</v>
      </c>
      <c r="E67" s="1" t="s">
        <v>53</v>
      </c>
      <c r="F67" s="20" t="s">
        <v>235</v>
      </c>
      <c r="G67">
        <f t="shared" si="7"/>
        <v>125</v>
      </c>
      <c r="H67">
        <f t="shared" si="8"/>
        <v>125</v>
      </c>
      <c r="I67">
        <f t="shared" si="9"/>
        <v>62.5</v>
      </c>
      <c r="J67">
        <f t="shared" si="10"/>
        <v>271.74</v>
      </c>
      <c r="K67">
        <f t="shared" si="11"/>
        <v>48.913200000000003</v>
      </c>
      <c r="L67">
        <f t="shared" si="12"/>
        <v>165.41</v>
      </c>
      <c r="M67">
        <f t="shared" si="13"/>
        <v>104.17</v>
      </c>
    </row>
    <row r="68" spans="1:13" ht="15" customHeight="1" x14ac:dyDescent="0.3">
      <c r="A68" s="16" t="s">
        <v>221</v>
      </c>
      <c r="B68" s="17" t="s">
        <v>686</v>
      </c>
      <c r="C68" s="18"/>
      <c r="D68" s="19" t="s">
        <v>107</v>
      </c>
      <c r="E68" s="1" t="s">
        <v>53</v>
      </c>
      <c r="F68" s="20" t="s">
        <v>407</v>
      </c>
      <c r="G68">
        <f t="shared" si="7"/>
        <v>50</v>
      </c>
      <c r="H68">
        <f t="shared" si="8"/>
        <v>100</v>
      </c>
      <c r="I68">
        <f t="shared" si="9"/>
        <v>150</v>
      </c>
      <c r="J68">
        <f t="shared" si="10"/>
        <v>217.39</v>
      </c>
      <c r="K68">
        <f t="shared" si="11"/>
        <v>39.130199999999995</v>
      </c>
      <c r="L68">
        <f t="shared" si="12"/>
        <v>23.63</v>
      </c>
      <c r="M68">
        <f t="shared" si="13"/>
        <v>250</v>
      </c>
    </row>
    <row r="69" spans="1:13" ht="15" customHeight="1" x14ac:dyDescent="0.3">
      <c r="A69" s="21" t="s">
        <v>221</v>
      </c>
      <c r="B69" s="22" t="s">
        <v>687</v>
      </c>
      <c r="C69" s="23"/>
      <c r="D69" s="24" t="s">
        <v>107</v>
      </c>
      <c r="E69" s="1" t="s">
        <v>53</v>
      </c>
      <c r="F69" s="20" t="s">
        <v>241</v>
      </c>
      <c r="G69">
        <f t="shared" si="7"/>
        <v>7.5</v>
      </c>
      <c r="H69">
        <f t="shared" si="8"/>
        <v>15</v>
      </c>
      <c r="I69">
        <f t="shared" si="9"/>
        <v>15</v>
      </c>
      <c r="J69">
        <f t="shared" si="10"/>
        <v>32.61</v>
      </c>
      <c r="K69">
        <f t="shared" si="11"/>
        <v>5.8697999999999997</v>
      </c>
      <c r="L69">
        <f t="shared" si="12"/>
        <v>3.54</v>
      </c>
      <c r="M69">
        <f t="shared" si="13"/>
        <v>25</v>
      </c>
    </row>
    <row r="70" spans="1:13" ht="15" customHeight="1" x14ac:dyDescent="0.3">
      <c r="A70" s="16" t="s">
        <v>221</v>
      </c>
      <c r="B70" s="17" t="s">
        <v>230</v>
      </c>
      <c r="C70" s="18"/>
      <c r="D70" s="19" t="s">
        <v>107</v>
      </c>
      <c r="E70" s="1" t="s">
        <v>53</v>
      </c>
      <c r="F70" s="20" t="s">
        <v>231</v>
      </c>
      <c r="G70">
        <f t="shared" si="7"/>
        <v>125</v>
      </c>
      <c r="H70">
        <f t="shared" si="8"/>
        <v>187.5</v>
      </c>
      <c r="I70">
        <f t="shared" si="9"/>
        <v>93.75</v>
      </c>
      <c r="J70">
        <f t="shared" si="10"/>
        <v>407.61</v>
      </c>
      <c r="K70">
        <f t="shared" si="11"/>
        <v>73.369799999999998</v>
      </c>
      <c r="L70">
        <f t="shared" si="12"/>
        <v>112.24</v>
      </c>
      <c r="M70">
        <f t="shared" si="13"/>
        <v>156.25</v>
      </c>
    </row>
    <row r="71" spans="1:13" ht="15" customHeight="1" x14ac:dyDescent="0.3">
      <c r="A71" s="21" t="s">
        <v>221</v>
      </c>
      <c r="B71" s="22" t="s">
        <v>688</v>
      </c>
      <c r="C71" s="23"/>
      <c r="D71" s="24" t="s">
        <v>107</v>
      </c>
      <c r="E71" s="1" t="s">
        <v>53</v>
      </c>
      <c r="F71" s="20" t="s">
        <v>322</v>
      </c>
      <c r="G71">
        <f t="shared" ref="G71:G103" si="14">IF($F71="","",IFERROR(VALUE(TRIM(LEFT($F71,FIND(":",$F71)-1)))*1.25,"N/A"))</f>
        <v>150</v>
      </c>
      <c r="H71">
        <f t="shared" ref="H71:H103" si="15">IF($F71="","",IFERROR(VALUE(TRIM(MID($F71,FIND(":",$F71)+1,FIND(":",$F71,FIND(":",$F71)+1)-FIND(":",$F71)-1)))*1.25,"N/A"))</f>
        <v>300</v>
      </c>
      <c r="I71">
        <f t="shared" ref="I71:I103" si="16">IF($F71="","",IFERROR(VALUE(TRIM(LEFT(MID($F71,FIND(":",$F71,FIND(":",$F71)+1)+1,LEN($F71)),FIND(" ",MID($F71,FIND(":",$F71,FIND(":",$F71)+1)+1,LEN($F71))&amp;" ")-1)))*1.25,"N/A"))</f>
        <v>150</v>
      </c>
      <c r="J71">
        <f t="shared" ref="J71:J103" si="17">IF(OR($F71="",$H71="N/A"),IF($F71="","","N/A"),ROUND($H71/0.46,2))</f>
        <v>652.16999999999996</v>
      </c>
      <c r="K71">
        <f t="shared" ref="K71:K103" si="18">IF(OR($F71="",$J71="N/A"),IF($F71="","","N/A"),$J71*0.18)</f>
        <v>117.39059999999999</v>
      </c>
      <c r="L71">
        <f t="shared" ref="L71:L103" si="19">IF(OR($F71="",$G71="N/A",$K71="N/A"),IF($F71="","","N/A"),ROUND(($G71-$K71)/0.46,2))</f>
        <v>70.89</v>
      </c>
      <c r="M71">
        <f t="shared" ref="M71:M103" si="20">IF(OR($F71="",$I71="N/A"),IF($F71="","","N/A"),ROUND($I71/0.6,2))</f>
        <v>250</v>
      </c>
    </row>
    <row r="72" spans="1:13" ht="15" customHeight="1" x14ac:dyDescent="0.3">
      <c r="A72" s="16" t="s">
        <v>221</v>
      </c>
      <c r="B72" s="17" t="s">
        <v>689</v>
      </c>
      <c r="C72" s="18"/>
      <c r="D72" s="19" t="s">
        <v>107</v>
      </c>
      <c r="E72" s="1" t="s">
        <v>53</v>
      </c>
      <c r="F72" s="20" t="s">
        <v>241</v>
      </c>
      <c r="G72">
        <f t="shared" si="14"/>
        <v>7.5</v>
      </c>
      <c r="H72">
        <f t="shared" si="15"/>
        <v>15</v>
      </c>
      <c r="I72">
        <f t="shared" si="16"/>
        <v>15</v>
      </c>
      <c r="J72">
        <f t="shared" si="17"/>
        <v>32.61</v>
      </c>
      <c r="K72">
        <f t="shared" si="18"/>
        <v>5.8697999999999997</v>
      </c>
      <c r="L72">
        <f t="shared" si="19"/>
        <v>3.54</v>
      </c>
      <c r="M72">
        <f t="shared" si="20"/>
        <v>25</v>
      </c>
    </row>
    <row r="73" spans="1:13" ht="15" customHeight="1" x14ac:dyDescent="0.3">
      <c r="A73" s="21" t="s">
        <v>221</v>
      </c>
      <c r="B73" s="22" t="s">
        <v>690</v>
      </c>
      <c r="C73" s="23"/>
      <c r="D73" s="24" t="s">
        <v>107</v>
      </c>
      <c r="E73" s="1" t="s">
        <v>53</v>
      </c>
      <c r="F73" s="20" t="s">
        <v>577</v>
      </c>
      <c r="G73">
        <f t="shared" si="14"/>
        <v>93.75</v>
      </c>
      <c r="H73">
        <f t="shared" si="15"/>
        <v>50</v>
      </c>
      <c r="I73">
        <f t="shared" si="16"/>
        <v>93.75</v>
      </c>
      <c r="J73">
        <f t="shared" si="17"/>
        <v>108.7</v>
      </c>
      <c r="K73">
        <f t="shared" si="18"/>
        <v>19.565999999999999</v>
      </c>
      <c r="L73">
        <f t="shared" si="19"/>
        <v>161.27000000000001</v>
      </c>
      <c r="M73">
        <f t="shared" si="20"/>
        <v>156.25</v>
      </c>
    </row>
    <row r="74" spans="1:13" ht="15" customHeight="1" x14ac:dyDescent="0.3">
      <c r="A74" s="16" t="s">
        <v>221</v>
      </c>
      <c r="B74" s="17" t="s">
        <v>243</v>
      </c>
      <c r="C74" s="18"/>
      <c r="D74" s="19" t="s">
        <v>107</v>
      </c>
      <c r="E74" s="1" t="s">
        <v>53</v>
      </c>
      <c r="F74" s="20" t="s">
        <v>241</v>
      </c>
      <c r="G74">
        <f t="shared" si="14"/>
        <v>7.5</v>
      </c>
      <c r="H74">
        <f t="shared" si="15"/>
        <v>15</v>
      </c>
      <c r="I74">
        <f t="shared" si="16"/>
        <v>15</v>
      </c>
      <c r="J74">
        <f t="shared" si="17"/>
        <v>32.61</v>
      </c>
      <c r="K74">
        <f t="shared" si="18"/>
        <v>5.8697999999999997</v>
      </c>
      <c r="L74">
        <f t="shared" si="19"/>
        <v>3.54</v>
      </c>
      <c r="M74">
        <f t="shared" si="20"/>
        <v>25</v>
      </c>
    </row>
    <row r="75" spans="1:13" ht="15" customHeight="1" x14ac:dyDescent="0.3">
      <c r="A75" s="21" t="s">
        <v>221</v>
      </c>
      <c r="B75" s="22" t="s">
        <v>242</v>
      </c>
      <c r="C75" s="23"/>
      <c r="D75" s="24" t="s">
        <v>107</v>
      </c>
      <c r="E75" s="1" t="s">
        <v>53</v>
      </c>
      <c r="F75" s="20" t="s">
        <v>241</v>
      </c>
      <c r="G75">
        <f t="shared" si="14"/>
        <v>7.5</v>
      </c>
      <c r="H75">
        <f t="shared" si="15"/>
        <v>15</v>
      </c>
      <c r="I75">
        <f t="shared" si="16"/>
        <v>15</v>
      </c>
      <c r="J75">
        <f t="shared" si="17"/>
        <v>32.61</v>
      </c>
      <c r="K75">
        <f t="shared" si="18"/>
        <v>5.8697999999999997</v>
      </c>
      <c r="L75">
        <f t="shared" si="19"/>
        <v>3.54</v>
      </c>
      <c r="M75">
        <f t="shared" si="20"/>
        <v>25</v>
      </c>
    </row>
    <row r="76" spans="1:13" ht="15" customHeight="1" x14ac:dyDescent="0.3">
      <c r="A76" s="16" t="s">
        <v>221</v>
      </c>
      <c r="B76" s="17" t="s">
        <v>248</v>
      </c>
      <c r="C76" s="18"/>
      <c r="D76" s="19" t="s">
        <v>107</v>
      </c>
      <c r="E76" s="1" t="s">
        <v>53</v>
      </c>
      <c r="F76" s="20" t="s">
        <v>249</v>
      </c>
      <c r="G76">
        <f t="shared" si="14"/>
        <v>125</v>
      </c>
      <c r="H76">
        <f t="shared" si="15"/>
        <v>62.5</v>
      </c>
      <c r="I76">
        <f t="shared" si="16"/>
        <v>62.5</v>
      </c>
      <c r="J76">
        <f t="shared" si="17"/>
        <v>135.87</v>
      </c>
      <c r="K76">
        <f t="shared" si="18"/>
        <v>24.456600000000002</v>
      </c>
      <c r="L76">
        <f t="shared" si="19"/>
        <v>218.57</v>
      </c>
      <c r="M76">
        <f t="shared" si="20"/>
        <v>104.17</v>
      </c>
    </row>
    <row r="77" spans="1:13" ht="15" customHeight="1" x14ac:dyDescent="0.3">
      <c r="A77" s="21" t="s">
        <v>221</v>
      </c>
      <c r="B77" s="22" t="s">
        <v>333</v>
      </c>
      <c r="C77" s="23"/>
      <c r="D77" s="24" t="s">
        <v>107</v>
      </c>
      <c r="E77" s="1" t="s">
        <v>53</v>
      </c>
      <c r="F77" s="20" t="s">
        <v>334</v>
      </c>
      <c r="G77">
        <f t="shared" si="14"/>
        <v>50</v>
      </c>
      <c r="H77">
        <f t="shared" si="15"/>
        <v>75</v>
      </c>
      <c r="I77">
        <f t="shared" si="16"/>
        <v>150</v>
      </c>
      <c r="J77">
        <f t="shared" si="17"/>
        <v>163.04</v>
      </c>
      <c r="K77">
        <f t="shared" si="18"/>
        <v>29.347199999999997</v>
      </c>
      <c r="L77">
        <f t="shared" si="19"/>
        <v>44.9</v>
      </c>
      <c r="M77">
        <f t="shared" si="20"/>
        <v>250</v>
      </c>
    </row>
    <row r="78" spans="1:13" ht="15" customHeight="1" x14ac:dyDescent="0.3">
      <c r="A78" s="16" t="s">
        <v>221</v>
      </c>
      <c r="B78" s="17" t="s">
        <v>335</v>
      </c>
      <c r="C78" s="18"/>
      <c r="D78" s="19" t="s">
        <v>107</v>
      </c>
      <c r="E78" s="1" t="s">
        <v>53</v>
      </c>
      <c r="F78" s="20" t="s">
        <v>336</v>
      </c>
      <c r="G78">
        <f t="shared" si="14"/>
        <v>112.5</v>
      </c>
      <c r="H78">
        <f t="shared" si="15"/>
        <v>75</v>
      </c>
      <c r="I78">
        <f t="shared" si="16"/>
        <v>300</v>
      </c>
      <c r="J78">
        <f t="shared" si="17"/>
        <v>163.04</v>
      </c>
      <c r="K78">
        <f t="shared" si="18"/>
        <v>29.347199999999997</v>
      </c>
      <c r="L78">
        <f t="shared" si="19"/>
        <v>180.77</v>
      </c>
      <c r="M78">
        <f t="shared" si="20"/>
        <v>500</v>
      </c>
    </row>
    <row r="79" spans="1:13" ht="15" customHeight="1" x14ac:dyDescent="0.3">
      <c r="A79" s="21" t="s">
        <v>221</v>
      </c>
      <c r="B79" s="22" t="s">
        <v>691</v>
      </c>
      <c r="C79" s="23"/>
      <c r="D79" s="24" t="s">
        <v>107</v>
      </c>
      <c r="E79" s="1" t="s">
        <v>53</v>
      </c>
      <c r="F79" s="20" t="s">
        <v>149</v>
      </c>
      <c r="G79">
        <f t="shared" si="14"/>
        <v>50</v>
      </c>
      <c r="H79">
        <f t="shared" si="15"/>
        <v>25</v>
      </c>
      <c r="I79">
        <f t="shared" si="16"/>
        <v>25</v>
      </c>
      <c r="J79">
        <f t="shared" si="17"/>
        <v>54.35</v>
      </c>
      <c r="K79">
        <f t="shared" si="18"/>
        <v>9.7829999999999995</v>
      </c>
      <c r="L79">
        <f t="shared" si="19"/>
        <v>87.43</v>
      </c>
      <c r="M79">
        <f t="shared" si="20"/>
        <v>41.67</v>
      </c>
    </row>
    <row r="80" spans="1:13" ht="15" customHeight="1" x14ac:dyDescent="0.3">
      <c r="A80" s="16" t="s">
        <v>221</v>
      </c>
      <c r="B80" s="17" t="s">
        <v>238</v>
      </c>
      <c r="C80" s="18"/>
      <c r="D80" s="19" t="s">
        <v>107</v>
      </c>
      <c r="E80" s="1" t="s">
        <v>53</v>
      </c>
      <c r="F80" s="20" t="s">
        <v>239</v>
      </c>
      <c r="G80">
        <f t="shared" si="14"/>
        <v>150</v>
      </c>
      <c r="H80">
        <f t="shared" si="15"/>
        <v>75</v>
      </c>
      <c r="I80">
        <f t="shared" si="16"/>
        <v>75</v>
      </c>
      <c r="J80">
        <f t="shared" si="17"/>
        <v>163.04</v>
      </c>
      <c r="K80">
        <f t="shared" si="18"/>
        <v>29.347199999999997</v>
      </c>
      <c r="L80">
        <f t="shared" si="19"/>
        <v>262.29000000000002</v>
      </c>
      <c r="M80">
        <f t="shared" si="20"/>
        <v>125</v>
      </c>
    </row>
    <row r="81" spans="1:13" ht="15" customHeight="1" x14ac:dyDescent="0.3">
      <c r="A81" s="21" t="s">
        <v>221</v>
      </c>
      <c r="B81" s="22" t="s">
        <v>692</v>
      </c>
      <c r="C81" s="23"/>
      <c r="D81" s="24" t="s">
        <v>107</v>
      </c>
      <c r="E81" s="1" t="s">
        <v>53</v>
      </c>
      <c r="F81" s="20" t="s">
        <v>160</v>
      </c>
      <c r="G81">
        <f t="shared" si="14"/>
        <v>25</v>
      </c>
      <c r="H81">
        <f t="shared" si="15"/>
        <v>50</v>
      </c>
      <c r="I81">
        <f t="shared" si="16"/>
        <v>25</v>
      </c>
      <c r="J81">
        <f t="shared" si="17"/>
        <v>108.7</v>
      </c>
      <c r="K81">
        <f t="shared" si="18"/>
        <v>19.565999999999999</v>
      </c>
      <c r="L81">
        <f t="shared" si="19"/>
        <v>11.81</v>
      </c>
      <c r="M81">
        <f t="shared" si="20"/>
        <v>41.67</v>
      </c>
    </row>
    <row r="82" spans="1:13" ht="15" customHeight="1" x14ac:dyDescent="0.3">
      <c r="A82" s="16" t="s">
        <v>221</v>
      </c>
      <c r="B82" s="17" t="s">
        <v>327</v>
      </c>
      <c r="C82" s="18"/>
      <c r="D82" s="19" t="s">
        <v>107</v>
      </c>
      <c r="E82" s="1" t="s">
        <v>53</v>
      </c>
      <c r="F82" s="20" t="s">
        <v>328</v>
      </c>
      <c r="G82">
        <f t="shared" si="14"/>
        <v>150</v>
      </c>
      <c r="H82">
        <f t="shared" si="15"/>
        <v>100</v>
      </c>
      <c r="I82">
        <f t="shared" si="16"/>
        <v>87.5</v>
      </c>
      <c r="J82">
        <f t="shared" si="17"/>
        <v>217.39</v>
      </c>
      <c r="K82">
        <f t="shared" si="18"/>
        <v>39.130199999999995</v>
      </c>
      <c r="L82">
        <f t="shared" si="19"/>
        <v>241.02</v>
      </c>
      <c r="M82">
        <f t="shared" si="20"/>
        <v>145.83000000000001</v>
      </c>
    </row>
    <row r="83" spans="1:13" ht="18" customHeight="1" x14ac:dyDescent="0.3">
      <c r="A83" s="25" t="s">
        <v>252</v>
      </c>
      <c r="B83" s="25"/>
      <c r="C83" s="25"/>
      <c r="G83" t="str">
        <f t="shared" si="14"/>
        <v/>
      </c>
      <c r="H83" t="str">
        <f t="shared" si="15"/>
        <v/>
      </c>
      <c r="I83" t="str">
        <f t="shared" si="16"/>
        <v/>
      </c>
      <c r="J83" t="str">
        <f t="shared" si="17"/>
        <v/>
      </c>
      <c r="K83" t="str">
        <f t="shared" si="18"/>
        <v/>
      </c>
      <c r="L83" t="str">
        <f t="shared" si="19"/>
        <v/>
      </c>
      <c r="M83" t="str">
        <f t="shared" si="20"/>
        <v/>
      </c>
    </row>
    <row r="84" spans="1:13" ht="15" customHeight="1" x14ac:dyDescent="0.3">
      <c r="A84" s="21" t="s">
        <v>253</v>
      </c>
      <c r="B84" s="22" t="s">
        <v>693</v>
      </c>
      <c r="C84" s="23"/>
      <c r="D84" s="24" t="s">
        <v>107</v>
      </c>
      <c r="E84" s="1" t="s">
        <v>53</v>
      </c>
      <c r="F84" s="20" t="s">
        <v>256</v>
      </c>
      <c r="G84">
        <f t="shared" si="14"/>
        <v>31.25</v>
      </c>
      <c r="H84">
        <f t="shared" si="15"/>
        <v>75</v>
      </c>
      <c r="I84">
        <f t="shared" si="16"/>
        <v>22.5</v>
      </c>
      <c r="J84">
        <f t="shared" si="17"/>
        <v>163.04</v>
      </c>
      <c r="K84">
        <f t="shared" si="18"/>
        <v>29.347199999999997</v>
      </c>
      <c r="L84">
        <f t="shared" si="19"/>
        <v>4.1399999999999997</v>
      </c>
      <c r="M84">
        <f t="shared" si="20"/>
        <v>37.5</v>
      </c>
    </row>
    <row r="85" spans="1:13" ht="15" customHeight="1" x14ac:dyDescent="0.3">
      <c r="A85" s="16" t="s">
        <v>253</v>
      </c>
      <c r="B85" s="17" t="s">
        <v>323</v>
      </c>
      <c r="C85" s="18"/>
      <c r="D85" s="19" t="s">
        <v>107</v>
      </c>
      <c r="E85" s="1" t="s">
        <v>53</v>
      </c>
      <c r="F85" s="20" t="s">
        <v>324</v>
      </c>
      <c r="G85">
        <f t="shared" si="14"/>
        <v>93.75</v>
      </c>
      <c r="H85">
        <f t="shared" si="15"/>
        <v>62.5</v>
      </c>
      <c r="I85">
        <f t="shared" si="16"/>
        <v>62.5</v>
      </c>
      <c r="J85">
        <f t="shared" si="17"/>
        <v>135.87</v>
      </c>
      <c r="K85">
        <f t="shared" si="18"/>
        <v>24.456600000000002</v>
      </c>
      <c r="L85">
        <f t="shared" si="19"/>
        <v>150.63999999999999</v>
      </c>
      <c r="M85">
        <f t="shared" si="20"/>
        <v>104.17</v>
      </c>
    </row>
    <row r="86" spans="1:13" ht="15" customHeight="1" x14ac:dyDescent="0.3">
      <c r="A86" s="21" t="s">
        <v>253</v>
      </c>
      <c r="B86" s="22" t="s">
        <v>694</v>
      </c>
      <c r="C86" s="23"/>
      <c r="D86" s="24" t="s">
        <v>107</v>
      </c>
      <c r="E86" s="1" t="s">
        <v>53</v>
      </c>
      <c r="F86" s="20" t="s">
        <v>695</v>
      </c>
      <c r="G86">
        <f t="shared" si="14"/>
        <v>93.75</v>
      </c>
      <c r="H86">
        <f t="shared" si="15"/>
        <v>62.5</v>
      </c>
      <c r="I86">
        <f t="shared" si="16"/>
        <v>62.5</v>
      </c>
      <c r="J86">
        <f t="shared" si="17"/>
        <v>135.87</v>
      </c>
      <c r="K86">
        <f t="shared" si="18"/>
        <v>24.456600000000002</v>
      </c>
      <c r="L86">
        <f t="shared" si="19"/>
        <v>150.63999999999999</v>
      </c>
      <c r="M86">
        <f t="shared" si="20"/>
        <v>104.17</v>
      </c>
    </row>
    <row r="87" spans="1:13" ht="15" customHeight="1" x14ac:dyDescent="0.3">
      <c r="A87" s="16" t="s">
        <v>253</v>
      </c>
      <c r="B87" s="17" t="s">
        <v>228</v>
      </c>
      <c r="C87" s="18"/>
      <c r="D87" s="19" t="s">
        <v>107</v>
      </c>
      <c r="E87" s="1" t="s">
        <v>53</v>
      </c>
      <c r="F87" s="20" t="s">
        <v>229</v>
      </c>
      <c r="G87">
        <f t="shared" si="14"/>
        <v>150</v>
      </c>
      <c r="H87">
        <f t="shared" si="15"/>
        <v>75</v>
      </c>
      <c r="I87">
        <f t="shared" si="16"/>
        <v>37.5</v>
      </c>
      <c r="J87">
        <f t="shared" si="17"/>
        <v>163.04</v>
      </c>
      <c r="K87">
        <f t="shared" si="18"/>
        <v>29.347199999999997</v>
      </c>
      <c r="L87">
        <f t="shared" si="19"/>
        <v>262.29000000000002</v>
      </c>
      <c r="M87">
        <f t="shared" si="20"/>
        <v>62.5</v>
      </c>
    </row>
    <row r="88" spans="1:13" ht="15" customHeight="1" x14ac:dyDescent="0.3">
      <c r="A88" s="21" t="s">
        <v>253</v>
      </c>
      <c r="B88" s="22" t="s">
        <v>259</v>
      </c>
      <c r="C88" s="23"/>
      <c r="D88" s="24" t="s">
        <v>107</v>
      </c>
      <c r="E88" s="1" t="s">
        <v>53</v>
      </c>
      <c r="F88" s="20" t="s">
        <v>260</v>
      </c>
      <c r="G88">
        <f t="shared" si="14"/>
        <v>125</v>
      </c>
      <c r="H88">
        <f t="shared" si="15"/>
        <v>50</v>
      </c>
      <c r="I88">
        <f t="shared" si="16"/>
        <v>175</v>
      </c>
      <c r="J88">
        <f t="shared" si="17"/>
        <v>108.7</v>
      </c>
      <c r="K88">
        <f t="shared" si="18"/>
        <v>19.565999999999999</v>
      </c>
      <c r="L88">
        <f t="shared" si="19"/>
        <v>229.2</v>
      </c>
      <c r="M88">
        <f t="shared" si="20"/>
        <v>291.67</v>
      </c>
    </row>
    <row r="89" spans="1:13" ht="15" customHeight="1" x14ac:dyDescent="0.3">
      <c r="A89" s="16" t="s">
        <v>253</v>
      </c>
      <c r="B89" s="17" t="s">
        <v>340</v>
      </c>
      <c r="C89" s="18"/>
      <c r="D89" s="19" t="s">
        <v>107</v>
      </c>
      <c r="E89" s="1" t="s">
        <v>53</v>
      </c>
      <c r="F89" s="20" t="s">
        <v>341</v>
      </c>
      <c r="G89">
        <f t="shared" si="14"/>
        <v>250</v>
      </c>
      <c r="H89">
        <f t="shared" si="15"/>
        <v>225</v>
      </c>
      <c r="I89">
        <f t="shared" si="16"/>
        <v>312.5</v>
      </c>
      <c r="J89">
        <f t="shared" si="17"/>
        <v>489.13</v>
      </c>
      <c r="K89">
        <f t="shared" si="18"/>
        <v>88.043399999999991</v>
      </c>
      <c r="L89">
        <f t="shared" si="19"/>
        <v>352.08</v>
      </c>
      <c r="M89">
        <f t="shared" si="20"/>
        <v>520.83000000000004</v>
      </c>
    </row>
    <row r="90" spans="1:13" ht="15" customHeight="1" x14ac:dyDescent="0.3">
      <c r="A90" s="21" t="s">
        <v>253</v>
      </c>
      <c r="B90" s="22" t="s">
        <v>365</v>
      </c>
      <c r="C90" s="23"/>
      <c r="D90" s="24" t="s">
        <v>107</v>
      </c>
      <c r="E90" s="1" t="s">
        <v>53</v>
      </c>
      <c r="F90" s="20" t="s">
        <v>366</v>
      </c>
      <c r="G90">
        <f t="shared" si="14"/>
        <v>93.75</v>
      </c>
      <c r="H90">
        <f t="shared" si="15"/>
        <v>93.75</v>
      </c>
      <c r="I90">
        <f t="shared" si="16"/>
        <v>93.75</v>
      </c>
      <c r="J90">
        <f t="shared" si="17"/>
        <v>203.8</v>
      </c>
      <c r="K90">
        <f t="shared" si="18"/>
        <v>36.683999999999997</v>
      </c>
      <c r="L90">
        <f t="shared" si="19"/>
        <v>124.06</v>
      </c>
      <c r="M90">
        <f t="shared" si="20"/>
        <v>156.25</v>
      </c>
    </row>
    <row r="91" spans="1:13" ht="15" customHeight="1" x14ac:dyDescent="0.3">
      <c r="A91" s="16" t="s">
        <v>253</v>
      </c>
      <c r="B91" s="17" t="s">
        <v>257</v>
      </c>
      <c r="C91" s="18"/>
      <c r="D91" s="19" t="s">
        <v>107</v>
      </c>
      <c r="E91" s="1" t="s">
        <v>53</v>
      </c>
      <c r="F91" s="20" t="s">
        <v>160</v>
      </c>
      <c r="G91">
        <f t="shared" si="14"/>
        <v>25</v>
      </c>
      <c r="H91">
        <f t="shared" si="15"/>
        <v>50</v>
      </c>
      <c r="I91">
        <f t="shared" si="16"/>
        <v>25</v>
      </c>
      <c r="J91">
        <f t="shared" si="17"/>
        <v>108.7</v>
      </c>
      <c r="K91">
        <f t="shared" si="18"/>
        <v>19.565999999999999</v>
      </c>
      <c r="L91">
        <f t="shared" si="19"/>
        <v>11.81</v>
      </c>
      <c r="M91">
        <f t="shared" si="20"/>
        <v>41.67</v>
      </c>
    </row>
    <row r="92" spans="1:13" ht="18" customHeight="1" x14ac:dyDescent="0.3">
      <c r="A92" s="25" t="s">
        <v>263</v>
      </c>
      <c r="B92" s="25"/>
      <c r="C92" s="25"/>
      <c r="G92" t="str">
        <f t="shared" si="14"/>
        <v/>
      </c>
      <c r="H92" t="str">
        <f t="shared" si="15"/>
        <v/>
      </c>
      <c r="I92" t="str">
        <f t="shared" si="16"/>
        <v/>
      </c>
      <c r="J92" t="str">
        <f t="shared" si="17"/>
        <v/>
      </c>
      <c r="K92" t="str">
        <f t="shared" si="18"/>
        <v/>
      </c>
      <c r="L92" t="str">
        <f t="shared" si="19"/>
        <v/>
      </c>
      <c r="M92" t="str">
        <f t="shared" si="20"/>
        <v/>
      </c>
    </row>
    <row r="93" spans="1:13" ht="15" customHeight="1" x14ac:dyDescent="0.3">
      <c r="A93" s="21" t="s">
        <v>264</v>
      </c>
      <c r="B93" s="22" t="s">
        <v>696</v>
      </c>
      <c r="C93" s="23"/>
      <c r="D93" s="24" t="s">
        <v>107</v>
      </c>
      <c r="E93" s="1" t="s">
        <v>53</v>
      </c>
      <c r="F93" s="20" t="s">
        <v>268</v>
      </c>
      <c r="G93">
        <f t="shared" si="14"/>
        <v>15</v>
      </c>
      <c r="H93">
        <f t="shared" si="15"/>
        <v>7.5</v>
      </c>
      <c r="I93">
        <f t="shared" si="16"/>
        <v>7.5</v>
      </c>
      <c r="J93">
        <f t="shared" si="17"/>
        <v>16.3</v>
      </c>
      <c r="K93">
        <f t="shared" si="18"/>
        <v>2.9340000000000002</v>
      </c>
      <c r="L93">
        <f t="shared" si="19"/>
        <v>26.23</v>
      </c>
      <c r="M93">
        <f t="shared" si="20"/>
        <v>12.5</v>
      </c>
    </row>
    <row r="94" spans="1:13" ht="15" customHeight="1" x14ac:dyDescent="0.3">
      <c r="A94" s="16" t="s">
        <v>264</v>
      </c>
      <c r="B94" s="17" t="s">
        <v>697</v>
      </c>
      <c r="C94" s="18"/>
      <c r="D94" s="19" t="s">
        <v>107</v>
      </c>
      <c r="E94" s="1" t="s">
        <v>53</v>
      </c>
      <c r="F94" s="20" t="s">
        <v>207</v>
      </c>
      <c r="G94">
        <f t="shared" si="14"/>
        <v>700</v>
      </c>
      <c r="H94">
        <f t="shared" si="15"/>
        <v>400</v>
      </c>
      <c r="I94">
        <f t="shared" si="16"/>
        <v>1500</v>
      </c>
      <c r="J94">
        <f t="shared" si="17"/>
        <v>869.57</v>
      </c>
      <c r="K94">
        <f t="shared" si="18"/>
        <v>156.52260000000001</v>
      </c>
      <c r="L94">
        <f t="shared" si="19"/>
        <v>1181.47</v>
      </c>
      <c r="M94">
        <f t="shared" si="20"/>
        <v>2500</v>
      </c>
    </row>
    <row r="95" spans="1:13" ht="15" customHeight="1" x14ac:dyDescent="0.3">
      <c r="A95" s="21" t="s">
        <v>264</v>
      </c>
      <c r="B95" s="22" t="s">
        <v>212</v>
      </c>
      <c r="C95" s="23"/>
      <c r="D95" s="24" t="s">
        <v>107</v>
      </c>
      <c r="E95" s="1" t="s">
        <v>53</v>
      </c>
      <c r="F95" s="20" t="s">
        <v>213</v>
      </c>
      <c r="G95">
        <f t="shared" si="14"/>
        <v>625</v>
      </c>
      <c r="H95">
        <f t="shared" si="15"/>
        <v>250</v>
      </c>
      <c r="I95">
        <f t="shared" si="16"/>
        <v>375</v>
      </c>
      <c r="J95">
        <f t="shared" si="17"/>
        <v>543.48</v>
      </c>
      <c r="K95">
        <f t="shared" si="18"/>
        <v>97.826400000000007</v>
      </c>
      <c r="L95">
        <f t="shared" si="19"/>
        <v>1146.03</v>
      </c>
      <c r="M95">
        <f t="shared" si="20"/>
        <v>625</v>
      </c>
    </row>
    <row r="96" spans="1:13" ht="15" customHeight="1" x14ac:dyDescent="0.3">
      <c r="A96" s="16" t="s">
        <v>264</v>
      </c>
      <c r="B96" s="17" t="s">
        <v>698</v>
      </c>
      <c r="C96" s="18"/>
      <c r="D96" s="19" t="s">
        <v>107</v>
      </c>
      <c r="E96" s="1" t="s">
        <v>53</v>
      </c>
      <c r="F96" s="20" t="s">
        <v>343</v>
      </c>
      <c r="G96">
        <f t="shared" si="14"/>
        <v>275</v>
      </c>
      <c r="H96">
        <f t="shared" si="15"/>
        <v>56.25</v>
      </c>
      <c r="I96">
        <f t="shared" si="16"/>
        <v>225</v>
      </c>
      <c r="J96">
        <f t="shared" si="17"/>
        <v>122.28</v>
      </c>
      <c r="K96">
        <f t="shared" si="18"/>
        <v>22.010400000000001</v>
      </c>
      <c r="L96">
        <f t="shared" si="19"/>
        <v>549.98</v>
      </c>
      <c r="M96">
        <f t="shared" si="20"/>
        <v>375</v>
      </c>
    </row>
    <row r="97" spans="1:13" ht="15" customHeight="1" x14ac:dyDescent="0.3">
      <c r="A97" s="21" t="s">
        <v>264</v>
      </c>
      <c r="B97" s="22" t="s">
        <v>699</v>
      </c>
      <c r="C97" s="23"/>
      <c r="D97" s="24" t="s">
        <v>107</v>
      </c>
      <c r="E97" s="1" t="s">
        <v>53</v>
      </c>
      <c r="F97" s="20" t="s">
        <v>345</v>
      </c>
      <c r="G97">
        <f t="shared" si="14"/>
        <v>168.75</v>
      </c>
      <c r="H97">
        <f t="shared" si="15"/>
        <v>42.5</v>
      </c>
      <c r="I97">
        <f t="shared" si="16"/>
        <v>181.25</v>
      </c>
      <c r="J97">
        <f t="shared" si="17"/>
        <v>92.39</v>
      </c>
      <c r="K97">
        <f t="shared" si="18"/>
        <v>16.630199999999999</v>
      </c>
      <c r="L97">
        <f t="shared" si="19"/>
        <v>330.7</v>
      </c>
      <c r="M97">
        <f t="shared" si="20"/>
        <v>302.08</v>
      </c>
    </row>
    <row r="98" spans="1:13" ht="18" customHeight="1" x14ac:dyDescent="0.3">
      <c r="A98" s="25" t="s">
        <v>269</v>
      </c>
      <c r="B98" s="25"/>
      <c r="C98" s="25"/>
      <c r="G98" t="str">
        <f t="shared" si="14"/>
        <v/>
      </c>
      <c r="H98" t="str">
        <f t="shared" si="15"/>
        <v/>
      </c>
      <c r="I98" t="str">
        <f t="shared" si="16"/>
        <v/>
      </c>
      <c r="J98" t="str">
        <f t="shared" si="17"/>
        <v/>
      </c>
      <c r="K98" t="str">
        <f t="shared" si="18"/>
        <v/>
      </c>
      <c r="L98" t="str">
        <f t="shared" si="19"/>
        <v/>
      </c>
      <c r="M98" t="str">
        <f t="shared" si="20"/>
        <v/>
      </c>
    </row>
    <row r="99" spans="1:13" ht="15" customHeight="1" x14ac:dyDescent="0.3">
      <c r="A99" s="16" t="s">
        <v>270</v>
      </c>
      <c r="B99" s="17" t="s">
        <v>271</v>
      </c>
      <c r="C99" s="18"/>
      <c r="D99" s="19" t="s">
        <v>107</v>
      </c>
      <c r="E99" s="1" t="s">
        <v>53</v>
      </c>
      <c r="F99" s="20" t="s">
        <v>241</v>
      </c>
      <c r="G99">
        <f t="shared" si="14"/>
        <v>7.5</v>
      </c>
      <c r="H99">
        <f t="shared" si="15"/>
        <v>15</v>
      </c>
      <c r="I99">
        <f t="shared" si="16"/>
        <v>15</v>
      </c>
      <c r="J99">
        <f t="shared" si="17"/>
        <v>32.61</v>
      </c>
      <c r="K99">
        <f t="shared" si="18"/>
        <v>5.8697999999999997</v>
      </c>
      <c r="L99">
        <f t="shared" si="19"/>
        <v>3.54</v>
      </c>
      <c r="M99">
        <f t="shared" si="20"/>
        <v>25</v>
      </c>
    </row>
    <row r="100" spans="1:13" ht="15" customHeight="1" x14ac:dyDescent="0.3">
      <c r="A100" s="21" t="s">
        <v>270</v>
      </c>
      <c r="B100" s="22" t="s">
        <v>272</v>
      </c>
      <c r="C100" s="23"/>
      <c r="D100" s="24" t="s">
        <v>107</v>
      </c>
      <c r="E100" s="1" t="s">
        <v>53</v>
      </c>
      <c r="F100" s="20" t="s">
        <v>273</v>
      </c>
      <c r="G100">
        <f t="shared" si="14"/>
        <v>112.5</v>
      </c>
      <c r="H100">
        <f t="shared" si="15"/>
        <v>112.5</v>
      </c>
      <c r="I100">
        <f t="shared" si="16"/>
        <v>93.75</v>
      </c>
      <c r="J100">
        <f t="shared" si="17"/>
        <v>244.57</v>
      </c>
      <c r="K100">
        <f t="shared" si="18"/>
        <v>44.022599999999997</v>
      </c>
      <c r="L100">
        <f t="shared" si="19"/>
        <v>148.86000000000001</v>
      </c>
      <c r="M100">
        <f t="shared" si="20"/>
        <v>156.25</v>
      </c>
    </row>
    <row r="101" spans="1:13" ht="15" customHeight="1" x14ac:dyDescent="0.3">
      <c r="A101" s="16" t="s">
        <v>270</v>
      </c>
      <c r="B101" s="17" t="s">
        <v>445</v>
      </c>
      <c r="C101" s="18"/>
      <c r="D101" s="19" t="s">
        <v>107</v>
      </c>
      <c r="E101" s="1" t="s">
        <v>53</v>
      </c>
      <c r="F101" s="20" t="s">
        <v>446</v>
      </c>
      <c r="G101">
        <f t="shared" si="14"/>
        <v>150</v>
      </c>
      <c r="H101">
        <f t="shared" si="15"/>
        <v>187.5</v>
      </c>
      <c r="I101">
        <f t="shared" si="16"/>
        <v>187.5</v>
      </c>
      <c r="J101">
        <f t="shared" si="17"/>
        <v>407.61</v>
      </c>
      <c r="K101">
        <f t="shared" si="18"/>
        <v>73.369799999999998</v>
      </c>
      <c r="L101">
        <f t="shared" si="19"/>
        <v>166.59</v>
      </c>
      <c r="M101">
        <f t="shared" si="20"/>
        <v>312.5</v>
      </c>
    </row>
    <row r="102" spans="1:13" ht="15" customHeight="1" x14ac:dyDescent="0.3">
      <c r="A102" s="21" t="s">
        <v>270</v>
      </c>
      <c r="B102" s="22" t="s">
        <v>278</v>
      </c>
      <c r="C102" s="23"/>
      <c r="D102" s="24" t="s">
        <v>107</v>
      </c>
      <c r="E102" s="1" t="s">
        <v>53</v>
      </c>
      <c r="F102" s="20" t="s">
        <v>279</v>
      </c>
      <c r="G102">
        <f t="shared" si="14"/>
        <v>250</v>
      </c>
      <c r="H102">
        <f t="shared" si="15"/>
        <v>250</v>
      </c>
      <c r="I102">
        <f t="shared" si="16"/>
        <v>250</v>
      </c>
      <c r="J102">
        <f t="shared" si="17"/>
        <v>543.48</v>
      </c>
      <c r="K102">
        <f t="shared" si="18"/>
        <v>97.826400000000007</v>
      </c>
      <c r="L102">
        <f t="shared" si="19"/>
        <v>330.81</v>
      </c>
      <c r="M102">
        <f t="shared" si="20"/>
        <v>416.67</v>
      </c>
    </row>
    <row r="103" spans="1:13" ht="15" customHeight="1" x14ac:dyDescent="0.3">
      <c r="A103" s="16" t="s">
        <v>270</v>
      </c>
      <c r="B103" s="17" t="s">
        <v>274</v>
      </c>
      <c r="C103" s="18"/>
      <c r="D103" s="19" t="s">
        <v>107</v>
      </c>
      <c r="E103" s="1" t="s">
        <v>53</v>
      </c>
      <c r="F103" s="20" t="s">
        <v>275</v>
      </c>
      <c r="G103">
        <f t="shared" si="14"/>
        <v>75</v>
      </c>
      <c r="H103">
        <f t="shared" si="15"/>
        <v>150</v>
      </c>
      <c r="I103">
        <f t="shared" si="16"/>
        <v>150</v>
      </c>
      <c r="J103">
        <f t="shared" si="17"/>
        <v>326.08999999999997</v>
      </c>
      <c r="K103">
        <f t="shared" si="18"/>
        <v>58.69619999999999</v>
      </c>
      <c r="L103">
        <f t="shared" si="19"/>
        <v>35.44</v>
      </c>
      <c r="M103">
        <f t="shared" si="20"/>
        <v>250</v>
      </c>
    </row>
  </sheetData>
  <mergeCells count="14">
    <mergeCell ref="A1:C1"/>
    <mergeCell ref="A2:C2"/>
    <mergeCell ref="A3:C3"/>
    <mergeCell ref="A4:C4"/>
    <mergeCell ref="A7:C7"/>
    <mergeCell ref="A62:C62"/>
    <mergeCell ref="A83:C83"/>
    <mergeCell ref="A92:C92"/>
    <mergeCell ref="A98:C98"/>
    <mergeCell ref="A16:C16"/>
    <mergeCell ref="A25:C25"/>
    <mergeCell ref="A34:C34"/>
    <mergeCell ref="A44:C44"/>
    <mergeCell ref="A56:C5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5D6A7"/>
  </sheetPr>
  <dimension ref="A1:M6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700</v>
      </c>
      <c r="B1" s="26"/>
      <c r="C1" s="26"/>
    </row>
    <row r="2" spans="1:13" ht="19.5" customHeight="1" x14ac:dyDescent="0.3">
      <c r="A2" s="27" t="s">
        <v>701</v>
      </c>
      <c r="B2" s="27"/>
      <c r="C2" s="27"/>
    </row>
    <row r="3" spans="1:13" ht="19.5" customHeight="1" x14ac:dyDescent="0.3">
      <c r="A3" s="27" t="s">
        <v>702</v>
      </c>
      <c r="B3" s="27"/>
      <c r="C3" s="27"/>
    </row>
    <row r="4" spans="1:13" ht="19.5" customHeight="1" x14ac:dyDescent="0.3">
      <c r="A4" s="27" t="s">
        <v>703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704</v>
      </c>
      <c r="C8" s="18"/>
      <c r="D8" s="19" t="s">
        <v>109</v>
      </c>
      <c r="E8" s="1" t="s">
        <v>51</v>
      </c>
      <c r="F8" s="20" t="s">
        <v>291</v>
      </c>
      <c r="G8">
        <f t="shared" si="0"/>
        <v>150</v>
      </c>
      <c r="H8">
        <f t="shared" si="1"/>
        <v>75</v>
      </c>
      <c r="I8">
        <f t="shared" si="2"/>
        <v>50</v>
      </c>
      <c r="J8">
        <f t="shared" si="3"/>
        <v>163.04</v>
      </c>
      <c r="K8">
        <f t="shared" si="4"/>
        <v>29.347199999999997</v>
      </c>
      <c r="L8">
        <f t="shared" si="5"/>
        <v>262.29000000000002</v>
      </c>
      <c r="M8">
        <f t="shared" si="6"/>
        <v>83.33</v>
      </c>
    </row>
    <row r="9" spans="1:13" ht="15" customHeight="1" x14ac:dyDescent="0.3">
      <c r="A9" s="21" t="s">
        <v>141</v>
      </c>
      <c r="B9" s="22" t="s">
        <v>142</v>
      </c>
      <c r="C9" s="23"/>
      <c r="D9" s="24" t="s">
        <v>109</v>
      </c>
      <c r="E9" s="1" t="s">
        <v>51</v>
      </c>
      <c r="F9" s="20" t="s">
        <v>143</v>
      </c>
      <c r="G9">
        <f t="shared" si="0"/>
        <v>187.5</v>
      </c>
      <c r="H9">
        <f t="shared" si="1"/>
        <v>62.5</v>
      </c>
      <c r="I9">
        <f t="shared" si="2"/>
        <v>62.5</v>
      </c>
      <c r="J9">
        <f t="shared" si="3"/>
        <v>135.87</v>
      </c>
      <c r="K9">
        <f t="shared" si="4"/>
        <v>24.456600000000002</v>
      </c>
      <c r="L9">
        <f t="shared" si="5"/>
        <v>354.44</v>
      </c>
      <c r="M9">
        <f t="shared" si="6"/>
        <v>104.17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109</v>
      </c>
      <c r="E10" s="1" t="s">
        <v>51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109</v>
      </c>
      <c r="E11" s="1" t="s">
        <v>51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375</v>
      </c>
      <c r="C12" s="18"/>
      <c r="D12" s="19" t="s">
        <v>109</v>
      </c>
      <c r="E12" s="1" t="s">
        <v>51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378</v>
      </c>
      <c r="C14" s="23"/>
      <c r="D14" s="24" t="s">
        <v>109</v>
      </c>
      <c r="E14" s="1" t="s">
        <v>51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379</v>
      </c>
      <c r="C15" s="18"/>
      <c r="D15" s="19" t="s">
        <v>109</v>
      </c>
      <c r="E15" s="1" t="s">
        <v>51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356</v>
      </c>
      <c r="C16" s="23"/>
      <c r="D16" s="24" t="s">
        <v>109</v>
      </c>
      <c r="E16" s="1" t="s">
        <v>51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357</v>
      </c>
      <c r="C17" s="18"/>
      <c r="D17" s="19" t="s">
        <v>109</v>
      </c>
      <c r="E17" s="1" t="s">
        <v>51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8" customHeight="1" x14ac:dyDescent="0.3">
      <c r="A18" s="25" t="s">
        <v>167</v>
      </c>
      <c r="B18" s="25"/>
      <c r="C18" s="25"/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5"/>
        <v/>
      </c>
      <c r="M18" t="str">
        <f t="shared" si="6"/>
        <v/>
      </c>
    </row>
    <row r="19" spans="1:13" ht="15" customHeight="1" x14ac:dyDescent="0.3">
      <c r="A19" s="21" t="s">
        <v>168</v>
      </c>
      <c r="B19" s="22" t="s">
        <v>358</v>
      </c>
      <c r="C19" s="23"/>
      <c r="D19" s="24" t="s">
        <v>109</v>
      </c>
      <c r="E19" s="1" t="s">
        <v>51</v>
      </c>
      <c r="F19" s="20" t="s">
        <v>147</v>
      </c>
      <c r="G19">
        <f t="shared" si="0"/>
        <v>100</v>
      </c>
      <c r="H19">
        <f t="shared" si="1"/>
        <v>50</v>
      </c>
      <c r="I19">
        <f t="shared" si="2"/>
        <v>50</v>
      </c>
      <c r="J19">
        <f t="shared" si="3"/>
        <v>108.7</v>
      </c>
      <c r="K19">
        <f t="shared" si="4"/>
        <v>19.565999999999999</v>
      </c>
      <c r="L19">
        <f t="shared" si="5"/>
        <v>174.86</v>
      </c>
      <c r="M19">
        <f t="shared" si="6"/>
        <v>83.33</v>
      </c>
    </row>
    <row r="20" spans="1:13" ht="15" customHeight="1" x14ac:dyDescent="0.3">
      <c r="A20" s="16" t="s">
        <v>168</v>
      </c>
      <c r="B20" s="17" t="s">
        <v>172</v>
      </c>
      <c r="C20" s="18"/>
      <c r="D20" s="19" t="s">
        <v>109</v>
      </c>
      <c r="E20" s="1" t="s">
        <v>51</v>
      </c>
      <c r="F20" s="20" t="s">
        <v>173</v>
      </c>
      <c r="G20">
        <f t="shared" si="0"/>
        <v>75</v>
      </c>
      <c r="H20">
        <f t="shared" si="1"/>
        <v>112.5</v>
      </c>
      <c r="I20">
        <f t="shared" si="2"/>
        <v>75</v>
      </c>
      <c r="J20">
        <f t="shared" si="3"/>
        <v>244.57</v>
      </c>
      <c r="K20">
        <f t="shared" si="4"/>
        <v>44.022599999999997</v>
      </c>
      <c r="L20">
        <f t="shared" si="5"/>
        <v>67.34</v>
      </c>
      <c r="M20">
        <f t="shared" si="6"/>
        <v>125</v>
      </c>
    </row>
    <row r="21" spans="1:13" ht="15" customHeight="1" x14ac:dyDescent="0.3">
      <c r="A21" s="21" t="s">
        <v>168</v>
      </c>
      <c r="B21" s="22" t="s">
        <v>169</v>
      </c>
      <c r="C21" s="23"/>
      <c r="D21" s="24" t="s">
        <v>109</v>
      </c>
      <c r="E21" s="1" t="s">
        <v>51</v>
      </c>
      <c r="F21" s="20" t="s">
        <v>170</v>
      </c>
      <c r="G21">
        <f t="shared" si="0"/>
        <v>25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83.33</v>
      </c>
    </row>
    <row r="22" spans="1:13" ht="18" customHeight="1" x14ac:dyDescent="0.3">
      <c r="A22" s="25" t="s">
        <v>180</v>
      </c>
      <c r="B22" s="25"/>
      <c r="C22" s="25"/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  <c r="L22" t="str">
        <f t="shared" si="5"/>
        <v/>
      </c>
      <c r="M22" t="str">
        <f t="shared" si="6"/>
        <v/>
      </c>
    </row>
    <row r="23" spans="1:13" ht="15" customHeight="1" x14ac:dyDescent="0.3">
      <c r="A23" s="16" t="s">
        <v>181</v>
      </c>
      <c r="B23" s="17" t="s">
        <v>182</v>
      </c>
      <c r="C23" s="18"/>
      <c r="D23" s="19" t="s">
        <v>109</v>
      </c>
      <c r="E23" s="1" t="s">
        <v>51</v>
      </c>
      <c r="F23" s="20" t="s">
        <v>183</v>
      </c>
      <c r="G23">
        <f t="shared" si="0"/>
        <v>350</v>
      </c>
      <c r="H23">
        <f t="shared" si="1"/>
        <v>112.5</v>
      </c>
      <c r="I23">
        <f t="shared" si="2"/>
        <v>112.5</v>
      </c>
      <c r="J23">
        <f t="shared" si="3"/>
        <v>244.57</v>
      </c>
      <c r="K23">
        <f t="shared" si="4"/>
        <v>44.022599999999997</v>
      </c>
      <c r="L23">
        <f t="shared" si="5"/>
        <v>665.17</v>
      </c>
      <c r="M23">
        <f t="shared" si="6"/>
        <v>187.5</v>
      </c>
    </row>
    <row r="24" spans="1:13" ht="15" customHeight="1" x14ac:dyDescent="0.3">
      <c r="A24" s="21" t="s">
        <v>181</v>
      </c>
      <c r="B24" s="22" t="s">
        <v>184</v>
      </c>
      <c r="C24" s="23"/>
      <c r="D24" s="24" t="s">
        <v>109</v>
      </c>
      <c r="E24" s="1" t="s">
        <v>51</v>
      </c>
      <c r="F24" s="20" t="s">
        <v>185</v>
      </c>
      <c r="G24">
        <f t="shared" si="0"/>
        <v>125</v>
      </c>
      <c r="H24">
        <f t="shared" si="1"/>
        <v>62.5</v>
      </c>
      <c r="I24">
        <f t="shared" si="2"/>
        <v>62.5</v>
      </c>
      <c r="J24">
        <f t="shared" si="3"/>
        <v>135.87</v>
      </c>
      <c r="K24">
        <f t="shared" si="4"/>
        <v>24.456600000000002</v>
      </c>
      <c r="L24">
        <f t="shared" si="5"/>
        <v>218.57</v>
      </c>
      <c r="M24">
        <f t="shared" si="6"/>
        <v>104.17</v>
      </c>
    </row>
    <row r="25" spans="1:13" ht="18" customHeight="1" x14ac:dyDescent="0.3">
      <c r="A25" s="25" t="s">
        <v>187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16" t="s">
        <v>188</v>
      </c>
      <c r="B26" s="17" t="s">
        <v>705</v>
      </c>
      <c r="C26" s="18"/>
      <c r="D26" s="19" t="s">
        <v>109</v>
      </c>
      <c r="E26" s="1" t="s">
        <v>51</v>
      </c>
      <c r="F26" s="20" t="s">
        <v>300</v>
      </c>
      <c r="G26">
        <f t="shared" si="0"/>
        <v>750</v>
      </c>
      <c r="H26">
        <f t="shared" si="1"/>
        <v>250</v>
      </c>
      <c r="I26">
        <f t="shared" si="2"/>
        <v>500</v>
      </c>
      <c r="J26">
        <f t="shared" si="3"/>
        <v>543.48</v>
      </c>
      <c r="K26">
        <f t="shared" si="4"/>
        <v>97.826400000000007</v>
      </c>
      <c r="L26">
        <f t="shared" si="5"/>
        <v>1417.77</v>
      </c>
      <c r="M26">
        <f t="shared" si="6"/>
        <v>833.33</v>
      </c>
    </row>
    <row r="27" spans="1:13" ht="15" customHeight="1" x14ac:dyDescent="0.3">
      <c r="A27" s="21" t="s">
        <v>188</v>
      </c>
      <c r="B27" s="22" t="s">
        <v>312</v>
      </c>
      <c r="C27" s="23"/>
      <c r="D27" s="24" t="s">
        <v>109</v>
      </c>
      <c r="E27" s="1" t="s">
        <v>51</v>
      </c>
      <c r="F27" s="20" t="s">
        <v>190</v>
      </c>
      <c r="G27">
        <f t="shared" si="0"/>
        <v>125</v>
      </c>
      <c r="H27">
        <f t="shared" si="1"/>
        <v>125</v>
      </c>
      <c r="I27">
        <f t="shared" si="2"/>
        <v>187.5</v>
      </c>
      <c r="J27">
        <f t="shared" si="3"/>
        <v>271.74</v>
      </c>
      <c r="K27">
        <f t="shared" si="4"/>
        <v>48.913200000000003</v>
      </c>
      <c r="L27">
        <f t="shared" si="5"/>
        <v>165.41</v>
      </c>
      <c r="M27">
        <f t="shared" si="6"/>
        <v>312.5</v>
      </c>
    </row>
    <row r="28" spans="1:13" ht="15" customHeight="1" x14ac:dyDescent="0.3">
      <c r="A28" s="16" t="s">
        <v>188</v>
      </c>
      <c r="B28" s="17" t="s">
        <v>195</v>
      </c>
      <c r="C28" s="18"/>
      <c r="D28" s="19" t="s">
        <v>109</v>
      </c>
      <c r="E28" s="1" t="s">
        <v>51</v>
      </c>
      <c r="F28" s="20" t="s">
        <v>194</v>
      </c>
      <c r="G28">
        <f t="shared" si="0"/>
        <v>125</v>
      </c>
      <c r="H28">
        <f t="shared" si="1"/>
        <v>125</v>
      </c>
      <c r="I28">
        <f t="shared" si="2"/>
        <v>125</v>
      </c>
      <c r="J28">
        <f t="shared" si="3"/>
        <v>271.74</v>
      </c>
      <c r="K28">
        <f t="shared" si="4"/>
        <v>48.913200000000003</v>
      </c>
      <c r="L28">
        <f t="shared" si="5"/>
        <v>165.41</v>
      </c>
      <c r="M28">
        <f t="shared" si="6"/>
        <v>208.33</v>
      </c>
    </row>
    <row r="29" spans="1:13" ht="15" customHeight="1" x14ac:dyDescent="0.3">
      <c r="A29" s="21" t="s">
        <v>188</v>
      </c>
      <c r="B29" s="22" t="s">
        <v>404</v>
      </c>
      <c r="C29" s="23"/>
      <c r="D29" s="24" t="s">
        <v>109</v>
      </c>
      <c r="E29" s="1" t="s">
        <v>51</v>
      </c>
      <c r="F29" s="20" t="s">
        <v>388</v>
      </c>
      <c r="G29">
        <f t="shared" si="0"/>
        <v>625</v>
      </c>
      <c r="H29">
        <f t="shared" si="1"/>
        <v>250</v>
      </c>
      <c r="I29">
        <f t="shared" si="2"/>
        <v>625</v>
      </c>
      <c r="J29">
        <f t="shared" si="3"/>
        <v>543.48</v>
      </c>
      <c r="K29">
        <f t="shared" si="4"/>
        <v>97.826400000000007</v>
      </c>
      <c r="L29">
        <f t="shared" si="5"/>
        <v>1146.03</v>
      </c>
      <c r="M29">
        <f t="shared" si="6"/>
        <v>1041.67</v>
      </c>
    </row>
    <row r="30" spans="1:13" ht="15" customHeight="1" x14ac:dyDescent="0.3">
      <c r="A30" s="16" t="s">
        <v>188</v>
      </c>
      <c r="B30" s="17" t="s">
        <v>309</v>
      </c>
      <c r="C30" s="18"/>
      <c r="D30" s="19" t="s">
        <v>109</v>
      </c>
      <c r="E30" s="1" t="s">
        <v>51</v>
      </c>
      <c r="F30" s="20" t="s">
        <v>302</v>
      </c>
      <c r="G30">
        <f t="shared" si="0"/>
        <v>625</v>
      </c>
      <c r="H30">
        <f t="shared" si="1"/>
        <v>1250</v>
      </c>
      <c r="I30">
        <f t="shared" si="2"/>
        <v>1250</v>
      </c>
      <c r="J30">
        <f t="shared" si="3"/>
        <v>2717.39</v>
      </c>
      <c r="K30">
        <f t="shared" si="4"/>
        <v>489.13019999999995</v>
      </c>
      <c r="L30">
        <f t="shared" si="5"/>
        <v>295.37</v>
      </c>
      <c r="M30">
        <f t="shared" si="6"/>
        <v>2083.33</v>
      </c>
    </row>
    <row r="31" spans="1:13" ht="15" customHeight="1" x14ac:dyDescent="0.3">
      <c r="A31" s="21" t="s">
        <v>188</v>
      </c>
      <c r="B31" s="22" t="s">
        <v>307</v>
      </c>
      <c r="C31" s="23"/>
      <c r="D31" s="24" t="s">
        <v>109</v>
      </c>
      <c r="E31" s="1" t="s">
        <v>51</v>
      </c>
      <c r="F31" s="20" t="s">
        <v>302</v>
      </c>
      <c r="G31">
        <f t="shared" si="0"/>
        <v>625</v>
      </c>
      <c r="H31">
        <f t="shared" si="1"/>
        <v>1250</v>
      </c>
      <c r="I31">
        <f t="shared" si="2"/>
        <v>1250</v>
      </c>
      <c r="J31">
        <f t="shared" si="3"/>
        <v>2717.39</v>
      </c>
      <c r="K31">
        <f t="shared" si="4"/>
        <v>489.13019999999995</v>
      </c>
      <c r="L31">
        <f t="shared" si="5"/>
        <v>295.37</v>
      </c>
      <c r="M31">
        <f t="shared" si="6"/>
        <v>2083.33</v>
      </c>
    </row>
    <row r="32" spans="1:13" ht="15" customHeight="1" x14ac:dyDescent="0.3">
      <c r="A32" s="16" t="s">
        <v>188</v>
      </c>
      <c r="B32" s="17" t="s">
        <v>308</v>
      </c>
      <c r="C32" s="18"/>
      <c r="D32" s="19" t="s">
        <v>109</v>
      </c>
      <c r="E32" s="1" t="s">
        <v>51</v>
      </c>
      <c r="F32" s="20" t="s">
        <v>302</v>
      </c>
      <c r="G32">
        <f t="shared" si="0"/>
        <v>625</v>
      </c>
      <c r="H32">
        <f t="shared" si="1"/>
        <v>1250</v>
      </c>
      <c r="I32">
        <f t="shared" si="2"/>
        <v>1250</v>
      </c>
      <c r="J32">
        <f t="shared" si="3"/>
        <v>2717.39</v>
      </c>
      <c r="K32">
        <f t="shared" si="4"/>
        <v>489.13019999999995</v>
      </c>
      <c r="L32">
        <f t="shared" si="5"/>
        <v>295.37</v>
      </c>
      <c r="M32">
        <f t="shared" si="6"/>
        <v>2083.33</v>
      </c>
    </row>
    <row r="33" spans="1:13" ht="15" customHeight="1" x14ac:dyDescent="0.3">
      <c r="A33" s="21" t="s">
        <v>188</v>
      </c>
      <c r="B33" s="22" t="s">
        <v>706</v>
      </c>
      <c r="C33" s="23"/>
      <c r="D33" s="24" t="s">
        <v>109</v>
      </c>
      <c r="E33" s="1" t="s">
        <v>51</v>
      </c>
      <c r="F33" s="20" t="s">
        <v>201</v>
      </c>
      <c r="G33">
        <f t="shared" si="0"/>
        <v>50</v>
      </c>
      <c r="H33">
        <f t="shared" si="1"/>
        <v>30</v>
      </c>
      <c r="I33">
        <f t="shared" si="2"/>
        <v>100</v>
      </c>
      <c r="J33">
        <f t="shared" si="3"/>
        <v>65.22</v>
      </c>
      <c r="K33">
        <f t="shared" si="4"/>
        <v>11.739599999999999</v>
      </c>
      <c r="L33">
        <f t="shared" si="5"/>
        <v>83.17</v>
      </c>
      <c r="M33">
        <f t="shared" si="6"/>
        <v>166.67</v>
      </c>
    </row>
    <row r="34" spans="1:13" ht="15" customHeight="1" x14ac:dyDescent="0.3">
      <c r="A34" s="16" t="s">
        <v>188</v>
      </c>
      <c r="B34" s="17" t="s">
        <v>482</v>
      </c>
      <c r="C34" s="18"/>
      <c r="D34" s="19" t="s">
        <v>109</v>
      </c>
      <c r="E34" s="1" t="s">
        <v>51</v>
      </c>
      <c r="F34" s="20" t="s">
        <v>483</v>
      </c>
      <c r="G34">
        <f t="shared" si="0"/>
        <v>10</v>
      </c>
      <c r="H34">
        <f t="shared" si="1"/>
        <v>10</v>
      </c>
      <c r="I34">
        <f t="shared" si="2"/>
        <v>10</v>
      </c>
      <c r="J34">
        <f t="shared" si="3"/>
        <v>21.74</v>
      </c>
      <c r="K34">
        <f t="shared" si="4"/>
        <v>3.9131999999999998</v>
      </c>
      <c r="L34">
        <f t="shared" si="5"/>
        <v>13.23</v>
      </c>
      <c r="M34">
        <f t="shared" si="6"/>
        <v>16.670000000000002</v>
      </c>
    </row>
    <row r="35" spans="1:13" ht="18" customHeight="1" x14ac:dyDescent="0.3">
      <c r="A35" s="25" t="s">
        <v>220</v>
      </c>
      <c r="B35" s="25"/>
      <c r="C35" s="25"/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  <c r="L35" t="str">
        <f t="shared" si="5"/>
        <v/>
      </c>
      <c r="M35" t="str">
        <f t="shared" si="6"/>
        <v/>
      </c>
    </row>
    <row r="36" spans="1:13" ht="15" customHeight="1" x14ac:dyDescent="0.3">
      <c r="A36" s="21" t="s">
        <v>221</v>
      </c>
      <c r="B36" s="22" t="s">
        <v>321</v>
      </c>
      <c r="C36" s="23"/>
      <c r="D36" s="24" t="s">
        <v>109</v>
      </c>
      <c r="E36" s="1" t="s">
        <v>51</v>
      </c>
      <c r="F36" s="20" t="s">
        <v>322</v>
      </c>
      <c r="G36">
        <f t="shared" si="0"/>
        <v>150</v>
      </c>
      <c r="H36">
        <f t="shared" si="1"/>
        <v>300</v>
      </c>
      <c r="I36">
        <f t="shared" si="2"/>
        <v>150</v>
      </c>
      <c r="J36">
        <f t="shared" si="3"/>
        <v>652.16999999999996</v>
      </c>
      <c r="K36">
        <f t="shared" si="4"/>
        <v>117.39059999999999</v>
      </c>
      <c r="L36">
        <f t="shared" si="5"/>
        <v>70.89</v>
      </c>
      <c r="M36">
        <f t="shared" si="6"/>
        <v>250</v>
      </c>
    </row>
    <row r="37" spans="1:13" ht="15" customHeight="1" x14ac:dyDescent="0.3">
      <c r="A37" s="16" t="s">
        <v>221</v>
      </c>
      <c r="B37" s="17" t="s">
        <v>222</v>
      </c>
      <c r="C37" s="18"/>
      <c r="D37" s="19" t="s">
        <v>109</v>
      </c>
      <c r="E37" s="1" t="s">
        <v>51</v>
      </c>
      <c r="F37" s="20" t="s">
        <v>223</v>
      </c>
      <c r="G37">
        <f t="shared" si="0"/>
        <v>187.5</v>
      </c>
      <c r="H37">
        <f t="shared" si="1"/>
        <v>125</v>
      </c>
      <c r="I37">
        <f t="shared" si="2"/>
        <v>62.5</v>
      </c>
      <c r="J37">
        <f t="shared" si="3"/>
        <v>271.74</v>
      </c>
      <c r="K37">
        <f t="shared" si="4"/>
        <v>48.913200000000003</v>
      </c>
      <c r="L37">
        <f t="shared" si="5"/>
        <v>301.27999999999997</v>
      </c>
      <c r="M37">
        <f t="shared" si="6"/>
        <v>104.17</v>
      </c>
    </row>
    <row r="38" spans="1:13" ht="15" customHeight="1" x14ac:dyDescent="0.3">
      <c r="A38" s="21" t="s">
        <v>221</v>
      </c>
      <c r="B38" s="22" t="s">
        <v>230</v>
      </c>
      <c r="C38" s="23"/>
      <c r="D38" s="24" t="s">
        <v>109</v>
      </c>
      <c r="E38" s="1" t="s">
        <v>51</v>
      </c>
      <c r="F38" s="20" t="s">
        <v>231</v>
      </c>
      <c r="G38">
        <f t="shared" si="0"/>
        <v>125</v>
      </c>
      <c r="H38">
        <f t="shared" si="1"/>
        <v>187.5</v>
      </c>
      <c r="I38">
        <f t="shared" si="2"/>
        <v>93.75</v>
      </c>
      <c r="J38">
        <f t="shared" si="3"/>
        <v>407.61</v>
      </c>
      <c r="K38">
        <f t="shared" si="4"/>
        <v>73.369799999999998</v>
      </c>
      <c r="L38">
        <f t="shared" si="5"/>
        <v>112.24</v>
      </c>
      <c r="M38">
        <f t="shared" si="6"/>
        <v>156.25</v>
      </c>
    </row>
    <row r="39" spans="1:13" ht="15" customHeight="1" x14ac:dyDescent="0.3">
      <c r="A39" s="16" t="s">
        <v>221</v>
      </c>
      <c r="B39" s="17" t="s">
        <v>327</v>
      </c>
      <c r="C39" s="18"/>
      <c r="D39" s="19" t="s">
        <v>109</v>
      </c>
      <c r="E39" s="1" t="s">
        <v>51</v>
      </c>
      <c r="F39" s="20" t="s">
        <v>328</v>
      </c>
      <c r="G39">
        <f t="shared" ref="G39:G63" si="7">IF($F39="","",IFERROR(VALUE(TRIM(LEFT($F39,FIND(":",$F39)-1)))*1.25,"N/A"))</f>
        <v>150</v>
      </c>
      <c r="H39">
        <f t="shared" ref="H39:H63" si="8">IF($F39="","",IFERROR(VALUE(TRIM(MID($F39,FIND(":",$F39)+1,FIND(":",$F39,FIND(":",$F39)+1)-FIND(":",$F39)-1)))*1.25,"N/A"))</f>
        <v>100</v>
      </c>
      <c r="I39">
        <f t="shared" ref="I39:I63" si="9">IF($F39="","",IFERROR(VALUE(TRIM(LEFT(MID($F39,FIND(":",$F39,FIND(":",$F39)+1)+1,LEN($F39)),FIND(" ",MID($F39,FIND(":",$F39,FIND(":",$F39)+1)+1,LEN($F39))&amp;" ")-1)))*1.25,"N/A"))</f>
        <v>87.5</v>
      </c>
      <c r="J39">
        <f t="shared" ref="J39:J63" si="10">IF(OR($F39="",$H39="N/A"),IF($F39="","","N/A"),ROUND($H39/0.46,2))</f>
        <v>217.39</v>
      </c>
      <c r="K39">
        <f t="shared" ref="K39:K63" si="11">IF(OR($F39="",$J39="N/A"),IF($F39="","","N/A"),$J39*0.18)</f>
        <v>39.130199999999995</v>
      </c>
      <c r="L39">
        <f t="shared" ref="L39:L63" si="12">IF(OR($F39="",$G39="N/A",$K39="N/A"),IF($F39="","","N/A"),ROUND(($G39-$K39)/0.46,2))</f>
        <v>241.02</v>
      </c>
      <c r="M39">
        <f t="shared" ref="M39:M63" si="13">IF(OR($F39="",$I39="N/A"),IF($F39="","","N/A"),ROUND($I39/0.6,2))</f>
        <v>145.83000000000001</v>
      </c>
    </row>
    <row r="40" spans="1:13" ht="15" customHeight="1" x14ac:dyDescent="0.3">
      <c r="A40" s="21" t="s">
        <v>221</v>
      </c>
      <c r="B40" s="22" t="s">
        <v>234</v>
      </c>
      <c r="C40" s="23"/>
      <c r="D40" s="24" t="s">
        <v>109</v>
      </c>
      <c r="E40" s="1" t="s">
        <v>51</v>
      </c>
      <c r="F40" s="20" t="s">
        <v>235</v>
      </c>
      <c r="G40">
        <f t="shared" si="7"/>
        <v>125</v>
      </c>
      <c r="H40">
        <f t="shared" si="8"/>
        <v>125</v>
      </c>
      <c r="I40">
        <f t="shared" si="9"/>
        <v>62.5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104.17</v>
      </c>
    </row>
    <row r="41" spans="1:13" ht="15" customHeight="1" x14ac:dyDescent="0.3">
      <c r="A41" s="16" t="s">
        <v>221</v>
      </c>
      <c r="B41" s="17" t="s">
        <v>232</v>
      </c>
      <c r="C41" s="18"/>
      <c r="D41" s="19" t="s">
        <v>109</v>
      </c>
      <c r="E41" s="1" t="s">
        <v>51</v>
      </c>
      <c r="F41" s="20" t="s">
        <v>233</v>
      </c>
      <c r="G41">
        <f t="shared" si="7"/>
        <v>125</v>
      </c>
      <c r="H41">
        <f t="shared" si="8"/>
        <v>156.25</v>
      </c>
      <c r="I41">
        <f t="shared" si="9"/>
        <v>31.25</v>
      </c>
      <c r="J41">
        <f t="shared" si="10"/>
        <v>339.67</v>
      </c>
      <c r="K41">
        <f t="shared" si="11"/>
        <v>61.140599999999999</v>
      </c>
      <c r="L41">
        <f t="shared" si="12"/>
        <v>138.82</v>
      </c>
      <c r="M41">
        <f t="shared" si="13"/>
        <v>52.08</v>
      </c>
    </row>
    <row r="42" spans="1:13" ht="15" customHeight="1" x14ac:dyDescent="0.3">
      <c r="A42" s="21" t="s">
        <v>221</v>
      </c>
      <c r="B42" s="22" t="s">
        <v>389</v>
      </c>
      <c r="C42" s="23"/>
      <c r="D42" s="24" t="s">
        <v>109</v>
      </c>
      <c r="E42" s="1" t="s">
        <v>51</v>
      </c>
      <c r="F42" s="20" t="s">
        <v>390</v>
      </c>
      <c r="G42">
        <f t="shared" si="7"/>
        <v>156.25</v>
      </c>
      <c r="H42">
        <f t="shared" si="8"/>
        <v>112.5</v>
      </c>
      <c r="I42">
        <f t="shared" si="9"/>
        <v>62.5</v>
      </c>
      <c r="J42">
        <f t="shared" si="10"/>
        <v>244.57</v>
      </c>
      <c r="K42">
        <f t="shared" si="11"/>
        <v>44.022599999999997</v>
      </c>
      <c r="L42">
        <f t="shared" si="12"/>
        <v>243.97</v>
      </c>
      <c r="M42">
        <f t="shared" si="13"/>
        <v>104.17</v>
      </c>
    </row>
    <row r="43" spans="1:13" ht="15" customHeight="1" x14ac:dyDescent="0.3">
      <c r="A43" s="16" t="s">
        <v>221</v>
      </c>
      <c r="B43" s="17" t="s">
        <v>443</v>
      </c>
      <c r="C43" s="18"/>
      <c r="D43" s="19" t="s">
        <v>109</v>
      </c>
      <c r="E43" s="1" t="s">
        <v>51</v>
      </c>
      <c r="F43" s="20" t="s">
        <v>441</v>
      </c>
      <c r="G43">
        <f t="shared" si="7"/>
        <v>62.5</v>
      </c>
      <c r="H43">
        <f t="shared" si="8"/>
        <v>31.25</v>
      </c>
      <c r="I43">
        <f t="shared" si="9"/>
        <v>50</v>
      </c>
      <c r="J43">
        <f t="shared" si="10"/>
        <v>67.930000000000007</v>
      </c>
      <c r="K43">
        <f t="shared" si="11"/>
        <v>12.227400000000001</v>
      </c>
      <c r="L43">
        <f t="shared" si="12"/>
        <v>109.29</v>
      </c>
      <c r="M43">
        <f t="shared" si="13"/>
        <v>83.33</v>
      </c>
    </row>
    <row r="44" spans="1:13" ht="15" customHeight="1" x14ac:dyDescent="0.3">
      <c r="A44" s="21" t="s">
        <v>221</v>
      </c>
      <c r="B44" s="22" t="s">
        <v>331</v>
      </c>
      <c r="C44" s="23"/>
      <c r="D44" s="24" t="s">
        <v>109</v>
      </c>
      <c r="E44" s="1" t="s">
        <v>51</v>
      </c>
      <c r="F44" s="20" t="s">
        <v>332</v>
      </c>
      <c r="G44">
        <f t="shared" si="7"/>
        <v>168.75</v>
      </c>
      <c r="H44">
        <f t="shared" si="8"/>
        <v>168.75</v>
      </c>
      <c r="I44">
        <f t="shared" si="9"/>
        <v>168.75</v>
      </c>
      <c r="J44">
        <f t="shared" si="10"/>
        <v>366.85</v>
      </c>
      <c r="K44">
        <f t="shared" si="11"/>
        <v>66.033000000000001</v>
      </c>
      <c r="L44">
        <f t="shared" si="12"/>
        <v>223.3</v>
      </c>
      <c r="M44">
        <f t="shared" si="13"/>
        <v>281.25</v>
      </c>
    </row>
    <row r="45" spans="1:13" ht="15" customHeight="1" x14ac:dyDescent="0.3">
      <c r="A45" s="16" t="s">
        <v>221</v>
      </c>
      <c r="B45" s="17" t="s">
        <v>329</v>
      </c>
      <c r="C45" s="18"/>
      <c r="D45" s="19" t="s">
        <v>109</v>
      </c>
      <c r="E45" s="1" t="s">
        <v>51</v>
      </c>
      <c r="F45" s="20" t="s">
        <v>330</v>
      </c>
      <c r="G45">
        <f t="shared" si="7"/>
        <v>62.5</v>
      </c>
      <c r="H45">
        <f t="shared" si="8"/>
        <v>125</v>
      </c>
      <c r="I45">
        <f t="shared" si="9"/>
        <v>62.5</v>
      </c>
      <c r="J45">
        <f t="shared" si="10"/>
        <v>271.74</v>
      </c>
      <c r="K45">
        <f t="shared" si="11"/>
        <v>48.913200000000003</v>
      </c>
      <c r="L45">
        <f t="shared" si="12"/>
        <v>29.54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365</v>
      </c>
      <c r="C46" s="23"/>
      <c r="D46" s="24" t="s">
        <v>109</v>
      </c>
      <c r="E46" s="1" t="s">
        <v>51</v>
      </c>
      <c r="F46" s="20" t="s">
        <v>366</v>
      </c>
      <c r="G46">
        <f t="shared" si="7"/>
        <v>93.75</v>
      </c>
      <c r="H46">
        <f t="shared" si="8"/>
        <v>93.75</v>
      </c>
      <c r="I46">
        <f t="shared" si="9"/>
        <v>93.75</v>
      </c>
      <c r="J46">
        <f t="shared" si="10"/>
        <v>203.8</v>
      </c>
      <c r="K46">
        <f t="shared" si="11"/>
        <v>36.683999999999997</v>
      </c>
      <c r="L46">
        <f t="shared" si="12"/>
        <v>124.06</v>
      </c>
      <c r="M46">
        <f t="shared" si="13"/>
        <v>156.25</v>
      </c>
    </row>
    <row r="47" spans="1:13" ht="15" customHeight="1" x14ac:dyDescent="0.3">
      <c r="A47" s="16" t="s">
        <v>221</v>
      </c>
      <c r="B47" s="17" t="s">
        <v>228</v>
      </c>
      <c r="C47" s="18"/>
      <c r="D47" s="19" t="s">
        <v>109</v>
      </c>
      <c r="E47" s="1" t="s">
        <v>51</v>
      </c>
      <c r="F47" s="20" t="s">
        <v>229</v>
      </c>
      <c r="G47">
        <f t="shared" si="7"/>
        <v>150</v>
      </c>
      <c r="H47">
        <f t="shared" si="8"/>
        <v>75</v>
      </c>
      <c r="I47">
        <f t="shared" si="9"/>
        <v>37.5</v>
      </c>
      <c r="J47">
        <f t="shared" si="10"/>
        <v>163.04</v>
      </c>
      <c r="K47">
        <f t="shared" si="11"/>
        <v>29.347199999999997</v>
      </c>
      <c r="L47">
        <f t="shared" si="12"/>
        <v>262.29000000000002</v>
      </c>
      <c r="M47">
        <f t="shared" si="13"/>
        <v>62.5</v>
      </c>
    </row>
    <row r="48" spans="1:13" ht="15" customHeight="1" x14ac:dyDescent="0.3">
      <c r="A48" s="21" t="s">
        <v>221</v>
      </c>
      <c r="B48" s="22" t="s">
        <v>325</v>
      </c>
      <c r="C48" s="23"/>
      <c r="D48" s="24" t="s">
        <v>109</v>
      </c>
      <c r="E48" s="1" t="s">
        <v>51</v>
      </c>
      <c r="F48" s="20" t="s">
        <v>225</v>
      </c>
      <c r="G48">
        <f t="shared" si="7"/>
        <v>125</v>
      </c>
      <c r="H48">
        <f t="shared" si="8"/>
        <v>62.5</v>
      </c>
      <c r="I48">
        <f t="shared" si="9"/>
        <v>37.5</v>
      </c>
      <c r="J48">
        <f t="shared" si="10"/>
        <v>135.87</v>
      </c>
      <c r="K48">
        <f t="shared" si="11"/>
        <v>24.456600000000002</v>
      </c>
      <c r="L48">
        <f t="shared" si="12"/>
        <v>218.57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326</v>
      </c>
      <c r="C49" s="18"/>
      <c r="D49" s="19" t="s">
        <v>109</v>
      </c>
      <c r="E49" s="1" t="s">
        <v>51</v>
      </c>
      <c r="F49" s="20" t="s">
        <v>227</v>
      </c>
      <c r="G49">
        <f t="shared" si="7"/>
        <v>50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55.53</v>
      </c>
      <c r="M49">
        <f t="shared" si="13"/>
        <v>62.5</v>
      </c>
    </row>
    <row r="50" spans="1:13" ht="18" customHeight="1" x14ac:dyDescent="0.3">
      <c r="A50" s="25" t="s">
        <v>252</v>
      </c>
      <c r="B50" s="25"/>
      <c r="C50" s="25"/>
      <c r="G50" t="str">
        <f t="shared" si="7"/>
        <v/>
      </c>
      <c r="H50" t="str">
        <f t="shared" si="8"/>
        <v/>
      </c>
      <c r="I50" t="str">
        <f t="shared" si="9"/>
        <v/>
      </c>
      <c r="J50" t="str">
        <f t="shared" si="10"/>
        <v/>
      </c>
      <c r="K50" t="str">
        <f t="shared" si="11"/>
        <v/>
      </c>
      <c r="L50" t="str">
        <f t="shared" si="12"/>
        <v/>
      </c>
      <c r="M50" t="str">
        <f t="shared" si="13"/>
        <v/>
      </c>
    </row>
    <row r="51" spans="1:13" ht="15" customHeight="1" x14ac:dyDescent="0.3">
      <c r="A51" s="21" t="s">
        <v>253</v>
      </c>
      <c r="B51" s="22" t="s">
        <v>365</v>
      </c>
      <c r="C51" s="23"/>
      <c r="D51" s="24" t="s">
        <v>109</v>
      </c>
      <c r="E51" s="1" t="s">
        <v>51</v>
      </c>
      <c r="F51" s="20" t="s">
        <v>366</v>
      </c>
      <c r="G51">
        <f t="shared" si="7"/>
        <v>93.75</v>
      </c>
      <c r="H51">
        <f t="shared" si="8"/>
        <v>93.75</v>
      </c>
      <c r="I51">
        <f t="shared" si="9"/>
        <v>93.75</v>
      </c>
      <c r="J51">
        <f t="shared" si="10"/>
        <v>203.8</v>
      </c>
      <c r="K51">
        <f t="shared" si="11"/>
        <v>36.683999999999997</v>
      </c>
      <c r="L51">
        <f t="shared" si="12"/>
        <v>124.06</v>
      </c>
      <c r="M51">
        <f t="shared" si="13"/>
        <v>156.25</v>
      </c>
    </row>
    <row r="52" spans="1:13" ht="15" customHeight="1" x14ac:dyDescent="0.3">
      <c r="A52" s="16" t="s">
        <v>253</v>
      </c>
      <c r="B52" s="17" t="s">
        <v>257</v>
      </c>
      <c r="C52" s="18"/>
      <c r="D52" s="19" t="s">
        <v>109</v>
      </c>
      <c r="E52" s="1" t="s">
        <v>51</v>
      </c>
      <c r="F52" s="20" t="s">
        <v>160</v>
      </c>
      <c r="G52">
        <f t="shared" si="7"/>
        <v>25</v>
      </c>
      <c r="H52">
        <f t="shared" si="8"/>
        <v>50</v>
      </c>
      <c r="I52">
        <f t="shared" si="9"/>
        <v>25</v>
      </c>
      <c r="J52">
        <f t="shared" si="10"/>
        <v>108.7</v>
      </c>
      <c r="K52">
        <f t="shared" si="11"/>
        <v>19.565999999999999</v>
      </c>
      <c r="L52">
        <f t="shared" si="12"/>
        <v>11.81</v>
      </c>
      <c r="M52">
        <f t="shared" si="13"/>
        <v>41.67</v>
      </c>
    </row>
    <row r="53" spans="1:13" ht="15" customHeight="1" x14ac:dyDescent="0.3">
      <c r="A53" s="21" t="s">
        <v>253</v>
      </c>
      <c r="B53" s="22" t="s">
        <v>440</v>
      </c>
      <c r="C53" s="23"/>
      <c r="D53" s="24" t="s">
        <v>109</v>
      </c>
      <c r="E53" s="1" t="s">
        <v>51</v>
      </c>
      <c r="F53" s="20" t="s">
        <v>441</v>
      </c>
      <c r="G53">
        <f t="shared" si="7"/>
        <v>62.5</v>
      </c>
      <c r="H53">
        <f t="shared" si="8"/>
        <v>31.25</v>
      </c>
      <c r="I53">
        <f t="shared" si="9"/>
        <v>50</v>
      </c>
      <c r="J53">
        <f t="shared" si="10"/>
        <v>67.930000000000007</v>
      </c>
      <c r="K53">
        <f t="shared" si="11"/>
        <v>12.227400000000001</v>
      </c>
      <c r="L53">
        <f t="shared" si="12"/>
        <v>109.29</v>
      </c>
      <c r="M53">
        <f t="shared" si="13"/>
        <v>83.33</v>
      </c>
    </row>
    <row r="54" spans="1:13" ht="15" customHeight="1" x14ac:dyDescent="0.3">
      <c r="A54" s="16" t="s">
        <v>253</v>
      </c>
      <c r="B54" s="17" t="s">
        <v>228</v>
      </c>
      <c r="C54" s="18"/>
      <c r="D54" s="19" t="s">
        <v>109</v>
      </c>
      <c r="E54" s="1" t="s">
        <v>51</v>
      </c>
      <c r="F54" s="20" t="s">
        <v>229</v>
      </c>
      <c r="G54">
        <f t="shared" si="7"/>
        <v>150</v>
      </c>
      <c r="H54">
        <f t="shared" si="8"/>
        <v>75</v>
      </c>
      <c r="I54">
        <f t="shared" si="9"/>
        <v>37.5</v>
      </c>
      <c r="J54">
        <f t="shared" si="10"/>
        <v>163.04</v>
      </c>
      <c r="K54">
        <f t="shared" si="11"/>
        <v>29.347199999999997</v>
      </c>
      <c r="L54">
        <f t="shared" si="12"/>
        <v>262.29000000000002</v>
      </c>
      <c r="M54">
        <f t="shared" si="13"/>
        <v>62.5</v>
      </c>
    </row>
    <row r="55" spans="1:13" ht="15" customHeight="1" x14ac:dyDescent="0.3">
      <c r="A55" s="21" t="s">
        <v>253</v>
      </c>
      <c r="B55" s="22" t="s">
        <v>255</v>
      </c>
      <c r="C55" s="23"/>
      <c r="D55" s="24" t="s">
        <v>109</v>
      </c>
      <c r="E55" s="1" t="s">
        <v>51</v>
      </c>
      <c r="F55" s="20" t="s">
        <v>256</v>
      </c>
      <c r="G55">
        <f t="shared" si="7"/>
        <v>31.25</v>
      </c>
      <c r="H55">
        <f t="shared" si="8"/>
        <v>75</v>
      </c>
      <c r="I55">
        <f t="shared" si="9"/>
        <v>22.5</v>
      </c>
      <c r="J55">
        <f t="shared" si="10"/>
        <v>163.04</v>
      </c>
      <c r="K55">
        <f t="shared" si="11"/>
        <v>29.347199999999997</v>
      </c>
      <c r="L55">
        <f t="shared" si="12"/>
        <v>4.1399999999999997</v>
      </c>
      <c r="M55">
        <f t="shared" si="13"/>
        <v>37.5</v>
      </c>
    </row>
    <row r="56" spans="1:13" ht="18" customHeight="1" x14ac:dyDescent="0.3">
      <c r="A56" s="25" t="s">
        <v>263</v>
      </c>
      <c r="B56" s="25"/>
      <c r="C56" s="25"/>
      <c r="G56" t="str">
        <f t="shared" si="7"/>
        <v/>
      </c>
      <c r="H56" t="str">
        <f t="shared" si="8"/>
        <v/>
      </c>
      <c r="I56" t="str">
        <f t="shared" si="9"/>
        <v/>
      </c>
      <c r="J56" t="str">
        <f t="shared" si="10"/>
        <v/>
      </c>
      <c r="K56" t="str">
        <f t="shared" si="11"/>
        <v/>
      </c>
      <c r="L56" t="str">
        <f t="shared" si="12"/>
        <v/>
      </c>
      <c r="M56" t="str">
        <f t="shared" si="13"/>
        <v/>
      </c>
    </row>
    <row r="57" spans="1:13" ht="15" customHeight="1" x14ac:dyDescent="0.3">
      <c r="A57" s="16" t="s">
        <v>264</v>
      </c>
      <c r="B57" s="17" t="s">
        <v>707</v>
      </c>
      <c r="C57" s="18"/>
      <c r="D57" s="19" t="s">
        <v>109</v>
      </c>
      <c r="E57" s="1" t="s">
        <v>51</v>
      </c>
      <c r="F57" s="20" t="s">
        <v>456</v>
      </c>
      <c r="G57" t="str">
        <f t="shared" si="7"/>
        <v>N/A</v>
      </c>
      <c r="H57" t="str">
        <f t="shared" si="8"/>
        <v>N/A</v>
      </c>
      <c r="I57" t="str">
        <f t="shared" si="9"/>
        <v>N/A</v>
      </c>
      <c r="J57" t="str">
        <f t="shared" si="10"/>
        <v>N/A</v>
      </c>
      <c r="K57" t="str">
        <f t="shared" si="11"/>
        <v>N/A</v>
      </c>
      <c r="L57" t="str">
        <f t="shared" si="12"/>
        <v>N/A</v>
      </c>
      <c r="M57" t="str">
        <f t="shared" si="13"/>
        <v>N/A</v>
      </c>
    </row>
    <row r="58" spans="1:13" ht="18" customHeight="1" x14ac:dyDescent="0.3">
      <c r="A58" s="25" t="s">
        <v>269</v>
      </c>
      <c r="B58" s="25"/>
      <c r="C58" s="25"/>
      <c r="G58" t="str">
        <f t="shared" si="7"/>
        <v/>
      </c>
      <c r="H58" t="str">
        <f t="shared" si="8"/>
        <v/>
      </c>
      <c r="I58" t="str">
        <f t="shared" si="9"/>
        <v/>
      </c>
      <c r="J58" t="str">
        <f t="shared" si="10"/>
        <v/>
      </c>
      <c r="K58" t="str">
        <f t="shared" si="11"/>
        <v/>
      </c>
      <c r="L58" t="str">
        <f t="shared" si="12"/>
        <v/>
      </c>
      <c r="M58" t="str">
        <f t="shared" si="13"/>
        <v/>
      </c>
    </row>
    <row r="59" spans="1:13" ht="15" customHeight="1" x14ac:dyDescent="0.3">
      <c r="A59" s="21" t="s">
        <v>270</v>
      </c>
      <c r="B59" s="22" t="s">
        <v>271</v>
      </c>
      <c r="C59" s="23"/>
      <c r="D59" s="24" t="s">
        <v>109</v>
      </c>
      <c r="E59" s="1" t="s">
        <v>51</v>
      </c>
      <c r="F59" s="20" t="s">
        <v>241</v>
      </c>
      <c r="G59">
        <f t="shared" si="7"/>
        <v>7.5</v>
      </c>
      <c r="H59">
        <f t="shared" si="8"/>
        <v>15</v>
      </c>
      <c r="I59">
        <f t="shared" si="9"/>
        <v>15</v>
      </c>
      <c r="J59">
        <f t="shared" si="10"/>
        <v>32.61</v>
      </c>
      <c r="K59">
        <f t="shared" si="11"/>
        <v>5.8697999999999997</v>
      </c>
      <c r="L59">
        <f t="shared" si="12"/>
        <v>3.54</v>
      </c>
      <c r="M59">
        <f t="shared" si="13"/>
        <v>25</v>
      </c>
    </row>
    <row r="60" spans="1:13" ht="15" customHeight="1" x14ac:dyDescent="0.3">
      <c r="A60" s="16" t="s">
        <v>270</v>
      </c>
      <c r="B60" s="17" t="s">
        <v>272</v>
      </c>
      <c r="C60" s="18"/>
      <c r="D60" s="19" t="s">
        <v>109</v>
      </c>
      <c r="E60" s="1" t="s">
        <v>51</v>
      </c>
      <c r="F60" s="20" t="s">
        <v>273</v>
      </c>
      <c r="G60">
        <f t="shared" si="7"/>
        <v>112.5</v>
      </c>
      <c r="H60">
        <f t="shared" si="8"/>
        <v>112.5</v>
      </c>
      <c r="I60">
        <f t="shared" si="9"/>
        <v>93.75</v>
      </c>
      <c r="J60">
        <f t="shared" si="10"/>
        <v>244.57</v>
      </c>
      <c r="K60">
        <f t="shared" si="11"/>
        <v>44.022599999999997</v>
      </c>
      <c r="L60">
        <f t="shared" si="12"/>
        <v>148.86000000000001</v>
      </c>
      <c r="M60">
        <f t="shared" si="13"/>
        <v>156.25</v>
      </c>
    </row>
    <row r="61" spans="1:13" ht="15" customHeight="1" x14ac:dyDescent="0.3">
      <c r="A61" s="21" t="s">
        <v>270</v>
      </c>
      <c r="B61" s="22" t="s">
        <v>278</v>
      </c>
      <c r="C61" s="23"/>
      <c r="D61" s="24" t="s">
        <v>109</v>
      </c>
      <c r="E61" s="1" t="s">
        <v>51</v>
      </c>
      <c r="F61" s="20" t="s">
        <v>279</v>
      </c>
      <c r="G61">
        <f t="shared" si="7"/>
        <v>250</v>
      </c>
      <c r="H61">
        <f t="shared" si="8"/>
        <v>250</v>
      </c>
      <c r="I61">
        <f t="shared" si="9"/>
        <v>250</v>
      </c>
      <c r="J61">
        <f t="shared" si="10"/>
        <v>543.48</v>
      </c>
      <c r="K61">
        <f t="shared" si="11"/>
        <v>97.826400000000007</v>
      </c>
      <c r="L61">
        <f t="shared" si="12"/>
        <v>330.81</v>
      </c>
      <c r="M61">
        <f t="shared" si="13"/>
        <v>416.67</v>
      </c>
    </row>
    <row r="62" spans="1:13" ht="15" customHeight="1" x14ac:dyDescent="0.3">
      <c r="A62" s="16" t="s">
        <v>270</v>
      </c>
      <c r="B62" s="17" t="s">
        <v>445</v>
      </c>
      <c r="C62" s="18"/>
      <c r="D62" s="19" t="s">
        <v>109</v>
      </c>
      <c r="E62" s="1" t="s">
        <v>51</v>
      </c>
      <c r="F62" s="20" t="s">
        <v>446</v>
      </c>
      <c r="G62">
        <f t="shared" si="7"/>
        <v>150</v>
      </c>
      <c r="H62">
        <f t="shared" si="8"/>
        <v>187.5</v>
      </c>
      <c r="I62">
        <f t="shared" si="9"/>
        <v>187.5</v>
      </c>
      <c r="J62">
        <f t="shared" si="10"/>
        <v>407.61</v>
      </c>
      <c r="K62">
        <f t="shared" si="11"/>
        <v>73.369799999999998</v>
      </c>
      <c r="L62">
        <f t="shared" si="12"/>
        <v>166.59</v>
      </c>
      <c r="M62">
        <f t="shared" si="13"/>
        <v>312.5</v>
      </c>
    </row>
    <row r="63" spans="1:13" ht="15" customHeight="1" x14ac:dyDescent="0.3">
      <c r="A63" s="21" t="s">
        <v>270</v>
      </c>
      <c r="B63" s="22" t="s">
        <v>276</v>
      </c>
      <c r="C63" s="23"/>
      <c r="D63" s="24" t="s">
        <v>109</v>
      </c>
      <c r="E63" s="1" t="s">
        <v>51</v>
      </c>
      <c r="F63" s="20" t="s">
        <v>277</v>
      </c>
      <c r="G63">
        <f t="shared" si="7"/>
        <v>156.25</v>
      </c>
      <c r="H63">
        <f t="shared" si="8"/>
        <v>150</v>
      </c>
      <c r="I63">
        <f t="shared" si="9"/>
        <v>31.25</v>
      </c>
      <c r="J63">
        <f t="shared" si="10"/>
        <v>326.08999999999997</v>
      </c>
      <c r="K63">
        <f t="shared" si="11"/>
        <v>58.69619999999999</v>
      </c>
      <c r="L63">
        <f t="shared" si="12"/>
        <v>212.07</v>
      </c>
      <c r="M63">
        <f t="shared" si="13"/>
        <v>52.08</v>
      </c>
    </row>
  </sheetData>
  <mergeCells count="13">
    <mergeCell ref="A1:C1"/>
    <mergeCell ref="A2:C2"/>
    <mergeCell ref="A3:C3"/>
    <mergeCell ref="A4:C4"/>
    <mergeCell ref="A7:C7"/>
    <mergeCell ref="A50:C50"/>
    <mergeCell ref="A56:C56"/>
    <mergeCell ref="A58:C58"/>
    <mergeCell ref="A13:C13"/>
    <mergeCell ref="A18:C18"/>
    <mergeCell ref="A22:C22"/>
    <mergeCell ref="A25:C25"/>
    <mergeCell ref="A35:C3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8E6C9"/>
  </sheetPr>
  <dimension ref="A1:M74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708</v>
      </c>
      <c r="B1" s="26"/>
      <c r="C1" s="26"/>
    </row>
    <row r="2" spans="1:13" ht="19.5" customHeight="1" x14ac:dyDescent="0.3">
      <c r="A2" s="27" t="s">
        <v>709</v>
      </c>
      <c r="B2" s="27"/>
      <c r="C2" s="27"/>
    </row>
    <row r="3" spans="1:13" ht="19.5" customHeight="1" x14ac:dyDescent="0.3">
      <c r="A3" s="27" t="s">
        <v>710</v>
      </c>
      <c r="B3" s="27"/>
      <c r="C3" s="27"/>
    </row>
    <row r="4" spans="1:13" ht="19.5" customHeight="1" x14ac:dyDescent="0.3">
      <c r="A4" s="27" t="s">
        <v>711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712</v>
      </c>
      <c r="C8" s="18"/>
      <c r="D8" s="19" t="s">
        <v>68</v>
      </c>
      <c r="E8" s="1" t="s">
        <v>67</v>
      </c>
      <c r="F8" s="20" t="s">
        <v>149</v>
      </c>
      <c r="G8">
        <f t="shared" si="0"/>
        <v>50</v>
      </c>
      <c r="H8">
        <f t="shared" si="1"/>
        <v>25</v>
      </c>
      <c r="I8">
        <f t="shared" si="2"/>
        <v>25</v>
      </c>
      <c r="J8">
        <f t="shared" si="3"/>
        <v>54.35</v>
      </c>
      <c r="K8">
        <f t="shared" si="4"/>
        <v>9.7829999999999995</v>
      </c>
      <c r="L8">
        <f t="shared" si="5"/>
        <v>87.43</v>
      </c>
      <c r="M8">
        <f t="shared" si="6"/>
        <v>41.67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68</v>
      </c>
      <c r="E9" s="1" t="s">
        <v>67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713</v>
      </c>
      <c r="C10" s="18"/>
      <c r="D10" s="19" t="s">
        <v>68</v>
      </c>
      <c r="E10" s="1" t="s">
        <v>67</v>
      </c>
      <c r="F10" s="20" t="s">
        <v>143</v>
      </c>
      <c r="G10">
        <f t="shared" si="0"/>
        <v>187.5</v>
      </c>
      <c r="H10">
        <f t="shared" si="1"/>
        <v>62.5</v>
      </c>
      <c r="I10">
        <f t="shared" si="2"/>
        <v>62.5</v>
      </c>
      <c r="J10">
        <f t="shared" si="3"/>
        <v>135.87</v>
      </c>
      <c r="K10">
        <f t="shared" si="4"/>
        <v>24.456600000000002</v>
      </c>
      <c r="L10">
        <f t="shared" si="5"/>
        <v>354.44</v>
      </c>
      <c r="M10">
        <f t="shared" si="6"/>
        <v>104.17</v>
      </c>
    </row>
    <row r="11" spans="1:13" ht="15" customHeight="1" x14ac:dyDescent="0.3">
      <c r="A11" s="21" t="s">
        <v>141</v>
      </c>
      <c r="B11" s="22" t="s">
        <v>376</v>
      </c>
      <c r="C11" s="23"/>
      <c r="D11" s="24" t="s">
        <v>68</v>
      </c>
      <c r="E11" s="1" t="s">
        <v>67</v>
      </c>
      <c r="F11" s="20" t="s">
        <v>147</v>
      </c>
      <c r="G11">
        <f t="shared" si="0"/>
        <v>100</v>
      </c>
      <c r="H11">
        <f t="shared" si="1"/>
        <v>50</v>
      </c>
      <c r="I11">
        <f t="shared" si="2"/>
        <v>50</v>
      </c>
      <c r="J11">
        <f t="shared" si="3"/>
        <v>108.7</v>
      </c>
      <c r="K11">
        <f t="shared" si="4"/>
        <v>19.565999999999999</v>
      </c>
      <c r="L11">
        <f t="shared" si="5"/>
        <v>174.86</v>
      </c>
      <c r="M11">
        <f t="shared" si="6"/>
        <v>83.33</v>
      </c>
    </row>
    <row r="12" spans="1:13" ht="15" customHeight="1" x14ac:dyDescent="0.3">
      <c r="A12" s="16" t="s">
        <v>141</v>
      </c>
      <c r="B12" s="17" t="s">
        <v>144</v>
      </c>
      <c r="C12" s="18"/>
      <c r="D12" s="19" t="s">
        <v>68</v>
      </c>
      <c r="E12" s="1" t="s">
        <v>67</v>
      </c>
      <c r="F12" s="20" t="s">
        <v>145</v>
      </c>
      <c r="G12">
        <f t="shared" si="0"/>
        <v>187.5</v>
      </c>
      <c r="H12">
        <f t="shared" si="1"/>
        <v>93.75</v>
      </c>
      <c r="I12">
        <f t="shared" si="2"/>
        <v>93.75</v>
      </c>
      <c r="J12">
        <f t="shared" si="3"/>
        <v>203.8</v>
      </c>
      <c r="K12">
        <f t="shared" si="4"/>
        <v>36.683999999999997</v>
      </c>
      <c r="L12">
        <f t="shared" si="5"/>
        <v>327.86</v>
      </c>
      <c r="M12">
        <f t="shared" si="6"/>
        <v>156.25</v>
      </c>
    </row>
    <row r="13" spans="1:13" ht="15" customHeight="1" x14ac:dyDescent="0.3">
      <c r="A13" s="21" t="s">
        <v>141</v>
      </c>
      <c r="B13" s="22" t="s">
        <v>373</v>
      </c>
      <c r="C13" s="23"/>
      <c r="D13" s="24" t="s">
        <v>68</v>
      </c>
      <c r="E13" s="1" t="s">
        <v>67</v>
      </c>
      <c r="F13" s="20" t="s">
        <v>374</v>
      </c>
      <c r="G13">
        <f t="shared" si="0"/>
        <v>75</v>
      </c>
      <c r="H13">
        <f t="shared" si="1"/>
        <v>37.5</v>
      </c>
      <c r="I13">
        <f t="shared" si="2"/>
        <v>25</v>
      </c>
      <c r="J13">
        <f t="shared" si="3"/>
        <v>81.52</v>
      </c>
      <c r="K13">
        <f t="shared" si="4"/>
        <v>14.673599999999999</v>
      </c>
      <c r="L13">
        <f t="shared" si="5"/>
        <v>131.13999999999999</v>
      </c>
      <c r="M13">
        <f t="shared" si="6"/>
        <v>41.67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536</v>
      </c>
      <c r="C15" s="18"/>
      <c r="D15" s="19" t="s">
        <v>68</v>
      </c>
      <c r="E15" s="1" t="s">
        <v>67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379</v>
      </c>
      <c r="C16" s="23"/>
      <c r="D16" s="24" t="s">
        <v>68</v>
      </c>
      <c r="E16" s="1" t="s">
        <v>67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714</v>
      </c>
      <c r="C17" s="18"/>
      <c r="D17" s="19" t="s">
        <v>68</v>
      </c>
      <c r="E17" s="1" t="s">
        <v>67</v>
      </c>
      <c r="F17" s="20" t="s">
        <v>715</v>
      </c>
      <c r="G17">
        <f t="shared" si="0"/>
        <v>12.5</v>
      </c>
      <c r="H17">
        <f t="shared" si="1"/>
        <v>25</v>
      </c>
      <c r="I17">
        <f t="shared" si="2"/>
        <v>0</v>
      </c>
      <c r="J17">
        <f t="shared" si="3"/>
        <v>54.35</v>
      </c>
      <c r="K17">
        <f t="shared" si="4"/>
        <v>9.7829999999999995</v>
      </c>
      <c r="L17">
        <f t="shared" si="5"/>
        <v>5.91</v>
      </c>
      <c r="M17">
        <f t="shared" si="6"/>
        <v>0</v>
      </c>
    </row>
    <row r="18" spans="1:13" ht="15" customHeight="1" x14ac:dyDescent="0.3">
      <c r="A18" s="21" t="s">
        <v>156</v>
      </c>
      <c r="B18" s="22" t="s">
        <v>165</v>
      </c>
      <c r="C18" s="23"/>
      <c r="D18" s="24" t="s">
        <v>68</v>
      </c>
      <c r="E18" s="1" t="s">
        <v>67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356</v>
      </c>
      <c r="C19" s="18"/>
      <c r="D19" s="19" t="s">
        <v>68</v>
      </c>
      <c r="E19" s="1" t="s">
        <v>67</v>
      </c>
      <c r="F19" s="20" t="s">
        <v>158</v>
      </c>
      <c r="G19">
        <f t="shared" si="0"/>
        <v>31.25</v>
      </c>
      <c r="H19">
        <f t="shared" si="1"/>
        <v>62.5</v>
      </c>
      <c r="I19">
        <f t="shared" si="2"/>
        <v>37.5</v>
      </c>
      <c r="J19">
        <f t="shared" si="3"/>
        <v>135.87</v>
      </c>
      <c r="K19">
        <f t="shared" si="4"/>
        <v>24.456600000000002</v>
      </c>
      <c r="L19">
        <f t="shared" si="5"/>
        <v>14.77</v>
      </c>
      <c r="M19">
        <f t="shared" si="6"/>
        <v>62.5</v>
      </c>
    </row>
    <row r="20" spans="1:13" ht="15" customHeight="1" x14ac:dyDescent="0.3">
      <c r="A20" s="21" t="s">
        <v>156</v>
      </c>
      <c r="B20" s="22" t="s">
        <v>380</v>
      </c>
      <c r="C20" s="23"/>
      <c r="D20" s="24" t="s">
        <v>68</v>
      </c>
      <c r="E20" s="1" t="s">
        <v>67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163</v>
      </c>
      <c r="C21" s="18"/>
      <c r="D21" s="19" t="s">
        <v>68</v>
      </c>
      <c r="E21" s="1" t="s">
        <v>67</v>
      </c>
      <c r="F21" s="20" t="s">
        <v>164</v>
      </c>
      <c r="G21">
        <f t="shared" si="0"/>
        <v>12.5</v>
      </c>
      <c r="H21">
        <f t="shared" si="1"/>
        <v>25</v>
      </c>
      <c r="I21">
        <f t="shared" si="2"/>
        <v>12.5</v>
      </c>
      <c r="J21">
        <f t="shared" si="3"/>
        <v>54.35</v>
      </c>
      <c r="K21">
        <f t="shared" si="4"/>
        <v>9.7829999999999995</v>
      </c>
      <c r="L21">
        <f t="shared" si="5"/>
        <v>5.91</v>
      </c>
      <c r="M21">
        <f t="shared" si="6"/>
        <v>20.83</v>
      </c>
    </row>
    <row r="22" spans="1:13" ht="18" customHeight="1" x14ac:dyDescent="0.3">
      <c r="A22" s="25" t="s">
        <v>167</v>
      </c>
      <c r="B22" s="25"/>
      <c r="C22" s="25"/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  <c r="L22" t="str">
        <f t="shared" si="5"/>
        <v/>
      </c>
      <c r="M22" t="str">
        <f t="shared" si="6"/>
        <v/>
      </c>
    </row>
    <row r="23" spans="1:13" ht="15" customHeight="1" x14ac:dyDescent="0.3">
      <c r="A23" s="21" t="s">
        <v>168</v>
      </c>
      <c r="B23" s="22" t="s">
        <v>716</v>
      </c>
      <c r="C23" s="23"/>
      <c r="D23" s="24" t="s">
        <v>68</v>
      </c>
      <c r="E23" s="1" t="s">
        <v>67</v>
      </c>
      <c r="F23" s="20" t="s">
        <v>147</v>
      </c>
      <c r="G23">
        <f t="shared" si="0"/>
        <v>100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174.86</v>
      </c>
      <c r="M23">
        <f t="shared" si="6"/>
        <v>83.33</v>
      </c>
    </row>
    <row r="24" spans="1:13" ht="15" customHeight="1" x14ac:dyDescent="0.3">
      <c r="A24" s="16" t="s">
        <v>168</v>
      </c>
      <c r="B24" s="17" t="s">
        <v>169</v>
      </c>
      <c r="C24" s="18"/>
      <c r="D24" s="19" t="s">
        <v>68</v>
      </c>
      <c r="E24" s="1" t="s">
        <v>67</v>
      </c>
      <c r="F24" s="20" t="s">
        <v>170</v>
      </c>
      <c r="G24">
        <f t="shared" si="0"/>
        <v>25</v>
      </c>
      <c r="H24">
        <f t="shared" si="1"/>
        <v>50</v>
      </c>
      <c r="I24">
        <f t="shared" si="2"/>
        <v>50</v>
      </c>
      <c r="J24">
        <f t="shared" si="3"/>
        <v>108.7</v>
      </c>
      <c r="K24">
        <f t="shared" si="4"/>
        <v>19.565999999999999</v>
      </c>
      <c r="L24">
        <f t="shared" si="5"/>
        <v>11.81</v>
      </c>
      <c r="M24">
        <f t="shared" si="6"/>
        <v>83.33</v>
      </c>
    </row>
    <row r="25" spans="1:13" ht="15" customHeight="1" x14ac:dyDescent="0.3">
      <c r="A25" s="21" t="s">
        <v>168</v>
      </c>
      <c r="B25" s="22" t="s">
        <v>294</v>
      </c>
      <c r="C25" s="23"/>
      <c r="D25" s="24" t="s">
        <v>68</v>
      </c>
      <c r="E25" s="1" t="s">
        <v>67</v>
      </c>
      <c r="F25" s="20" t="s">
        <v>149</v>
      </c>
      <c r="G25">
        <f t="shared" si="0"/>
        <v>50</v>
      </c>
      <c r="H25">
        <f t="shared" si="1"/>
        <v>25</v>
      </c>
      <c r="I25">
        <f t="shared" si="2"/>
        <v>25</v>
      </c>
      <c r="J25">
        <f t="shared" si="3"/>
        <v>54.35</v>
      </c>
      <c r="K25">
        <f t="shared" si="4"/>
        <v>9.7829999999999995</v>
      </c>
      <c r="L25">
        <f t="shared" si="5"/>
        <v>87.43</v>
      </c>
      <c r="M25">
        <f t="shared" si="6"/>
        <v>41.67</v>
      </c>
    </row>
    <row r="26" spans="1:13" ht="15" customHeight="1" x14ac:dyDescent="0.3">
      <c r="A26" s="16" t="s">
        <v>168</v>
      </c>
      <c r="B26" s="17" t="s">
        <v>295</v>
      </c>
      <c r="C26" s="18"/>
      <c r="D26" s="19" t="s">
        <v>68</v>
      </c>
      <c r="E26" s="1" t="s">
        <v>67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171</v>
      </c>
      <c r="C27" s="23"/>
      <c r="D27" s="24" t="s">
        <v>68</v>
      </c>
      <c r="E27" s="1" t="s">
        <v>67</v>
      </c>
      <c r="F27" s="20" t="s">
        <v>147</v>
      </c>
      <c r="G27">
        <f t="shared" si="0"/>
        <v>100</v>
      </c>
      <c r="H27">
        <f t="shared" si="1"/>
        <v>50</v>
      </c>
      <c r="I27">
        <f t="shared" si="2"/>
        <v>50</v>
      </c>
      <c r="J27">
        <f t="shared" si="3"/>
        <v>108.7</v>
      </c>
      <c r="K27">
        <f t="shared" si="4"/>
        <v>19.565999999999999</v>
      </c>
      <c r="L27">
        <f t="shared" si="5"/>
        <v>174.86</v>
      </c>
      <c r="M27">
        <f t="shared" si="6"/>
        <v>83.33</v>
      </c>
    </row>
    <row r="28" spans="1:13" ht="15" customHeight="1" x14ac:dyDescent="0.3">
      <c r="A28" s="16" t="s">
        <v>168</v>
      </c>
      <c r="B28" s="17" t="s">
        <v>176</v>
      </c>
      <c r="C28" s="18"/>
      <c r="D28" s="19" t="s">
        <v>68</v>
      </c>
      <c r="E28" s="1" t="s">
        <v>67</v>
      </c>
      <c r="F28" s="20" t="s">
        <v>177</v>
      </c>
      <c r="G28">
        <f t="shared" si="0"/>
        <v>25</v>
      </c>
      <c r="H28">
        <f t="shared" si="1"/>
        <v>75</v>
      </c>
      <c r="I28">
        <f t="shared" si="2"/>
        <v>50</v>
      </c>
      <c r="J28">
        <f t="shared" si="3"/>
        <v>163.04</v>
      </c>
      <c r="K28">
        <f t="shared" si="4"/>
        <v>29.347199999999997</v>
      </c>
      <c r="L28">
        <f t="shared" si="5"/>
        <v>-9.4499999999999993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172</v>
      </c>
      <c r="C29" s="23"/>
      <c r="D29" s="24" t="s">
        <v>68</v>
      </c>
      <c r="E29" s="1" t="s">
        <v>67</v>
      </c>
      <c r="F29" s="20" t="s">
        <v>173</v>
      </c>
      <c r="G29">
        <f t="shared" si="0"/>
        <v>75</v>
      </c>
      <c r="H29">
        <f t="shared" si="1"/>
        <v>112.5</v>
      </c>
      <c r="I29">
        <f t="shared" si="2"/>
        <v>75</v>
      </c>
      <c r="J29">
        <f t="shared" si="3"/>
        <v>244.57</v>
      </c>
      <c r="K29">
        <f t="shared" si="4"/>
        <v>44.022599999999997</v>
      </c>
      <c r="L29">
        <f t="shared" si="5"/>
        <v>67.34</v>
      </c>
      <c r="M29">
        <f t="shared" si="6"/>
        <v>125</v>
      </c>
    </row>
    <row r="30" spans="1:13" ht="18" customHeight="1" x14ac:dyDescent="0.3">
      <c r="A30" s="25" t="s">
        <v>180</v>
      </c>
      <c r="B30" s="25"/>
      <c r="C30" s="25"/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  <c r="L30" t="str">
        <f t="shared" si="5"/>
        <v/>
      </c>
      <c r="M30" t="str">
        <f t="shared" si="6"/>
        <v/>
      </c>
    </row>
    <row r="31" spans="1:13" ht="15" customHeight="1" x14ac:dyDescent="0.3">
      <c r="A31" s="16" t="s">
        <v>181</v>
      </c>
      <c r="B31" s="17" t="s">
        <v>717</v>
      </c>
      <c r="C31" s="18"/>
      <c r="D31" s="19" t="s">
        <v>68</v>
      </c>
      <c r="E31" s="1" t="s">
        <v>67</v>
      </c>
      <c r="F31" s="20" t="s">
        <v>185</v>
      </c>
      <c r="G31">
        <f t="shared" si="0"/>
        <v>125</v>
      </c>
      <c r="H31">
        <f t="shared" si="1"/>
        <v>62.5</v>
      </c>
      <c r="I31">
        <f t="shared" si="2"/>
        <v>62.5</v>
      </c>
      <c r="J31">
        <f t="shared" si="3"/>
        <v>135.87</v>
      </c>
      <c r="K31">
        <f t="shared" si="4"/>
        <v>24.456600000000002</v>
      </c>
      <c r="L31">
        <f t="shared" si="5"/>
        <v>218.57</v>
      </c>
      <c r="M31">
        <f t="shared" si="6"/>
        <v>104.17</v>
      </c>
    </row>
    <row r="32" spans="1:13" ht="15" customHeight="1" x14ac:dyDescent="0.3">
      <c r="A32" s="21" t="s">
        <v>181</v>
      </c>
      <c r="B32" s="22" t="s">
        <v>623</v>
      </c>
      <c r="C32" s="23"/>
      <c r="D32" s="24" t="s">
        <v>68</v>
      </c>
      <c r="E32" s="1" t="s">
        <v>67</v>
      </c>
      <c r="F32" s="20" t="s">
        <v>183</v>
      </c>
      <c r="G32">
        <f t="shared" si="0"/>
        <v>350</v>
      </c>
      <c r="H32">
        <f t="shared" si="1"/>
        <v>112.5</v>
      </c>
      <c r="I32">
        <f t="shared" si="2"/>
        <v>112.5</v>
      </c>
      <c r="J32">
        <f t="shared" si="3"/>
        <v>244.57</v>
      </c>
      <c r="K32">
        <f t="shared" si="4"/>
        <v>44.022599999999997</v>
      </c>
      <c r="L32">
        <f t="shared" si="5"/>
        <v>665.17</v>
      </c>
      <c r="M32">
        <f t="shared" si="6"/>
        <v>187.5</v>
      </c>
    </row>
    <row r="33" spans="1:13" ht="15" customHeight="1" x14ac:dyDescent="0.3">
      <c r="A33" s="16" t="s">
        <v>181</v>
      </c>
      <c r="B33" s="17" t="s">
        <v>435</v>
      </c>
      <c r="C33" s="18"/>
      <c r="D33" s="19" t="s">
        <v>68</v>
      </c>
      <c r="E33" s="1" t="s">
        <v>67</v>
      </c>
      <c r="F33" s="20" t="s">
        <v>436</v>
      </c>
      <c r="G33">
        <f t="shared" si="0"/>
        <v>62.5</v>
      </c>
      <c r="H33">
        <f t="shared" si="1"/>
        <v>62.5</v>
      </c>
      <c r="I33">
        <f t="shared" si="2"/>
        <v>31.25</v>
      </c>
      <c r="J33">
        <f t="shared" si="3"/>
        <v>135.87</v>
      </c>
      <c r="K33">
        <f t="shared" si="4"/>
        <v>24.456600000000002</v>
      </c>
      <c r="L33">
        <f t="shared" si="5"/>
        <v>82.7</v>
      </c>
      <c r="M33">
        <f t="shared" si="6"/>
        <v>52.08</v>
      </c>
    </row>
    <row r="34" spans="1:13" ht="15" customHeight="1" x14ac:dyDescent="0.3">
      <c r="A34" s="21" t="s">
        <v>181</v>
      </c>
      <c r="B34" s="22" t="s">
        <v>442</v>
      </c>
      <c r="C34" s="23"/>
      <c r="D34" s="24" t="s">
        <v>68</v>
      </c>
      <c r="E34" s="1" t="s">
        <v>67</v>
      </c>
      <c r="F34" s="20" t="s">
        <v>429</v>
      </c>
      <c r="G34">
        <f t="shared" si="0"/>
        <v>37.5</v>
      </c>
      <c r="H34">
        <f t="shared" si="1"/>
        <v>25</v>
      </c>
      <c r="I34">
        <f t="shared" si="2"/>
        <v>25</v>
      </c>
      <c r="J34">
        <f t="shared" si="3"/>
        <v>54.35</v>
      </c>
      <c r="K34">
        <f t="shared" si="4"/>
        <v>9.7829999999999995</v>
      </c>
      <c r="L34">
        <f t="shared" si="5"/>
        <v>60.25</v>
      </c>
      <c r="M34">
        <f t="shared" si="6"/>
        <v>41.67</v>
      </c>
    </row>
    <row r="35" spans="1:13" ht="18" customHeight="1" x14ac:dyDescent="0.3">
      <c r="A35" s="25" t="s">
        <v>187</v>
      </c>
      <c r="B35" s="25"/>
      <c r="C35" s="25"/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  <c r="L35" t="str">
        <f t="shared" si="5"/>
        <v/>
      </c>
      <c r="M35" t="str">
        <f t="shared" si="6"/>
        <v/>
      </c>
    </row>
    <row r="36" spans="1:13" ht="15" customHeight="1" x14ac:dyDescent="0.3">
      <c r="A36" s="16" t="s">
        <v>188</v>
      </c>
      <c r="B36" s="17" t="s">
        <v>718</v>
      </c>
      <c r="C36" s="18"/>
      <c r="D36" s="19" t="s">
        <v>68</v>
      </c>
      <c r="E36" s="1" t="s">
        <v>67</v>
      </c>
      <c r="F36" s="20" t="s">
        <v>190</v>
      </c>
      <c r="G36">
        <f t="shared" si="0"/>
        <v>125</v>
      </c>
      <c r="H36">
        <f t="shared" si="1"/>
        <v>125</v>
      </c>
      <c r="I36">
        <f t="shared" si="2"/>
        <v>187.5</v>
      </c>
      <c r="J36">
        <f t="shared" si="3"/>
        <v>271.74</v>
      </c>
      <c r="K36">
        <f t="shared" si="4"/>
        <v>48.913200000000003</v>
      </c>
      <c r="L36">
        <f t="shared" si="5"/>
        <v>165.41</v>
      </c>
      <c r="M36">
        <f t="shared" si="6"/>
        <v>312.5</v>
      </c>
    </row>
    <row r="37" spans="1:13" ht="15" customHeight="1" x14ac:dyDescent="0.3">
      <c r="A37" s="21" t="s">
        <v>188</v>
      </c>
      <c r="B37" s="22" t="s">
        <v>719</v>
      </c>
      <c r="C37" s="23"/>
      <c r="D37" s="24" t="s">
        <v>68</v>
      </c>
      <c r="E37" s="1" t="s">
        <v>67</v>
      </c>
      <c r="F37" s="20" t="s">
        <v>199</v>
      </c>
      <c r="G37">
        <f t="shared" si="0"/>
        <v>750</v>
      </c>
      <c r="H37">
        <f t="shared" si="1"/>
        <v>250</v>
      </c>
      <c r="I37">
        <f t="shared" si="2"/>
        <v>375</v>
      </c>
      <c r="J37">
        <f t="shared" si="3"/>
        <v>543.48</v>
      </c>
      <c r="K37">
        <f t="shared" si="4"/>
        <v>97.826400000000007</v>
      </c>
      <c r="L37">
        <f t="shared" si="5"/>
        <v>1417.77</v>
      </c>
      <c r="M37">
        <f t="shared" si="6"/>
        <v>625</v>
      </c>
    </row>
    <row r="38" spans="1:13" ht="15" customHeight="1" x14ac:dyDescent="0.3">
      <c r="A38" s="16" t="s">
        <v>188</v>
      </c>
      <c r="B38" s="17" t="s">
        <v>196</v>
      </c>
      <c r="C38" s="18"/>
      <c r="D38" s="19" t="s">
        <v>68</v>
      </c>
      <c r="E38" s="1" t="s">
        <v>67</v>
      </c>
      <c r="F38" s="20" t="s">
        <v>197</v>
      </c>
      <c r="G38">
        <f t="shared" si="0"/>
        <v>750</v>
      </c>
      <c r="H38">
        <f t="shared" si="1"/>
        <v>625</v>
      </c>
      <c r="I38">
        <f t="shared" si="2"/>
        <v>1500</v>
      </c>
      <c r="J38">
        <f t="shared" si="3"/>
        <v>1358.7</v>
      </c>
      <c r="K38">
        <f t="shared" si="4"/>
        <v>244.566</v>
      </c>
      <c r="L38">
        <f t="shared" si="5"/>
        <v>1098.77</v>
      </c>
      <c r="M38">
        <f t="shared" si="6"/>
        <v>2500</v>
      </c>
    </row>
    <row r="39" spans="1:13" ht="15" customHeight="1" x14ac:dyDescent="0.3">
      <c r="A39" s="21" t="s">
        <v>188</v>
      </c>
      <c r="B39" s="22" t="s">
        <v>387</v>
      </c>
      <c r="C39" s="23"/>
      <c r="D39" s="24" t="s">
        <v>68</v>
      </c>
      <c r="E39" s="1" t="s">
        <v>67</v>
      </c>
      <c r="F39" s="20" t="s">
        <v>388</v>
      </c>
      <c r="G39">
        <f t="shared" ref="G39:G74" si="7">IF($F39="","",IFERROR(VALUE(TRIM(LEFT($F39,FIND(":",$F39)-1)))*1.25,"N/A"))</f>
        <v>625</v>
      </c>
      <c r="H39">
        <f t="shared" ref="H39:H74" si="8">IF($F39="","",IFERROR(VALUE(TRIM(MID($F39,FIND(":",$F39)+1,FIND(":",$F39,FIND(":",$F39)+1)-FIND(":",$F39)-1)))*1.25,"N/A"))</f>
        <v>250</v>
      </c>
      <c r="I39">
        <f t="shared" ref="I39:I74" si="9">IF($F39="","",IFERROR(VALUE(TRIM(LEFT(MID($F39,FIND(":",$F39,FIND(":",$F39)+1)+1,LEN($F39)),FIND(" ",MID($F39,FIND(":",$F39,FIND(":",$F39)+1)+1,LEN($F39))&amp;" ")-1)))*1.25,"N/A"))</f>
        <v>625</v>
      </c>
      <c r="J39">
        <f t="shared" ref="J39:J74" si="10">IF(OR($F39="",$H39="N/A"),IF($F39="","","N/A"),ROUND($H39/0.46,2))</f>
        <v>543.48</v>
      </c>
      <c r="K39">
        <f t="shared" ref="K39:K74" si="11">IF(OR($F39="",$J39="N/A"),IF($F39="","","N/A"),$J39*0.18)</f>
        <v>97.826400000000007</v>
      </c>
      <c r="L39">
        <f t="shared" ref="L39:L74" si="12">IF(OR($F39="",$G39="N/A",$K39="N/A"),IF($F39="","","N/A"),ROUND(($G39-$K39)/0.46,2))</f>
        <v>1146.03</v>
      </c>
      <c r="M39">
        <f t="shared" ref="M39:M74" si="13">IF(OR($F39="",$I39="N/A"),IF($F39="","","N/A"),ROUND($I39/0.6,2))</f>
        <v>1041.67</v>
      </c>
    </row>
    <row r="40" spans="1:13" ht="15" customHeight="1" x14ac:dyDescent="0.3">
      <c r="A40" s="16" t="s">
        <v>188</v>
      </c>
      <c r="B40" s="17" t="s">
        <v>195</v>
      </c>
      <c r="C40" s="18"/>
      <c r="D40" s="19" t="s">
        <v>68</v>
      </c>
      <c r="E40" s="1" t="s">
        <v>67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451</v>
      </c>
      <c r="C41" s="23"/>
      <c r="D41" s="24" t="s">
        <v>68</v>
      </c>
      <c r="E41" s="1" t="s">
        <v>67</v>
      </c>
      <c r="F41" s="20" t="s">
        <v>452</v>
      </c>
      <c r="G41">
        <f t="shared" si="7"/>
        <v>250</v>
      </c>
      <c r="H41">
        <f t="shared" si="8"/>
        <v>625</v>
      </c>
      <c r="I41">
        <f t="shared" si="9"/>
        <v>250</v>
      </c>
      <c r="J41">
        <f t="shared" si="10"/>
        <v>1358.7</v>
      </c>
      <c r="K41">
        <f t="shared" si="11"/>
        <v>244.566</v>
      </c>
      <c r="L41">
        <f t="shared" si="12"/>
        <v>11.81</v>
      </c>
      <c r="M41">
        <f t="shared" si="13"/>
        <v>416.67</v>
      </c>
    </row>
    <row r="42" spans="1:13" ht="15" customHeight="1" x14ac:dyDescent="0.3">
      <c r="A42" s="16" t="s">
        <v>188</v>
      </c>
      <c r="B42" s="17" t="s">
        <v>720</v>
      </c>
      <c r="C42" s="18"/>
      <c r="D42" s="19" t="s">
        <v>68</v>
      </c>
      <c r="E42" s="1" t="s">
        <v>67</v>
      </c>
      <c r="F42" s="20" t="s">
        <v>192</v>
      </c>
      <c r="G42">
        <f t="shared" si="7"/>
        <v>137.5</v>
      </c>
      <c r="H42">
        <f t="shared" si="8"/>
        <v>43.75</v>
      </c>
      <c r="I42">
        <f t="shared" si="9"/>
        <v>412.5</v>
      </c>
      <c r="J42">
        <f t="shared" si="10"/>
        <v>95.11</v>
      </c>
      <c r="K42">
        <f t="shared" si="11"/>
        <v>17.119799999999998</v>
      </c>
      <c r="L42">
        <f t="shared" si="12"/>
        <v>261.7</v>
      </c>
      <c r="M42">
        <f t="shared" si="13"/>
        <v>687.5</v>
      </c>
    </row>
    <row r="43" spans="1:13" ht="15" customHeight="1" x14ac:dyDescent="0.3">
      <c r="A43" s="21" t="s">
        <v>188</v>
      </c>
      <c r="B43" s="22" t="s">
        <v>721</v>
      </c>
      <c r="C43" s="23"/>
      <c r="D43" s="24" t="s">
        <v>68</v>
      </c>
      <c r="E43" s="1" t="s">
        <v>67</v>
      </c>
      <c r="F43" s="20" t="s">
        <v>201</v>
      </c>
      <c r="G43">
        <f t="shared" si="7"/>
        <v>50</v>
      </c>
      <c r="H43">
        <f t="shared" si="8"/>
        <v>30</v>
      </c>
      <c r="I43">
        <f t="shared" si="9"/>
        <v>100</v>
      </c>
      <c r="J43">
        <f t="shared" si="10"/>
        <v>65.22</v>
      </c>
      <c r="K43">
        <f t="shared" si="11"/>
        <v>11.739599999999999</v>
      </c>
      <c r="L43">
        <f t="shared" si="12"/>
        <v>83.17</v>
      </c>
      <c r="M43">
        <f t="shared" si="13"/>
        <v>166.67</v>
      </c>
    </row>
    <row r="44" spans="1:13" ht="18" customHeight="1" x14ac:dyDescent="0.3">
      <c r="A44" s="25" t="s">
        <v>220</v>
      </c>
      <c r="B44" s="25"/>
      <c r="C44" s="25"/>
      <c r="G44" t="str">
        <f t="shared" si="7"/>
        <v/>
      </c>
      <c r="H44" t="str">
        <f t="shared" si="8"/>
        <v/>
      </c>
      <c r="I44" t="str">
        <f t="shared" si="9"/>
        <v/>
      </c>
      <c r="J44" t="str">
        <f t="shared" si="10"/>
        <v/>
      </c>
      <c r="K44" t="str">
        <f t="shared" si="11"/>
        <v/>
      </c>
      <c r="L44" t="str">
        <f t="shared" si="12"/>
        <v/>
      </c>
      <c r="M44" t="str">
        <f t="shared" si="13"/>
        <v/>
      </c>
    </row>
    <row r="45" spans="1:13" ht="15" customHeight="1" x14ac:dyDescent="0.3">
      <c r="A45" s="16" t="s">
        <v>221</v>
      </c>
      <c r="B45" s="17" t="s">
        <v>230</v>
      </c>
      <c r="C45" s="18"/>
      <c r="D45" s="19" t="s">
        <v>68</v>
      </c>
      <c r="E45" s="1" t="s">
        <v>67</v>
      </c>
      <c r="F45" s="20" t="s">
        <v>231</v>
      </c>
      <c r="G45">
        <f t="shared" si="7"/>
        <v>125</v>
      </c>
      <c r="H45">
        <f t="shared" si="8"/>
        <v>187.5</v>
      </c>
      <c r="I45">
        <f t="shared" si="9"/>
        <v>93.75</v>
      </c>
      <c r="J45">
        <f t="shared" si="10"/>
        <v>407.61</v>
      </c>
      <c r="K45">
        <f t="shared" si="11"/>
        <v>73.369799999999998</v>
      </c>
      <c r="L45">
        <f t="shared" si="12"/>
        <v>112.24</v>
      </c>
      <c r="M45">
        <f t="shared" si="13"/>
        <v>156.25</v>
      </c>
    </row>
    <row r="46" spans="1:13" ht="15" customHeight="1" x14ac:dyDescent="0.3">
      <c r="A46" s="21" t="s">
        <v>221</v>
      </c>
      <c r="B46" s="22" t="s">
        <v>365</v>
      </c>
      <c r="C46" s="23"/>
      <c r="D46" s="24" t="s">
        <v>68</v>
      </c>
      <c r="E46" s="1" t="s">
        <v>67</v>
      </c>
      <c r="F46" s="20" t="s">
        <v>366</v>
      </c>
      <c r="G46">
        <f t="shared" si="7"/>
        <v>93.75</v>
      </c>
      <c r="H46">
        <f t="shared" si="8"/>
        <v>93.75</v>
      </c>
      <c r="I46">
        <f t="shared" si="9"/>
        <v>93.75</v>
      </c>
      <c r="J46">
        <f t="shared" si="10"/>
        <v>203.8</v>
      </c>
      <c r="K46">
        <f t="shared" si="11"/>
        <v>36.683999999999997</v>
      </c>
      <c r="L46">
        <f t="shared" si="12"/>
        <v>124.06</v>
      </c>
      <c r="M46">
        <f t="shared" si="13"/>
        <v>156.25</v>
      </c>
    </row>
    <row r="47" spans="1:13" ht="15" customHeight="1" x14ac:dyDescent="0.3">
      <c r="A47" s="16" t="s">
        <v>221</v>
      </c>
      <c r="B47" s="17" t="s">
        <v>222</v>
      </c>
      <c r="C47" s="18"/>
      <c r="D47" s="19" t="s">
        <v>68</v>
      </c>
      <c r="E47" s="1" t="s">
        <v>67</v>
      </c>
      <c r="F47" s="20" t="s">
        <v>223</v>
      </c>
      <c r="G47">
        <f t="shared" si="7"/>
        <v>187.5</v>
      </c>
      <c r="H47">
        <f t="shared" si="8"/>
        <v>125</v>
      </c>
      <c r="I47">
        <f t="shared" si="9"/>
        <v>62.5</v>
      </c>
      <c r="J47">
        <f t="shared" si="10"/>
        <v>271.74</v>
      </c>
      <c r="K47">
        <f t="shared" si="11"/>
        <v>48.913200000000003</v>
      </c>
      <c r="L47">
        <f t="shared" si="12"/>
        <v>301.27999999999997</v>
      </c>
      <c r="M47">
        <f t="shared" si="13"/>
        <v>104.17</v>
      </c>
    </row>
    <row r="48" spans="1:13" ht="15" customHeight="1" x14ac:dyDescent="0.3">
      <c r="A48" s="21" t="s">
        <v>221</v>
      </c>
      <c r="B48" s="22" t="s">
        <v>228</v>
      </c>
      <c r="C48" s="23"/>
      <c r="D48" s="24" t="s">
        <v>68</v>
      </c>
      <c r="E48" s="1" t="s">
        <v>67</v>
      </c>
      <c r="F48" s="20" t="s">
        <v>229</v>
      </c>
      <c r="G48">
        <f t="shared" si="7"/>
        <v>150</v>
      </c>
      <c r="H48">
        <f t="shared" si="8"/>
        <v>75</v>
      </c>
      <c r="I48">
        <f t="shared" si="9"/>
        <v>37.5</v>
      </c>
      <c r="J48">
        <f t="shared" si="10"/>
        <v>163.04</v>
      </c>
      <c r="K48">
        <f t="shared" si="11"/>
        <v>29.347199999999997</v>
      </c>
      <c r="L48">
        <f t="shared" si="12"/>
        <v>262.29000000000002</v>
      </c>
      <c r="M48">
        <f t="shared" si="13"/>
        <v>62.5</v>
      </c>
    </row>
    <row r="49" spans="1:13" ht="15" customHeight="1" x14ac:dyDescent="0.3">
      <c r="A49" s="16" t="s">
        <v>221</v>
      </c>
      <c r="B49" s="17" t="s">
        <v>325</v>
      </c>
      <c r="C49" s="18"/>
      <c r="D49" s="19" t="s">
        <v>68</v>
      </c>
      <c r="E49" s="1" t="s">
        <v>67</v>
      </c>
      <c r="F49" s="20" t="s">
        <v>225</v>
      </c>
      <c r="G49">
        <f t="shared" si="7"/>
        <v>125</v>
      </c>
      <c r="H49">
        <f t="shared" si="8"/>
        <v>62.5</v>
      </c>
      <c r="I49">
        <f t="shared" si="9"/>
        <v>37.5</v>
      </c>
      <c r="J49">
        <f t="shared" si="10"/>
        <v>135.87</v>
      </c>
      <c r="K49">
        <f t="shared" si="11"/>
        <v>24.456600000000002</v>
      </c>
      <c r="L49">
        <f t="shared" si="12"/>
        <v>218.57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326</v>
      </c>
      <c r="C50" s="23"/>
      <c r="D50" s="24" t="s">
        <v>68</v>
      </c>
      <c r="E50" s="1" t="s">
        <v>67</v>
      </c>
      <c r="F50" s="20" t="s">
        <v>227</v>
      </c>
      <c r="G50">
        <f t="shared" si="7"/>
        <v>50</v>
      </c>
      <c r="H50">
        <f t="shared" si="8"/>
        <v>62.5</v>
      </c>
      <c r="I50">
        <f t="shared" si="9"/>
        <v>37.5</v>
      </c>
      <c r="J50">
        <f t="shared" si="10"/>
        <v>135.87</v>
      </c>
      <c r="K50">
        <f t="shared" si="11"/>
        <v>24.456600000000002</v>
      </c>
      <c r="L50">
        <f t="shared" si="12"/>
        <v>55.53</v>
      </c>
      <c r="M50">
        <f t="shared" si="13"/>
        <v>62.5</v>
      </c>
    </row>
    <row r="51" spans="1:13" ht="15" customHeight="1" x14ac:dyDescent="0.3">
      <c r="A51" s="16" t="s">
        <v>221</v>
      </c>
      <c r="B51" s="17" t="s">
        <v>611</v>
      </c>
      <c r="C51" s="18"/>
      <c r="D51" s="19" t="s">
        <v>68</v>
      </c>
      <c r="E51" s="1" t="s">
        <v>67</v>
      </c>
      <c r="F51" s="20" t="s">
        <v>436</v>
      </c>
      <c r="G51">
        <f t="shared" si="7"/>
        <v>62.5</v>
      </c>
      <c r="H51">
        <f t="shared" si="8"/>
        <v>62.5</v>
      </c>
      <c r="I51">
        <f t="shared" si="9"/>
        <v>31.25</v>
      </c>
      <c r="J51">
        <f t="shared" si="10"/>
        <v>135.87</v>
      </c>
      <c r="K51">
        <f t="shared" si="11"/>
        <v>24.456600000000002</v>
      </c>
      <c r="L51">
        <f t="shared" si="12"/>
        <v>82.7</v>
      </c>
      <c r="M51">
        <f t="shared" si="13"/>
        <v>52.08</v>
      </c>
    </row>
    <row r="52" spans="1:13" ht="15" customHeight="1" x14ac:dyDescent="0.3">
      <c r="A52" s="21" t="s">
        <v>221</v>
      </c>
      <c r="B52" s="22" t="s">
        <v>238</v>
      </c>
      <c r="C52" s="23"/>
      <c r="D52" s="24" t="s">
        <v>68</v>
      </c>
      <c r="E52" s="1" t="s">
        <v>67</v>
      </c>
      <c r="F52" s="20" t="s">
        <v>239</v>
      </c>
      <c r="G52">
        <f t="shared" si="7"/>
        <v>150</v>
      </c>
      <c r="H52">
        <f t="shared" si="8"/>
        <v>75</v>
      </c>
      <c r="I52">
        <f t="shared" si="9"/>
        <v>75</v>
      </c>
      <c r="J52">
        <f t="shared" si="10"/>
        <v>163.04</v>
      </c>
      <c r="K52">
        <f t="shared" si="11"/>
        <v>29.347199999999997</v>
      </c>
      <c r="L52">
        <f t="shared" si="12"/>
        <v>262.29000000000002</v>
      </c>
      <c r="M52">
        <f t="shared" si="13"/>
        <v>125</v>
      </c>
    </row>
    <row r="53" spans="1:13" ht="15" customHeight="1" x14ac:dyDescent="0.3">
      <c r="A53" s="16" t="s">
        <v>221</v>
      </c>
      <c r="B53" s="17" t="s">
        <v>240</v>
      </c>
      <c r="C53" s="18"/>
      <c r="D53" s="19" t="s">
        <v>68</v>
      </c>
      <c r="E53" s="1" t="s">
        <v>67</v>
      </c>
      <c r="F53" s="20" t="s">
        <v>241</v>
      </c>
      <c r="G53">
        <f t="shared" si="7"/>
        <v>7.5</v>
      </c>
      <c r="H53">
        <f t="shared" si="8"/>
        <v>15</v>
      </c>
      <c r="I53">
        <f t="shared" si="9"/>
        <v>15</v>
      </c>
      <c r="J53">
        <f t="shared" si="10"/>
        <v>32.61</v>
      </c>
      <c r="K53">
        <f t="shared" si="11"/>
        <v>5.8697999999999997</v>
      </c>
      <c r="L53">
        <f t="shared" si="12"/>
        <v>3.54</v>
      </c>
      <c r="M53">
        <f t="shared" si="13"/>
        <v>25</v>
      </c>
    </row>
    <row r="54" spans="1:13" ht="15" customHeight="1" x14ac:dyDescent="0.3">
      <c r="A54" s="21" t="s">
        <v>221</v>
      </c>
      <c r="B54" s="22" t="s">
        <v>244</v>
      </c>
      <c r="C54" s="23"/>
      <c r="D54" s="24" t="s">
        <v>68</v>
      </c>
      <c r="E54" s="1" t="s">
        <v>67</v>
      </c>
      <c r="F54" s="20" t="s">
        <v>241</v>
      </c>
      <c r="G54">
        <f t="shared" si="7"/>
        <v>7.5</v>
      </c>
      <c r="H54">
        <f t="shared" si="8"/>
        <v>15</v>
      </c>
      <c r="I54">
        <f t="shared" si="9"/>
        <v>15</v>
      </c>
      <c r="J54">
        <f t="shared" si="10"/>
        <v>32.61</v>
      </c>
      <c r="K54">
        <f t="shared" si="11"/>
        <v>5.8697999999999997</v>
      </c>
      <c r="L54">
        <f t="shared" si="12"/>
        <v>3.54</v>
      </c>
      <c r="M54">
        <f t="shared" si="13"/>
        <v>25</v>
      </c>
    </row>
    <row r="55" spans="1:13" ht="15" customHeight="1" x14ac:dyDescent="0.3">
      <c r="A55" s="16" t="s">
        <v>221</v>
      </c>
      <c r="B55" s="17" t="s">
        <v>243</v>
      </c>
      <c r="C55" s="18"/>
      <c r="D55" s="19" t="s">
        <v>68</v>
      </c>
      <c r="E55" s="1" t="s">
        <v>67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722</v>
      </c>
      <c r="C56" s="23"/>
      <c r="D56" s="24" t="s">
        <v>68</v>
      </c>
      <c r="E56" s="1" t="s">
        <v>67</v>
      </c>
      <c r="F56" s="20" t="s">
        <v>441</v>
      </c>
      <c r="G56">
        <f t="shared" si="7"/>
        <v>62.5</v>
      </c>
      <c r="H56">
        <f t="shared" si="8"/>
        <v>31.25</v>
      </c>
      <c r="I56">
        <f t="shared" si="9"/>
        <v>50</v>
      </c>
      <c r="J56">
        <f t="shared" si="10"/>
        <v>67.930000000000007</v>
      </c>
      <c r="K56">
        <f t="shared" si="11"/>
        <v>12.227400000000001</v>
      </c>
      <c r="L56">
        <f t="shared" si="12"/>
        <v>109.29</v>
      </c>
      <c r="M56">
        <f t="shared" si="13"/>
        <v>83.33</v>
      </c>
    </row>
    <row r="57" spans="1:13" ht="18" customHeight="1" x14ac:dyDescent="0.3">
      <c r="A57" s="25" t="s">
        <v>252</v>
      </c>
      <c r="B57" s="25"/>
      <c r="C57" s="25"/>
      <c r="G57" t="str">
        <f t="shared" si="7"/>
        <v/>
      </c>
      <c r="H57" t="str">
        <f t="shared" si="8"/>
        <v/>
      </c>
      <c r="I57" t="str">
        <f t="shared" si="9"/>
        <v/>
      </c>
      <c r="J57" t="str">
        <f t="shared" si="10"/>
        <v/>
      </c>
      <c r="K57" t="str">
        <f t="shared" si="11"/>
        <v/>
      </c>
      <c r="L57" t="str">
        <f t="shared" si="12"/>
        <v/>
      </c>
      <c r="M57" t="str">
        <f t="shared" si="13"/>
        <v/>
      </c>
    </row>
    <row r="58" spans="1:13" ht="15" customHeight="1" x14ac:dyDescent="0.3">
      <c r="A58" s="16" t="s">
        <v>253</v>
      </c>
      <c r="B58" s="17" t="s">
        <v>723</v>
      </c>
      <c r="C58" s="18"/>
      <c r="D58" s="19" t="s">
        <v>68</v>
      </c>
      <c r="E58" s="1" t="s">
        <v>67</v>
      </c>
      <c r="F58" s="20" t="s">
        <v>160</v>
      </c>
      <c r="G58">
        <f t="shared" si="7"/>
        <v>25</v>
      </c>
      <c r="H58">
        <f t="shared" si="8"/>
        <v>50</v>
      </c>
      <c r="I58">
        <f t="shared" si="9"/>
        <v>25</v>
      </c>
      <c r="J58">
        <f t="shared" si="10"/>
        <v>108.7</v>
      </c>
      <c r="K58">
        <f t="shared" si="11"/>
        <v>19.565999999999999</v>
      </c>
      <c r="L58">
        <f t="shared" si="12"/>
        <v>11.81</v>
      </c>
      <c r="M58">
        <f t="shared" si="13"/>
        <v>41.67</v>
      </c>
    </row>
    <row r="59" spans="1:13" ht="15" customHeight="1" x14ac:dyDescent="0.3">
      <c r="A59" s="21" t="s">
        <v>253</v>
      </c>
      <c r="B59" s="22" t="s">
        <v>724</v>
      </c>
      <c r="C59" s="23"/>
      <c r="D59" s="24" t="s">
        <v>68</v>
      </c>
      <c r="E59" s="1" t="s">
        <v>67</v>
      </c>
      <c r="F59" s="20" t="s">
        <v>160</v>
      </c>
      <c r="G59">
        <f t="shared" si="7"/>
        <v>25</v>
      </c>
      <c r="H59">
        <f t="shared" si="8"/>
        <v>50</v>
      </c>
      <c r="I59">
        <f t="shared" si="9"/>
        <v>25</v>
      </c>
      <c r="J59">
        <f t="shared" si="10"/>
        <v>108.7</v>
      </c>
      <c r="K59">
        <f t="shared" si="11"/>
        <v>19.565999999999999</v>
      </c>
      <c r="L59">
        <f t="shared" si="12"/>
        <v>11.81</v>
      </c>
      <c r="M59">
        <f t="shared" si="13"/>
        <v>41.67</v>
      </c>
    </row>
    <row r="60" spans="1:13" ht="15" customHeight="1" x14ac:dyDescent="0.3">
      <c r="A60" s="16" t="s">
        <v>253</v>
      </c>
      <c r="B60" s="17" t="s">
        <v>725</v>
      </c>
      <c r="C60" s="18"/>
      <c r="D60" s="19" t="s">
        <v>68</v>
      </c>
      <c r="E60" s="1" t="s">
        <v>67</v>
      </c>
      <c r="F60" s="20" t="s">
        <v>441</v>
      </c>
      <c r="G60">
        <f t="shared" si="7"/>
        <v>62.5</v>
      </c>
      <c r="H60">
        <f t="shared" si="8"/>
        <v>31.25</v>
      </c>
      <c r="I60">
        <f t="shared" si="9"/>
        <v>50</v>
      </c>
      <c r="J60">
        <f t="shared" si="10"/>
        <v>67.930000000000007</v>
      </c>
      <c r="K60">
        <f t="shared" si="11"/>
        <v>12.227400000000001</v>
      </c>
      <c r="L60">
        <f t="shared" si="12"/>
        <v>109.29</v>
      </c>
      <c r="M60">
        <f t="shared" si="13"/>
        <v>83.33</v>
      </c>
    </row>
    <row r="61" spans="1:13" ht="15" customHeight="1" x14ac:dyDescent="0.3">
      <c r="A61" s="21" t="s">
        <v>253</v>
      </c>
      <c r="B61" s="22" t="s">
        <v>175</v>
      </c>
      <c r="C61" s="23"/>
      <c r="D61" s="24" t="s">
        <v>68</v>
      </c>
      <c r="E61" s="1" t="s">
        <v>67</v>
      </c>
      <c r="F61" s="20" t="s">
        <v>147</v>
      </c>
      <c r="G61">
        <f t="shared" si="7"/>
        <v>100</v>
      </c>
      <c r="H61">
        <f t="shared" si="8"/>
        <v>50</v>
      </c>
      <c r="I61">
        <f t="shared" si="9"/>
        <v>50</v>
      </c>
      <c r="J61">
        <f t="shared" si="10"/>
        <v>108.7</v>
      </c>
      <c r="K61">
        <f t="shared" si="11"/>
        <v>19.565999999999999</v>
      </c>
      <c r="L61">
        <f t="shared" si="12"/>
        <v>174.86</v>
      </c>
      <c r="M61">
        <f t="shared" si="13"/>
        <v>83.33</v>
      </c>
    </row>
    <row r="62" spans="1:13" ht="15" customHeight="1" x14ac:dyDescent="0.3">
      <c r="A62" s="16" t="s">
        <v>253</v>
      </c>
      <c r="B62" s="17" t="s">
        <v>438</v>
      </c>
      <c r="C62" s="18"/>
      <c r="D62" s="19" t="s">
        <v>68</v>
      </c>
      <c r="E62" s="1" t="s">
        <v>67</v>
      </c>
      <c r="F62" s="20" t="s">
        <v>298</v>
      </c>
      <c r="G62">
        <f t="shared" si="7"/>
        <v>75</v>
      </c>
      <c r="H62">
        <f t="shared" si="8"/>
        <v>37.5</v>
      </c>
      <c r="I62">
        <f t="shared" si="9"/>
        <v>37.5</v>
      </c>
      <c r="J62">
        <f t="shared" si="10"/>
        <v>81.52</v>
      </c>
      <c r="K62">
        <f t="shared" si="11"/>
        <v>14.673599999999999</v>
      </c>
      <c r="L62">
        <f t="shared" si="12"/>
        <v>131.13999999999999</v>
      </c>
      <c r="M62">
        <f t="shared" si="13"/>
        <v>62.5</v>
      </c>
    </row>
    <row r="63" spans="1:13" ht="15" customHeight="1" x14ac:dyDescent="0.3">
      <c r="A63" s="21" t="s">
        <v>253</v>
      </c>
      <c r="B63" s="22" t="s">
        <v>439</v>
      </c>
      <c r="C63" s="23"/>
      <c r="D63" s="24" t="s">
        <v>68</v>
      </c>
      <c r="E63" s="1" t="s">
        <v>67</v>
      </c>
      <c r="F63" s="20" t="s">
        <v>149</v>
      </c>
      <c r="G63">
        <f t="shared" si="7"/>
        <v>50</v>
      </c>
      <c r="H63">
        <f t="shared" si="8"/>
        <v>25</v>
      </c>
      <c r="I63">
        <f t="shared" si="9"/>
        <v>25</v>
      </c>
      <c r="J63">
        <f t="shared" si="10"/>
        <v>54.35</v>
      </c>
      <c r="K63">
        <f t="shared" si="11"/>
        <v>9.7829999999999995</v>
      </c>
      <c r="L63">
        <f t="shared" si="12"/>
        <v>87.43</v>
      </c>
      <c r="M63">
        <f t="shared" si="13"/>
        <v>41.67</v>
      </c>
    </row>
    <row r="64" spans="1:13" ht="15" customHeight="1" x14ac:dyDescent="0.3">
      <c r="A64" s="16" t="s">
        <v>253</v>
      </c>
      <c r="B64" s="17" t="s">
        <v>442</v>
      </c>
      <c r="C64" s="18"/>
      <c r="D64" s="19" t="s">
        <v>68</v>
      </c>
      <c r="E64" s="1" t="s">
        <v>67</v>
      </c>
      <c r="F64" s="20" t="s">
        <v>429</v>
      </c>
      <c r="G64">
        <f t="shared" si="7"/>
        <v>37.5</v>
      </c>
      <c r="H64">
        <f t="shared" si="8"/>
        <v>25</v>
      </c>
      <c r="I64">
        <f t="shared" si="9"/>
        <v>25</v>
      </c>
      <c r="J64">
        <f t="shared" si="10"/>
        <v>54.35</v>
      </c>
      <c r="K64">
        <f t="shared" si="11"/>
        <v>9.7829999999999995</v>
      </c>
      <c r="L64">
        <f t="shared" si="12"/>
        <v>60.25</v>
      </c>
      <c r="M64">
        <f t="shared" si="13"/>
        <v>41.67</v>
      </c>
    </row>
    <row r="65" spans="1:13" ht="15" customHeight="1" x14ac:dyDescent="0.3">
      <c r="A65" s="21" t="s">
        <v>253</v>
      </c>
      <c r="B65" s="22" t="s">
        <v>228</v>
      </c>
      <c r="C65" s="23"/>
      <c r="D65" s="24" t="s">
        <v>68</v>
      </c>
      <c r="E65" s="1" t="s">
        <v>67</v>
      </c>
      <c r="F65" s="20" t="s">
        <v>229</v>
      </c>
      <c r="G65">
        <f t="shared" si="7"/>
        <v>150</v>
      </c>
      <c r="H65">
        <f t="shared" si="8"/>
        <v>75</v>
      </c>
      <c r="I65">
        <f t="shared" si="9"/>
        <v>37.5</v>
      </c>
      <c r="J65">
        <f t="shared" si="10"/>
        <v>163.04</v>
      </c>
      <c r="K65">
        <f t="shared" si="11"/>
        <v>29.347199999999997</v>
      </c>
      <c r="L65">
        <f t="shared" si="12"/>
        <v>262.29000000000002</v>
      </c>
      <c r="M65">
        <f t="shared" si="13"/>
        <v>62.5</v>
      </c>
    </row>
    <row r="66" spans="1:13" ht="15" customHeight="1" x14ac:dyDescent="0.3">
      <c r="A66" s="16" t="s">
        <v>253</v>
      </c>
      <c r="B66" s="17" t="s">
        <v>365</v>
      </c>
      <c r="C66" s="18"/>
      <c r="D66" s="19" t="s">
        <v>68</v>
      </c>
      <c r="E66" s="1" t="s">
        <v>67</v>
      </c>
      <c r="F66" s="20" t="s">
        <v>366</v>
      </c>
      <c r="G66">
        <f t="shared" si="7"/>
        <v>93.75</v>
      </c>
      <c r="H66">
        <f t="shared" si="8"/>
        <v>93.75</v>
      </c>
      <c r="I66">
        <f t="shared" si="9"/>
        <v>93.75</v>
      </c>
      <c r="J66">
        <f t="shared" si="10"/>
        <v>203.8</v>
      </c>
      <c r="K66">
        <f t="shared" si="11"/>
        <v>36.683999999999997</v>
      </c>
      <c r="L66">
        <f t="shared" si="12"/>
        <v>124.06</v>
      </c>
      <c r="M66">
        <f t="shared" si="13"/>
        <v>156.25</v>
      </c>
    </row>
    <row r="67" spans="1:13" ht="15" customHeight="1" x14ac:dyDescent="0.3">
      <c r="A67" s="21" t="s">
        <v>253</v>
      </c>
      <c r="B67" s="22" t="s">
        <v>230</v>
      </c>
      <c r="C67" s="23"/>
      <c r="D67" s="24" t="s">
        <v>68</v>
      </c>
      <c r="E67" s="1" t="s">
        <v>67</v>
      </c>
      <c r="F67" s="20" t="s">
        <v>231</v>
      </c>
      <c r="G67">
        <f t="shared" si="7"/>
        <v>125</v>
      </c>
      <c r="H67">
        <f t="shared" si="8"/>
        <v>187.5</v>
      </c>
      <c r="I67">
        <f t="shared" si="9"/>
        <v>93.75</v>
      </c>
      <c r="J67">
        <f t="shared" si="10"/>
        <v>407.61</v>
      </c>
      <c r="K67">
        <f t="shared" si="11"/>
        <v>73.369799999999998</v>
      </c>
      <c r="L67">
        <f t="shared" si="12"/>
        <v>112.24</v>
      </c>
      <c r="M67">
        <f t="shared" si="13"/>
        <v>156.25</v>
      </c>
    </row>
    <row r="68" spans="1:13" ht="18" customHeight="1" x14ac:dyDescent="0.3">
      <c r="A68" s="25" t="s">
        <v>263</v>
      </c>
      <c r="B68" s="25"/>
      <c r="C68" s="25"/>
      <c r="G68" t="str">
        <f t="shared" si="7"/>
        <v/>
      </c>
      <c r="H68" t="str">
        <f t="shared" si="8"/>
        <v/>
      </c>
      <c r="I68" t="str">
        <f t="shared" si="9"/>
        <v/>
      </c>
      <c r="J68" t="str">
        <f t="shared" si="10"/>
        <v/>
      </c>
      <c r="K68" t="str">
        <f t="shared" si="11"/>
        <v/>
      </c>
      <c r="L68" t="str">
        <f t="shared" si="12"/>
        <v/>
      </c>
      <c r="M68" t="str">
        <f t="shared" si="13"/>
        <v/>
      </c>
    </row>
    <row r="69" spans="1:13" ht="15" customHeight="1" x14ac:dyDescent="0.3">
      <c r="A69" s="16" t="s">
        <v>264</v>
      </c>
      <c r="B69" s="17" t="s">
        <v>726</v>
      </c>
      <c r="C69" s="18"/>
      <c r="D69" s="19" t="s">
        <v>68</v>
      </c>
      <c r="E69" s="1" t="s">
        <v>67</v>
      </c>
      <c r="F69" s="20" t="s">
        <v>433</v>
      </c>
      <c r="G69">
        <f t="shared" si="7"/>
        <v>1250</v>
      </c>
      <c r="H69">
        <f t="shared" si="8"/>
        <v>1250</v>
      </c>
      <c r="I69">
        <f t="shared" si="9"/>
        <v>1875</v>
      </c>
      <c r="J69">
        <f t="shared" si="10"/>
        <v>2717.39</v>
      </c>
      <c r="K69">
        <f t="shared" si="11"/>
        <v>489.13019999999995</v>
      </c>
      <c r="L69">
        <f t="shared" si="12"/>
        <v>1654.06</v>
      </c>
      <c r="M69">
        <f t="shared" si="13"/>
        <v>3125</v>
      </c>
    </row>
    <row r="70" spans="1:13" ht="18" customHeight="1" x14ac:dyDescent="0.3">
      <c r="A70" s="25" t="s">
        <v>269</v>
      </c>
      <c r="B70" s="25"/>
      <c r="C70" s="25"/>
      <c r="G70" t="str">
        <f t="shared" si="7"/>
        <v/>
      </c>
      <c r="H70" t="str">
        <f t="shared" si="8"/>
        <v/>
      </c>
      <c r="I70" t="str">
        <f t="shared" si="9"/>
        <v/>
      </c>
      <c r="J70" t="str">
        <f t="shared" si="10"/>
        <v/>
      </c>
      <c r="K70" t="str">
        <f t="shared" si="11"/>
        <v/>
      </c>
      <c r="L70" t="str">
        <f t="shared" si="12"/>
        <v/>
      </c>
      <c r="M70" t="str">
        <f t="shared" si="13"/>
        <v/>
      </c>
    </row>
    <row r="71" spans="1:13" ht="15" customHeight="1" x14ac:dyDescent="0.3">
      <c r="A71" s="21" t="s">
        <v>270</v>
      </c>
      <c r="B71" s="22" t="s">
        <v>271</v>
      </c>
      <c r="C71" s="23"/>
      <c r="D71" s="24" t="s">
        <v>68</v>
      </c>
      <c r="E71" s="1" t="s">
        <v>67</v>
      </c>
      <c r="F71" s="20" t="s">
        <v>241</v>
      </c>
      <c r="G71">
        <f t="shared" si="7"/>
        <v>7.5</v>
      </c>
      <c r="H71">
        <f t="shared" si="8"/>
        <v>15</v>
      </c>
      <c r="I71">
        <f t="shared" si="9"/>
        <v>15</v>
      </c>
      <c r="J71">
        <f t="shared" si="10"/>
        <v>32.61</v>
      </c>
      <c r="K71">
        <f t="shared" si="11"/>
        <v>5.8697999999999997</v>
      </c>
      <c r="L71">
        <f t="shared" si="12"/>
        <v>3.54</v>
      </c>
      <c r="M71">
        <f t="shared" si="13"/>
        <v>25</v>
      </c>
    </row>
    <row r="72" spans="1:13" ht="15" customHeight="1" x14ac:dyDescent="0.3">
      <c r="A72" s="16" t="s">
        <v>270</v>
      </c>
      <c r="B72" s="17" t="s">
        <v>272</v>
      </c>
      <c r="C72" s="18"/>
      <c r="D72" s="19" t="s">
        <v>68</v>
      </c>
      <c r="E72" s="1" t="s">
        <v>67</v>
      </c>
      <c r="F72" s="20" t="s">
        <v>273</v>
      </c>
      <c r="G72">
        <f t="shared" si="7"/>
        <v>112.5</v>
      </c>
      <c r="H72">
        <f t="shared" si="8"/>
        <v>112.5</v>
      </c>
      <c r="I72">
        <f t="shared" si="9"/>
        <v>93.75</v>
      </c>
      <c r="J72">
        <f t="shared" si="10"/>
        <v>244.57</v>
      </c>
      <c r="K72">
        <f t="shared" si="11"/>
        <v>44.022599999999997</v>
      </c>
      <c r="L72">
        <f t="shared" si="12"/>
        <v>148.86000000000001</v>
      </c>
      <c r="M72">
        <f t="shared" si="13"/>
        <v>156.25</v>
      </c>
    </row>
    <row r="73" spans="1:13" ht="15" customHeight="1" x14ac:dyDescent="0.3">
      <c r="A73" s="21" t="s">
        <v>270</v>
      </c>
      <c r="B73" s="22" t="s">
        <v>278</v>
      </c>
      <c r="C73" s="23"/>
      <c r="D73" s="24" t="s">
        <v>68</v>
      </c>
      <c r="E73" s="1" t="s">
        <v>67</v>
      </c>
      <c r="F73" s="20" t="s">
        <v>279</v>
      </c>
      <c r="G73">
        <f t="shared" si="7"/>
        <v>250</v>
      </c>
      <c r="H73">
        <f t="shared" si="8"/>
        <v>250</v>
      </c>
      <c r="I73">
        <f t="shared" si="9"/>
        <v>250</v>
      </c>
      <c r="J73">
        <f t="shared" si="10"/>
        <v>543.48</v>
      </c>
      <c r="K73">
        <f t="shared" si="11"/>
        <v>97.826400000000007</v>
      </c>
      <c r="L73">
        <f t="shared" si="12"/>
        <v>330.81</v>
      </c>
      <c r="M73">
        <f t="shared" si="13"/>
        <v>416.67</v>
      </c>
    </row>
    <row r="74" spans="1:13" ht="15" customHeight="1" x14ac:dyDescent="0.3">
      <c r="A74" s="16" t="s">
        <v>270</v>
      </c>
      <c r="B74" s="17" t="s">
        <v>276</v>
      </c>
      <c r="C74" s="18"/>
      <c r="D74" s="19" t="s">
        <v>68</v>
      </c>
      <c r="E74" s="1" t="s">
        <v>67</v>
      </c>
      <c r="F74" s="20" t="s">
        <v>277</v>
      </c>
      <c r="G74">
        <f t="shared" si="7"/>
        <v>156.25</v>
      </c>
      <c r="H74">
        <f t="shared" si="8"/>
        <v>150</v>
      </c>
      <c r="I74">
        <f t="shared" si="9"/>
        <v>31.25</v>
      </c>
      <c r="J74">
        <f t="shared" si="10"/>
        <v>326.08999999999997</v>
      </c>
      <c r="K74">
        <f t="shared" si="11"/>
        <v>58.69619999999999</v>
      </c>
      <c r="L74">
        <f t="shared" si="12"/>
        <v>212.07</v>
      </c>
      <c r="M74">
        <f t="shared" si="13"/>
        <v>52.08</v>
      </c>
    </row>
  </sheetData>
  <mergeCells count="13">
    <mergeCell ref="A1:C1"/>
    <mergeCell ref="A2:C2"/>
    <mergeCell ref="A3:C3"/>
    <mergeCell ref="A4:C4"/>
    <mergeCell ref="A7:C7"/>
    <mergeCell ref="A57:C57"/>
    <mergeCell ref="A68:C68"/>
    <mergeCell ref="A70:C70"/>
    <mergeCell ref="A14:C14"/>
    <mergeCell ref="A22:C22"/>
    <mergeCell ref="A30:C30"/>
    <mergeCell ref="A35:C35"/>
    <mergeCell ref="A44:C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CEDC8"/>
  </sheetPr>
  <dimension ref="A1:M72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727</v>
      </c>
      <c r="B1" s="26"/>
      <c r="C1" s="26"/>
    </row>
    <row r="2" spans="1:13" ht="19.5" customHeight="1" x14ac:dyDescent="0.3">
      <c r="A2" s="27" t="s">
        <v>728</v>
      </c>
      <c r="B2" s="27"/>
      <c r="C2" s="27"/>
    </row>
    <row r="3" spans="1:13" ht="19.5" customHeight="1" x14ac:dyDescent="0.3">
      <c r="A3" s="27" t="s">
        <v>729</v>
      </c>
      <c r="B3" s="27"/>
      <c r="C3" s="27"/>
    </row>
    <row r="4" spans="1:13" ht="19.5" customHeight="1" x14ac:dyDescent="0.3">
      <c r="A4" s="27" t="s">
        <v>730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112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112</v>
      </c>
      <c r="E9" s="1" t="s">
        <v>43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372</v>
      </c>
      <c r="C10" s="18"/>
      <c r="D10" s="19" t="s">
        <v>112</v>
      </c>
      <c r="E10" s="1" t="s">
        <v>43</v>
      </c>
      <c r="F10" s="20" t="s">
        <v>291</v>
      </c>
      <c r="G10">
        <f t="shared" si="0"/>
        <v>150</v>
      </c>
      <c r="H10">
        <f t="shared" si="1"/>
        <v>75</v>
      </c>
      <c r="I10">
        <f t="shared" si="2"/>
        <v>50</v>
      </c>
      <c r="J10">
        <f t="shared" si="3"/>
        <v>163.04</v>
      </c>
      <c r="K10">
        <f t="shared" si="4"/>
        <v>29.347199999999997</v>
      </c>
      <c r="L10">
        <f t="shared" si="5"/>
        <v>262.29000000000002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112</v>
      </c>
      <c r="E11" s="1" t="s">
        <v>43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287</v>
      </c>
      <c r="C12" s="18"/>
      <c r="D12" s="19" t="s">
        <v>112</v>
      </c>
      <c r="E12" s="1" t="s">
        <v>43</v>
      </c>
      <c r="F12" s="20" t="s">
        <v>288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636</v>
      </c>
      <c r="C13" s="23"/>
      <c r="D13" s="24" t="s">
        <v>112</v>
      </c>
      <c r="E13" s="1" t="s">
        <v>43</v>
      </c>
      <c r="F13" s="20" t="s">
        <v>153</v>
      </c>
      <c r="G13">
        <f t="shared" si="0"/>
        <v>25</v>
      </c>
      <c r="H13">
        <f t="shared" si="1"/>
        <v>25</v>
      </c>
      <c r="I13">
        <f t="shared" si="2"/>
        <v>12.5</v>
      </c>
      <c r="J13">
        <f t="shared" si="3"/>
        <v>54.35</v>
      </c>
      <c r="K13">
        <f t="shared" si="4"/>
        <v>9.7829999999999995</v>
      </c>
      <c r="L13">
        <f t="shared" si="5"/>
        <v>33.08</v>
      </c>
      <c r="M13">
        <f t="shared" si="6"/>
        <v>20.83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176</v>
      </c>
      <c r="C15" s="18"/>
      <c r="D15" s="19" t="s">
        <v>112</v>
      </c>
      <c r="E15" s="1" t="s">
        <v>43</v>
      </c>
      <c r="F15" s="20" t="s">
        <v>177</v>
      </c>
      <c r="G15">
        <f t="shared" si="0"/>
        <v>25</v>
      </c>
      <c r="H15">
        <f t="shared" si="1"/>
        <v>75</v>
      </c>
      <c r="I15">
        <f t="shared" si="2"/>
        <v>50</v>
      </c>
      <c r="J15">
        <f t="shared" si="3"/>
        <v>163.04</v>
      </c>
      <c r="K15">
        <f t="shared" si="4"/>
        <v>29.347199999999997</v>
      </c>
      <c r="L15">
        <f t="shared" si="5"/>
        <v>-9.4499999999999993</v>
      </c>
      <c r="M15">
        <f t="shared" si="6"/>
        <v>83.33</v>
      </c>
    </row>
    <row r="16" spans="1:13" ht="15" customHeight="1" x14ac:dyDescent="0.3">
      <c r="A16" s="21" t="s">
        <v>156</v>
      </c>
      <c r="B16" s="22" t="s">
        <v>501</v>
      </c>
      <c r="C16" s="23"/>
      <c r="D16" s="24" t="s">
        <v>112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165</v>
      </c>
      <c r="C17" s="18"/>
      <c r="D17" s="19" t="s">
        <v>112</v>
      </c>
      <c r="E17" s="1" t="s">
        <v>43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163</v>
      </c>
      <c r="C18" s="23"/>
      <c r="D18" s="24" t="s">
        <v>112</v>
      </c>
      <c r="E18" s="1" t="s">
        <v>43</v>
      </c>
      <c r="F18" s="20" t="s">
        <v>164</v>
      </c>
      <c r="G18">
        <f t="shared" si="0"/>
        <v>12.5</v>
      </c>
      <c r="H18">
        <f t="shared" si="1"/>
        <v>25</v>
      </c>
      <c r="I18">
        <f t="shared" si="2"/>
        <v>12.5</v>
      </c>
      <c r="J18">
        <f t="shared" si="3"/>
        <v>54.35</v>
      </c>
      <c r="K18">
        <f t="shared" si="4"/>
        <v>9.7829999999999995</v>
      </c>
      <c r="L18">
        <f t="shared" si="5"/>
        <v>5.91</v>
      </c>
      <c r="M18">
        <f t="shared" si="6"/>
        <v>20.83</v>
      </c>
    </row>
    <row r="19" spans="1:13" ht="15" customHeight="1" x14ac:dyDescent="0.3">
      <c r="A19" s="16" t="s">
        <v>156</v>
      </c>
      <c r="B19" s="17" t="s">
        <v>327</v>
      </c>
      <c r="C19" s="18"/>
      <c r="D19" s="19" t="s">
        <v>112</v>
      </c>
      <c r="E19" s="1" t="s">
        <v>43</v>
      </c>
      <c r="F19" s="20" t="s">
        <v>328</v>
      </c>
      <c r="G19">
        <f t="shared" si="0"/>
        <v>150</v>
      </c>
      <c r="H19">
        <f t="shared" si="1"/>
        <v>100</v>
      </c>
      <c r="I19">
        <f t="shared" si="2"/>
        <v>87.5</v>
      </c>
      <c r="J19">
        <f t="shared" si="3"/>
        <v>217.39</v>
      </c>
      <c r="K19">
        <f t="shared" si="4"/>
        <v>39.130199999999995</v>
      </c>
      <c r="L19">
        <f t="shared" si="5"/>
        <v>241.02</v>
      </c>
      <c r="M19">
        <f t="shared" si="6"/>
        <v>145.83000000000001</v>
      </c>
    </row>
    <row r="20" spans="1:13" ht="15" customHeight="1" x14ac:dyDescent="0.3">
      <c r="A20" s="21" t="s">
        <v>156</v>
      </c>
      <c r="B20" s="22" t="s">
        <v>292</v>
      </c>
      <c r="C20" s="23"/>
      <c r="D20" s="24" t="s">
        <v>112</v>
      </c>
      <c r="E20" s="1" t="s">
        <v>43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8" customHeight="1" x14ac:dyDescent="0.3">
      <c r="A21" s="25" t="s">
        <v>167</v>
      </c>
      <c r="B21" s="25"/>
      <c r="C21" s="25"/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  <c r="L21" t="str">
        <f t="shared" si="5"/>
        <v/>
      </c>
      <c r="M21" t="str">
        <f t="shared" si="6"/>
        <v/>
      </c>
    </row>
    <row r="22" spans="1:13" ht="15" customHeight="1" x14ac:dyDescent="0.3">
      <c r="A22" s="16" t="s">
        <v>168</v>
      </c>
      <c r="B22" s="17" t="s">
        <v>175</v>
      </c>
      <c r="C22" s="18"/>
      <c r="D22" s="19" t="s">
        <v>112</v>
      </c>
      <c r="E22" s="1" t="s">
        <v>43</v>
      </c>
      <c r="F22" s="20" t="s">
        <v>147</v>
      </c>
      <c r="G22">
        <f t="shared" si="0"/>
        <v>100</v>
      </c>
      <c r="H22">
        <f t="shared" si="1"/>
        <v>50</v>
      </c>
      <c r="I22">
        <f t="shared" si="2"/>
        <v>50</v>
      </c>
      <c r="J22">
        <f t="shared" si="3"/>
        <v>108.7</v>
      </c>
      <c r="K22">
        <f t="shared" si="4"/>
        <v>19.565999999999999</v>
      </c>
      <c r="L22">
        <f t="shared" si="5"/>
        <v>174.86</v>
      </c>
      <c r="M22">
        <f t="shared" si="6"/>
        <v>83.33</v>
      </c>
    </row>
    <row r="23" spans="1:13" ht="15" customHeight="1" x14ac:dyDescent="0.3">
      <c r="A23" s="21" t="s">
        <v>168</v>
      </c>
      <c r="B23" s="22" t="s">
        <v>294</v>
      </c>
      <c r="C23" s="23"/>
      <c r="D23" s="24" t="s">
        <v>112</v>
      </c>
      <c r="E23" s="1" t="s">
        <v>43</v>
      </c>
      <c r="F23" s="20" t="s">
        <v>149</v>
      </c>
      <c r="G23">
        <f t="shared" si="0"/>
        <v>50</v>
      </c>
      <c r="H23">
        <f t="shared" si="1"/>
        <v>25</v>
      </c>
      <c r="I23">
        <f t="shared" si="2"/>
        <v>25</v>
      </c>
      <c r="J23">
        <f t="shared" si="3"/>
        <v>54.35</v>
      </c>
      <c r="K23">
        <f t="shared" si="4"/>
        <v>9.7829999999999995</v>
      </c>
      <c r="L23">
        <f t="shared" si="5"/>
        <v>87.43</v>
      </c>
      <c r="M23">
        <f t="shared" si="6"/>
        <v>41.67</v>
      </c>
    </row>
    <row r="24" spans="1:13" ht="15" customHeight="1" x14ac:dyDescent="0.3">
      <c r="A24" s="16" t="s">
        <v>168</v>
      </c>
      <c r="B24" s="17" t="s">
        <v>295</v>
      </c>
      <c r="C24" s="18"/>
      <c r="D24" s="19" t="s">
        <v>112</v>
      </c>
      <c r="E24" s="1" t="s">
        <v>43</v>
      </c>
      <c r="F24" s="20" t="s">
        <v>149</v>
      </c>
      <c r="G24">
        <f t="shared" si="0"/>
        <v>50</v>
      </c>
      <c r="H24">
        <f t="shared" si="1"/>
        <v>25</v>
      </c>
      <c r="I24">
        <f t="shared" si="2"/>
        <v>25</v>
      </c>
      <c r="J24">
        <f t="shared" si="3"/>
        <v>54.35</v>
      </c>
      <c r="K24">
        <f t="shared" si="4"/>
        <v>9.7829999999999995</v>
      </c>
      <c r="L24">
        <f t="shared" si="5"/>
        <v>87.43</v>
      </c>
      <c r="M24">
        <f t="shared" si="6"/>
        <v>41.67</v>
      </c>
    </row>
    <row r="25" spans="1:13" ht="18" customHeight="1" x14ac:dyDescent="0.3">
      <c r="A25" s="25" t="s">
        <v>180</v>
      </c>
      <c r="B25" s="25"/>
      <c r="C25" s="25"/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5"/>
        <v/>
      </c>
      <c r="M25" t="str">
        <f t="shared" si="6"/>
        <v/>
      </c>
    </row>
    <row r="26" spans="1:13" ht="15" customHeight="1" x14ac:dyDescent="0.3">
      <c r="A26" s="21" t="s">
        <v>181</v>
      </c>
      <c r="B26" s="22" t="s">
        <v>731</v>
      </c>
      <c r="C26" s="23"/>
      <c r="D26" s="24" t="s">
        <v>112</v>
      </c>
      <c r="E26" s="1" t="s">
        <v>43</v>
      </c>
      <c r="F26" s="20" t="s">
        <v>338</v>
      </c>
      <c r="G26">
        <f t="shared" si="0"/>
        <v>93.75</v>
      </c>
      <c r="H26">
        <f t="shared" si="1"/>
        <v>93.75</v>
      </c>
      <c r="I26">
        <f t="shared" si="2"/>
        <v>187.5</v>
      </c>
      <c r="J26">
        <f t="shared" si="3"/>
        <v>203.8</v>
      </c>
      <c r="K26">
        <f t="shared" si="4"/>
        <v>36.683999999999997</v>
      </c>
      <c r="L26">
        <f t="shared" si="5"/>
        <v>124.06</v>
      </c>
      <c r="M26">
        <f t="shared" si="6"/>
        <v>312.5</v>
      </c>
    </row>
    <row r="27" spans="1:13" ht="15" customHeight="1" x14ac:dyDescent="0.3">
      <c r="A27" s="16" t="s">
        <v>181</v>
      </c>
      <c r="B27" s="17" t="s">
        <v>323</v>
      </c>
      <c r="C27" s="18"/>
      <c r="D27" s="19" t="s">
        <v>112</v>
      </c>
      <c r="E27" s="1" t="s">
        <v>43</v>
      </c>
      <c r="F27" s="20" t="s">
        <v>324</v>
      </c>
      <c r="G27">
        <f t="shared" si="0"/>
        <v>93.75</v>
      </c>
      <c r="H27">
        <f t="shared" si="1"/>
        <v>62.5</v>
      </c>
      <c r="I27">
        <f t="shared" si="2"/>
        <v>62.5</v>
      </c>
      <c r="J27">
        <f t="shared" si="3"/>
        <v>135.87</v>
      </c>
      <c r="K27">
        <f t="shared" si="4"/>
        <v>24.456600000000002</v>
      </c>
      <c r="L27">
        <f t="shared" si="5"/>
        <v>150.63999999999999</v>
      </c>
      <c r="M27">
        <f t="shared" si="6"/>
        <v>104.17</v>
      </c>
    </row>
    <row r="28" spans="1:13" ht="15" customHeight="1" x14ac:dyDescent="0.3">
      <c r="A28" s="21" t="s">
        <v>181</v>
      </c>
      <c r="B28" s="22" t="s">
        <v>255</v>
      </c>
      <c r="C28" s="23"/>
      <c r="D28" s="24" t="s">
        <v>112</v>
      </c>
      <c r="E28" s="1" t="s">
        <v>43</v>
      </c>
      <c r="F28" s="20" t="s">
        <v>256</v>
      </c>
      <c r="G28">
        <f t="shared" si="0"/>
        <v>31.25</v>
      </c>
      <c r="H28">
        <f t="shared" si="1"/>
        <v>75</v>
      </c>
      <c r="I28">
        <f t="shared" si="2"/>
        <v>22.5</v>
      </c>
      <c r="J28">
        <f t="shared" si="3"/>
        <v>163.04</v>
      </c>
      <c r="K28">
        <f t="shared" si="4"/>
        <v>29.347199999999997</v>
      </c>
      <c r="L28">
        <f t="shared" si="5"/>
        <v>4.1399999999999997</v>
      </c>
      <c r="M28">
        <f t="shared" si="6"/>
        <v>37.5</v>
      </c>
    </row>
    <row r="29" spans="1:13" ht="18" customHeight="1" x14ac:dyDescent="0.3">
      <c r="A29" s="25" t="s">
        <v>187</v>
      </c>
      <c r="B29" s="25"/>
      <c r="C29" s="25"/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5"/>
        <v/>
      </c>
      <c r="M29" t="str">
        <f t="shared" si="6"/>
        <v/>
      </c>
    </row>
    <row r="30" spans="1:13" ht="15" customHeight="1" x14ac:dyDescent="0.3">
      <c r="A30" s="16" t="s">
        <v>188</v>
      </c>
      <c r="B30" s="17" t="s">
        <v>299</v>
      </c>
      <c r="C30" s="18"/>
      <c r="D30" s="19" t="s">
        <v>112</v>
      </c>
      <c r="E30" s="1" t="s">
        <v>43</v>
      </c>
      <c r="F30" s="20" t="s">
        <v>300</v>
      </c>
      <c r="G30">
        <f t="shared" si="0"/>
        <v>750</v>
      </c>
      <c r="H30">
        <f t="shared" si="1"/>
        <v>250</v>
      </c>
      <c r="I30">
        <f t="shared" si="2"/>
        <v>500</v>
      </c>
      <c r="J30">
        <f t="shared" si="3"/>
        <v>543.48</v>
      </c>
      <c r="K30">
        <f t="shared" si="4"/>
        <v>97.826400000000007</v>
      </c>
      <c r="L30">
        <f t="shared" si="5"/>
        <v>1417.77</v>
      </c>
      <c r="M30">
        <f t="shared" si="6"/>
        <v>833.33</v>
      </c>
    </row>
    <row r="31" spans="1:13" ht="15" customHeight="1" x14ac:dyDescent="0.3">
      <c r="A31" s="21" t="s">
        <v>188</v>
      </c>
      <c r="B31" s="22" t="s">
        <v>301</v>
      </c>
      <c r="C31" s="23"/>
      <c r="D31" s="24" t="s">
        <v>112</v>
      </c>
      <c r="E31" s="1" t="s">
        <v>43</v>
      </c>
      <c r="F31" s="20" t="s">
        <v>302</v>
      </c>
      <c r="G31">
        <f t="shared" si="0"/>
        <v>625</v>
      </c>
      <c r="H31">
        <f t="shared" si="1"/>
        <v>1250</v>
      </c>
      <c r="I31">
        <f t="shared" si="2"/>
        <v>1250</v>
      </c>
      <c r="J31">
        <f t="shared" si="3"/>
        <v>2717.39</v>
      </c>
      <c r="K31">
        <f t="shared" si="4"/>
        <v>489.13019999999995</v>
      </c>
      <c r="L31">
        <f t="shared" si="5"/>
        <v>295.37</v>
      </c>
      <c r="M31">
        <f t="shared" si="6"/>
        <v>2083.33</v>
      </c>
    </row>
    <row r="32" spans="1:13" ht="15" customHeight="1" x14ac:dyDescent="0.3">
      <c r="A32" s="16" t="s">
        <v>188</v>
      </c>
      <c r="B32" s="17" t="s">
        <v>309</v>
      </c>
      <c r="C32" s="18"/>
      <c r="D32" s="19" t="s">
        <v>112</v>
      </c>
      <c r="E32" s="1" t="s">
        <v>43</v>
      </c>
      <c r="F32" s="20" t="s">
        <v>302</v>
      </c>
      <c r="G32">
        <f t="shared" si="0"/>
        <v>625</v>
      </c>
      <c r="H32">
        <f t="shared" si="1"/>
        <v>1250</v>
      </c>
      <c r="I32">
        <f t="shared" si="2"/>
        <v>1250</v>
      </c>
      <c r="J32">
        <f t="shared" si="3"/>
        <v>2717.39</v>
      </c>
      <c r="K32">
        <f t="shared" si="4"/>
        <v>489.13019999999995</v>
      </c>
      <c r="L32">
        <f t="shared" si="5"/>
        <v>295.37</v>
      </c>
      <c r="M32">
        <f t="shared" si="6"/>
        <v>2083.33</v>
      </c>
    </row>
    <row r="33" spans="1:13" ht="15" customHeight="1" x14ac:dyDescent="0.3">
      <c r="A33" s="21" t="s">
        <v>188</v>
      </c>
      <c r="B33" s="22" t="s">
        <v>307</v>
      </c>
      <c r="C33" s="23"/>
      <c r="D33" s="24" t="s">
        <v>112</v>
      </c>
      <c r="E33" s="1" t="s">
        <v>43</v>
      </c>
      <c r="F33" s="20" t="s">
        <v>302</v>
      </c>
      <c r="G33">
        <f t="shared" si="0"/>
        <v>625</v>
      </c>
      <c r="H33">
        <f t="shared" si="1"/>
        <v>1250</v>
      </c>
      <c r="I33">
        <f t="shared" si="2"/>
        <v>1250</v>
      </c>
      <c r="J33">
        <f t="shared" si="3"/>
        <v>2717.39</v>
      </c>
      <c r="K33">
        <f t="shared" si="4"/>
        <v>489.13019999999995</v>
      </c>
      <c r="L33">
        <f t="shared" si="5"/>
        <v>295.37</v>
      </c>
      <c r="M33">
        <f t="shared" si="6"/>
        <v>2083.33</v>
      </c>
    </row>
    <row r="34" spans="1:13" ht="15" customHeight="1" x14ac:dyDescent="0.3">
      <c r="A34" s="16" t="s">
        <v>188</v>
      </c>
      <c r="B34" s="17" t="s">
        <v>308</v>
      </c>
      <c r="C34" s="18"/>
      <c r="D34" s="19" t="s">
        <v>112</v>
      </c>
      <c r="E34" s="1" t="s">
        <v>43</v>
      </c>
      <c r="F34" s="20" t="s">
        <v>302</v>
      </c>
      <c r="G34">
        <f t="shared" si="0"/>
        <v>625</v>
      </c>
      <c r="H34">
        <f t="shared" si="1"/>
        <v>1250</v>
      </c>
      <c r="I34">
        <f t="shared" si="2"/>
        <v>1250</v>
      </c>
      <c r="J34">
        <f t="shared" si="3"/>
        <v>2717.39</v>
      </c>
      <c r="K34">
        <f t="shared" si="4"/>
        <v>489.13019999999995</v>
      </c>
      <c r="L34">
        <f t="shared" si="5"/>
        <v>295.37</v>
      </c>
      <c r="M34">
        <f t="shared" si="6"/>
        <v>2083.33</v>
      </c>
    </row>
    <row r="35" spans="1:13" ht="15" customHeight="1" x14ac:dyDescent="0.3">
      <c r="A35" s="21" t="s">
        <v>188</v>
      </c>
      <c r="B35" s="22" t="s">
        <v>310</v>
      </c>
      <c r="C35" s="23"/>
      <c r="D35" s="24" t="s">
        <v>112</v>
      </c>
      <c r="E35" s="1" t="s">
        <v>43</v>
      </c>
      <c r="F35" s="20" t="s">
        <v>311</v>
      </c>
      <c r="G35">
        <f t="shared" si="0"/>
        <v>125</v>
      </c>
      <c r="H35">
        <f t="shared" si="1"/>
        <v>50</v>
      </c>
      <c r="I35">
        <f t="shared" si="2"/>
        <v>500</v>
      </c>
      <c r="J35">
        <f t="shared" si="3"/>
        <v>108.7</v>
      </c>
      <c r="K35">
        <f t="shared" si="4"/>
        <v>19.565999999999999</v>
      </c>
      <c r="L35">
        <f t="shared" si="5"/>
        <v>229.2</v>
      </c>
      <c r="M35">
        <f t="shared" si="6"/>
        <v>833.33</v>
      </c>
    </row>
    <row r="36" spans="1:13" ht="15" customHeight="1" x14ac:dyDescent="0.3">
      <c r="A36" s="16" t="s">
        <v>188</v>
      </c>
      <c r="B36" s="17" t="s">
        <v>191</v>
      </c>
      <c r="C36" s="18"/>
      <c r="D36" s="19" t="s">
        <v>112</v>
      </c>
      <c r="E36" s="1" t="s">
        <v>43</v>
      </c>
      <c r="F36" s="20" t="s">
        <v>192</v>
      </c>
      <c r="G36">
        <f t="shared" si="0"/>
        <v>137.5</v>
      </c>
      <c r="H36">
        <f t="shared" si="1"/>
        <v>43.75</v>
      </c>
      <c r="I36">
        <f t="shared" si="2"/>
        <v>412.5</v>
      </c>
      <c r="J36">
        <f t="shared" si="3"/>
        <v>95.11</v>
      </c>
      <c r="K36">
        <f t="shared" si="4"/>
        <v>17.119799999999998</v>
      </c>
      <c r="L36">
        <f t="shared" si="5"/>
        <v>261.7</v>
      </c>
      <c r="M36">
        <f t="shared" si="6"/>
        <v>687.5</v>
      </c>
    </row>
    <row r="37" spans="1:13" ht="15" customHeight="1" x14ac:dyDescent="0.3">
      <c r="A37" s="21" t="s">
        <v>188</v>
      </c>
      <c r="B37" s="22" t="s">
        <v>193</v>
      </c>
      <c r="C37" s="23"/>
      <c r="D37" s="24" t="s">
        <v>112</v>
      </c>
      <c r="E37" s="1" t="s">
        <v>43</v>
      </c>
      <c r="F37" s="20" t="s">
        <v>194</v>
      </c>
      <c r="G37">
        <f t="shared" si="0"/>
        <v>125</v>
      </c>
      <c r="H37">
        <f t="shared" si="1"/>
        <v>125</v>
      </c>
      <c r="I37">
        <f t="shared" si="2"/>
        <v>125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208.33</v>
      </c>
    </row>
    <row r="38" spans="1:13" ht="15" customHeight="1" x14ac:dyDescent="0.3">
      <c r="A38" s="16" t="s">
        <v>188</v>
      </c>
      <c r="B38" s="17" t="s">
        <v>303</v>
      </c>
      <c r="C38" s="18"/>
      <c r="D38" s="19" t="s">
        <v>112</v>
      </c>
      <c r="E38" s="1" t="s">
        <v>43</v>
      </c>
      <c r="F38" s="20" t="s">
        <v>304</v>
      </c>
      <c r="G38">
        <f t="shared" si="0"/>
        <v>1093.75</v>
      </c>
      <c r="H38">
        <f t="shared" si="1"/>
        <v>687.5</v>
      </c>
      <c r="I38">
        <f t="shared" si="2"/>
        <v>1062.5</v>
      </c>
      <c r="J38">
        <f t="shared" si="3"/>
        <v>1494.57</v>
      </c>
      <c r="K38">
        <f t="shared" si="4"/>
        <v>269.02259999999995</v>
      </c>
      <c r="L38">
        <f t="shared" si="5"/>
        <v>1792.89</v>
      </c>
      <c r="M38">
        <f t="shared" si="6"/>
        <v>1770.83</v>
      </c>
    </row>
    <row r="39" spans="1:13" ht="15" customHeight="1" x14ac:dyDescent="0.3">
      <c r="A39" s="21" t="s">
        <v>188</v>
      </c>
      <c r="B39" s="22" t="s">
        <v>482</v>
      </c>
      <c r="C39" s="23"/>
      <c r="D39" s="24" t="s">
        <v>112</v>
      </c>
      <c r="E39" s="1" t="s">
        <v>43</v>
      </c>
      <c r="F39" s="20" t="s">
        <v>483</v>
      </c>
      <c r="G39">
        <f t="shared" ref="G39:G72" si="7">IF($F39="","",IFERROR(VALUE(TRIM(LEFT($F39,FIND(":",$F39)-1)))*1.25,"N/A"))</f>
        <v>10</v>
      </c>
      <c r="H39">
        <f t="shared" ref="H39:H72" si="8">IF($F39="","",IFERROR(VALUE(TRIM(MID($F39,FIND(":",$F39)+1,FIND(":",$F39,FIND(":",$F39)+1)-FIND(":",$F39)-1)))*1.25,"N/A"))</f>
        <v>10</v>
      </c>
      <c r="I39">
        <f t="shared" ref="I39:I72" si="9">IF($F39="","",IFERROR(VALUE(TRIM(LEFT(MID($F39,FIND(":",$F39,FIND(":",$F39)+1)+1,LEN($F39)),FIND(" ",MID($F39,FIND(":",$F39,FIND(":",$F39)+1)+1,LEN($F39))&amp;" ")-1)))*1.25,"N/A"))</f>
        <v>10</v>
      </c>
      <c r="J39">
        <f t="shared" ref="J39:J72" si="10">IF(OR($F39="",$H39="N/A"),IF($F39="","","N/A"),ROUND($H39/0.46,2))</f>
        <v>21.74</v>
      </c>
      <c r="K39">
        <f t="shared" ref="K39:K72" si="11">IF(OR($F39="",$J39="N/A"),IF($F39="","","N/A"),$J39*0.18)</f>
        <v>3.9131999999999998</v>
      </c>
      <c r="L39">
        <f t="shared" ref="L39:L72" si="12">IF(OR($F39="",$G39="N/A",$K39="N/A"),IF($F39="","","N/A"),ROUND(($G39-$K39)/0.46,2))</f>
        <v>13.23</v>
      </c>
      <c r="M39">
        <f t="shared" ref="M39:M72" si="13">IF(OR($F39="",$I39="N/A"),IF($F39="","","N/A"),ROUND($I39/0.6,2))</f>
        <v>16.670000000000002</v>
      </c>
    </row>
    <row r="40" spans="1:13" ht="15" customHeight="1" x14ac:dyDescent="0.3">
      <c r="A40" s="16" t="s">
        <v>188</v>
      </c>
      <c r="B40" s="17" t="s">
        <v>313</v>
      </c>
      <c r="C40" s="18"/>
      <c r="D40" s="19" t="s">
        <v>112</v>
      </c>
      <c r="E40" s="1" t="s">
        <v>43</v>
      </c>
      <c r="F40" s="20" t="s">
        <v>217</v>
      </c>
      <c r="G40">
        <f t="shared" si="7"/>
        <v>2.5</v>
      </c>
      <c r="H40">
        <f t="shared" si="8"/>
        <v>1.25</v>
      </c>
      <c r="I40">
        <f t="shared" si="9"/>
        <v>2.5</v>
      </c>
      <c r="J40">
        <f t="shared" si="10"/>
        <v>2.72</v>
      </c>
      <c r="K40">
        <f t="shared" si="11"/>
        <v>0.48960000000000004</v>
      </c>
      <c r="L40">
        <f t="shared" si="12"/>
        <v>4.37</v>
      </c>
      <c r="M40">
        <f t="shared" si="13"/>
        <v>4.17</v>
      </c>
    </row>
    <row r="41" spans="1:13" ht="15" customHeight="1" x14ac:dyDescent="0.3">
      <c r="A41" s="21" t="s">
        <v>188</v>
      </c>
      <c r="B41" s="22" t="s">
        <v>314</v>
      </c>
      <c r="C41" s="23"/>
      <c r="D41" s="24" t="s">
        <v>112</v>
      </c>
      <c r="E41" s="1" t="s">
        <v>43</v>
      </c>
      <c r="F41" s="20" t="s">
        <v>315</v>
      </c>
      <c r="G41">
        <f t="shared" si="7"/>
        <v>25</v>
      </c>
      <c r="H41">
        <f t="shared" si="8"/>
        <v>25</v>
      </c>
      <c r="I41">
        <f t="shared" si="9"/>
        <v>18.75</v>
      </c>
      <c r="J41">
        <f t="shared" si="10"/>
        <v>54.35</v>
      </c>
      <c r="K41">
        <f t="shared" si="11"/>
        <v>9.7829999999999995</v>
      </c>
      <c r="L41">
        <f t="shared" si="12"/>
        <v>33.08</v>
      </c>
      <c r="M41">
        <f t="shared" si="13"/>
        <v>31.25</v>
      </c>
    </row>
    <row r="42" spans="1:13" ht="15" customHeight="1" x14ac:dyDescent="0.3">
      <c r="A42" s="16" t="s">
        <v>188</v>
      </c>
      <c r="B42" s="17" t="s">
        <v>624</v>
      </c>
      <c r="C42" s="18"/>
      <c r="D42" s="19" t="s">
        <v>112</v>
      </c>
      <c r="E42" s="1" t="s">
        <v>43</v>
      </c>
      <c r="F42" s="20" t="s">
        <v>363</v>
      </c>
      <c r="G42">
        <f t="shared" si="7"/>
        <v>500</v>
      </c>
      <c r="H42">
        <f t="shared" si="8"/>
        <v>250</v>
      </c>
      <c r="I42">
        <f t="shared" si="9"/>
        <v>375</v>
      </c>
      <c r="J42">
        <f t="shared" si="10"/>
        <v>543.48</v>
      </c>
      <c r="K42">
        <f t="shared" si="11"/>
        <v>97.826400000000007</v>
      </c>
      <c r="L42">
        <f t="shared" si="12"/>
        <v>874.29</v>
      </c>
      <c r="M42">
        <f t="shared" si="13"/>
        <v>625</v>
      </c>
    </row>
    <row r="43" spans="1:13" ht="18" customHeight="1" x14ac:dyDescent="0.3">
      <c r="A43" s="25" t="s">
        <v>220</v>
      </c>
      <c r="B43" s="25"/>
      <c r="C43" s="25"/>
      <c r="G43" t="str">
        <f t="shared" si="7"/>
        <v/>
      </c>
      <c r="H43" t="str">
        <f t="shared" si="8"/>
        <v/>
      </c>
      <c r="I43" t="str">
        <f t="shared" si="9"/>
        <v/>
      </c>
      <c r="J43" t="str">
        <f t="shared" si="10"/>
        <v/>
      </c>
      <c r="K43" t="str">
        <f t="shared" si="11"/>
        <v/>
      </c>
      <c r="L43" t="str">
        <f t="shared" si="12"/>
        <v/>
      </c>
      <c r="M43" t="str">
        <f t="shared" si="13"/>
        <v/>
      </c>
    </row>
    <row r="44" spans="1:13" ht="15" customHeight="1" x14ac:dyDescent="0.3">
      <c r="A44" s="21" t="s">
        <v>221</v>
      </c>
      <c r="B44" s="22" t="s">
        <v>321</v>
      </c>
      <c r="C44" s="23"/>
      <c r="D44" s="24" t="s">
        <v>112</v>
      </c>
      <c r="E44" s="1" t="s">
        <v>43</v>
      </c>
      <c r="F44" s="20" t="s">
        <v>322</v>
      </c>
      <c r="G44">
        <f t="shared" si="7"/>
        <v>150</v>
      </c>
      <c r="H44">
        <f t="shared" si="8"/>
        <v>300</v>
      </c>
      <c r="I44">
        <f t="shared" si="9"/>
        <v>150</v>
      </c>
      <c r="J44">
        <f t="shared" si="10"/>
        <v>652.16999999999996</v>
      </c>
      <c r="K44">
        <f t="shared" si="11"/>
        <v>117.39059999999999</v>
      </c>
      <c r="L44">
        <f t="shared" si="12"/>
        <v>70.89</v>
      </c>
      <c r="M44">
        <f t="shared" si="13"/>
        <v>250</v>
      </c>
    </row>
    <row r="45" spans="1:13" ht="15" customHeight="1" x14ac:dyDescent="0.3">
      <c r="A45" s="16" t="s">
        <v>221</v>
      </c>
      <c r="B45" s="17" t="s">
        <v>323</v>
      </c>
      <c r="C45" s="18"/>
      <c r="D45" s="19" t="s">
        <v>112</v>
      </c>
      <c r="E45" s="1" t="s">
        <v>43</v>
      </c>
      <c r="F45" s="20" t="s">
        <v>324</v>
      </c>
      <c r="G45">
        <f t="shared" si="7"/>
        <v>93.75</v>
      </c>
      <c r="H45">
        <f t="shared" si="8"/>
        <v>62.5</v>
      </c>
      <c r="I45">
        <f t="shared" si="9"/>
        <v>62.5</v>
      </c>
      <c r="J45">
        <f t="shared" si="10"/>
        <v>135.87</v>
      </c>
      <c r="K45">
        <f t="shared" si="11"/>
        <v>24.456600000000002</v>
      </c>
      <c r="L45">
        <f t="shared" si="12"/>
        <v>150.63999999999999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329</v>
      </c>
      <c r="C46" s="23"/>
      <c r="D46" s="24" t="s">
        <v>112</v>
      </c>
      <c r="E46" s="1" t="s">
        <v>43</v>
      </c>
      <c r="F46" s="20" t="s">
        <v>330</v>
      </c>
      <c r="G46">
        <f t="shared" si="7"/>
        <v>62.5</v>
      </c>
      <c r="H46">
        <f t="shared" si="8"/>
        <v>125</v>
      </c>
      <c r="I46">
        <f t="shared" si="9"/>
        <v>62.5</v>
      </c>
      <c r="J46">
        <f t="shared" si="10"/>
        <v>271.74</v>
      </c>
      <c r="K46">
        <f t="shared" si="11"/>
        <v>48.913200000000003</v>
      </c>
      <c r="L46">
        <f t="shared" si="12"/>
        <v>29.54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331</v>
      </c>
      <c r="C47" s="18"/>
      <c r="D47" s="19" t="s">
        <v>112</v>
      </c>
      <c r="E47" s="1" t="s">
        <v>43</v>
      </c>
      <c r="F47" s="20" t="s">
        <v>332</v>
      </c>
      <c r="G47">
        <f t="shared" si="7"/>
        <v>168.75</v>
      </c>
      <c r="H47">
        <f t="shared" si="8"/>
        <v>168.75</v>
      </c>
      <c r="I47">
        <f t="shared" si="9"/>
        <v>168.75</v>
      </c>
      <c r="J47">
        <f t="shared" si="10"/>
        <v>366.85</v>
      </c>
      <c r="K47">
        <f t="shared" si="11"/>
        <v>66.033000000000001</v>
      </c>
      <c r="L47">
        <f t="shared" si="12"/>
        <v>223.3</v>
      </c>
      <c r="M47">
        <f t="shared" si="13"/>
        <v>281.25</v>
      </c>
    </row>
    <row r="48" spans="1:13" ht="15" customHeight="1" x14ac:dyDescent="0.3">
      <c r="A48" s="21" t="s">
        <v>221</v>
      </c>
      <c r="B48" s="22" t="s">
        <v>232</v>
      </c>
      <c r="C48" s="23"/>
      <c r="D48" s="24" t="s">
        <v>112</v>
      </c>
      <c r="E48" s="1" t="s">
        <v>43</v>
      </c>
      <c r="F48" s="20" t="s">
        <v>233</v>
      </c>
      <c r="G48">
        <f t="shared" si="7"/>
        <v>125</v>
      </c>
      <c r="H48">
        <f t="shared" si="8"/>
        <v>156.25</v>
      </c>
      <c r="I48">
        <f t="shared" si="9"/>
        <v>31.25</v>
      </c>
      <c r="J48">
        <f t="shared" si="10"/>
        <v>339.67</v>
      </c>
      <c r="K48">
        <f t="shared" si="11"/>
        <v>61.140599999999999</v>
      </c>
      <c r="L48">
        <f t="shared" si="12"/>
        <v>138.82</v>
      </c>
      <c r="M48">
        <f t="shared" si="13"/>
        <v>52.08</v>
      </c>
    </row>
    <row r="49" spans="1:13" ht="15" customHeight="1" x14ac:dyDescent="0.3">
      <c r="A49" s="16" t="s">
        <v>221</v>
      </c>
      <c r="B49" s="17" t="s">
        <v>234</v>
      </c>
      <c r="C49" s="18"/>
      <c r="D49" s="19" t="s">
        <v>112</v>
      </c>
      <c r="E49" s="1" t="s">
        <v>43</v>
      </c>
      <c r="F49" s="20" t="s">
        <v>235</v>
      </c>
      <c r="G49">
        <f t="shared" si="7"/>
        <v>125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165.41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236</v>
      </c>
      <c r="C50" s="23"/>
      <c r="D50" s="24" t="s">
        <v>112</v>
      </c>
      <c r="E50" s="1" t="s">
        <v>43</v>
      </c>
      <c r="F50" s="20" t="s">
        <v>237</v>
      </c>
      <c r="G50">
        <f t="shared" si="7"/>
        <v>62.5</v>
      </c>
      <c r="H50">
        <f t="shared" si="8"/>
        <v>62.5</v>
      </c>
      <c r="I50">
        <f t="shared" si="9"/>
        <v>62.5</v>
      </c>
      <c r="J50">
        <f t="shared" si="10"/>
        <v>135.87</v>
      </c>
      <c r="K50">
        <f t="shared" si="11"/>
        <v>24.456600000000002</v>
      </c>
      <c r="L50">
        <f t="shared" si="12"/>
        <v>82.7</v>
      </c>
      <c r="M50">
        <f t="shared" si="13"/>
        <v>104.17</v>
      </c>
    </row>
    <row r="51" spans="1:13" ht="15" customHeight="1" x14ac:dyDescent="0.3">
      <c r="A51" s="16" t="s">
        <v>221</v>
      </c>
      <c r="B51" s="17" t="s">
        <v>327</v>
      </c>
      <c r="C51" s="18"/>
      <c r="D51" s="19" t="s">
        <v>112</v>
      </c>
      <c r="E51" s="1" t="s">
        <v>43</v>
      </c>
      <c r="F51" s="20" t="s">
        <v>328</v>
      </c>
      <c r="G51">
        <f t="shared" si="7"/>
        <v>150</v>
      </c>
      <c r="H51">
        <f t="shared" si="8"/>
        <v>100</v>
      </c>
      <c r="I51">
        <f t="shared" si="9"/>
        <v>87.5</v>
      </c>
      <c r="J51">
        <f t="shared" si="10"/>
        <v>217.39</v>
      </c>
      <c r="K51">
        <f t="shared" si="11"/>
        <v>39.130199999999995</v>
      </c>
      <c r="L51">
        <f t="shared" si="12"/>
        <v>241.02</v>
      </c>
      <c r="M51">
        <f t="shared" si="13"/>
        <v>145.83000000000001</v>
      </c>
    </row>
    <row r="52" spans="1:13" ht="15" customHeight="1" x14ac:dyDescent="0.3">
      <c r="A52" s="21" t="s">
        <v>221</v>
      </c>
      <c r="B52" s="22" t="s">
        <v>389</v>
      </c>
      <c r="C52" s="23"/>
      <c r="D52" s="24" t="s">
        <v>112</v>
      </c>
      <c r="E52" s="1" t="s">
        <v>43</v>
      </c>
      <c r="F52" s="20" t="s">
        <v>390</v>
      </c>
      <c r="G52">
        <f t="shared" si="7"/>
        <v>156.25</v>
      </c>
      <c r="H52">
        <f t="shared" si="8"/>
        <v>112.5</v>
      </c>
      <c r="I52">
        <f t="shared" si="9"/>
        <v>62.5</v>
      </c>
      <c r="J52">
        <f t="shared" si="10"/>
        <v>244.57</v>
      </c>
      <c r="K52">
        <f t="shared" si="11"/>
        <v>44.022599999999997</v>
      </c>
      <c r="L52">
        <f t="shared" si="12"/>
        <v>243.97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732</v>
      </c>
      <c r="C53" s="18"/>
      <c r="D53" s="19" t="s">
        <v>112</v>
      </c>
      <c r="E53" s="1" t="s">
        <v>43</v>
      </c>
      <c r="F53" s="20" t="s">
        <v>468</v>
      </c>
      <c r="G53">
        <f t="shared" si="7"/>
        <v>125</v>
      </c>
      <c r="H53">
        <f t="shared" si="8"/>
        <v>62.5</v>
      </c>
      <c r="I53">
        <f t="shared" si="9"/>
        <v>62.5</v>
      </c>
      <c r="J53">
        <f t="shared" si="10"/>
        <v>135.87</v>
      </c>
      <c r="K53">
        <f t="shared" si="11"/>
        <v>24.456600000000002</v>
      </c>
      <c r="L53">
        <f t="shared" si="12"/>
        <v>218.57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333</v>
      </c>
      <c r="C54" s="23"/>
      <c r="D54" s="24" t="s">
        <v>112</v>
      </c>
      <c r="E54" s="1" t="s">
        <v>43</v>
      </c>
      <c r="F54" s="20" t="s">
        <v>334</v>
      </c>
      <c r="G54">
        <f t="shared" si="7"/>
        <v>50</v>
      </c>
      <c r="H54">
        <f t="shared" si="8"/>
        <v>75</v>
      </c>
      <c r="I54">
        <f t="shared" si="9"/>
        <v>150</v>
      </c>
      <c r="J54">
        <f t="shared" si="10"/>
        <v>163.04</v>
      </c>
      <c r="K54">
        <f t="shared" si="11"/>
        <v>29.347199999999997</v>
      </c>
      <c r="L54">
        <f t="shared" si="12"/>
        <v>44.9</v>
      </c>
      <c r="M54">
        <f t="shared" si="13"/>
        <v>250</v>
      </c>
    </row>
    <row r="55" spans="1:13" ht="15" customHeight="1" x14ac:dyDescent="0.3">
      <c r="A55" s="16" t="s">
        <v>221</v>
      </c>
      <c r="B55" s="17" t="s">
        <v>335</v>
      </c>
      <c r="C55" s="18"/>
      <c r="D55" s="19" t="s">
        <v>112</v>
      </c>
      <c r="E55" s="1" t="s">
        <v>43</v>
      </c>
      <c r="F55" s="20" t="s">
        <v>336</v>
      </c>
      <c r="G55">
        <f t="shared" si="7"/>
        <v>112.5</v>
      </c>
      <c r="H55">
        <f t="shared" si="8"/>
        <v>75</v>
      </c>
      <c r="I55">
        <f t="shared" si="9"/>
        <v>300</v>
      </c>
      <c r="J55">
        <f t="shared" si="10"/>
        <v>163.04</v>
      </c>
      <c r="K55">
        <f t="shared" si="11"/>
        <v>29.347199999999997</v>
      </c>
      <c r="L55">
        <f t="shared" si="12"/>
        <v>180.77</v>
      </c>
      <c r="M55">
        <f t="shared" si="13"/>
        <v>500</v>
      </c>
    </row>
    <row r="56" spans="1:13" ht="15" customHeight="1" x14ac:dyDescent="0.3">
      <c r="A56" s="21" t="s">
        <v>221</v>
      </c>
      <c r="B56" s="22" t="s">
        <v>222</v>
      </c>
      <c r="C56" s="23"/>
      <c r="D56" s="24" t="s">
        <v>112</v>
      </c>
      <c r="E56" s="1" t="s">
        <v>43</v>
      </c>
      <c r="F56" s="20" t="s">
        <v>223</v>
      </c>
      <c r="G56">
        <f t="shared" si="7"/>
        <v>187.5</v>
      </c>
      <c r="H56">
        <f t="shared" si="8"/>
        <v>125</v>
      </c>
      <c r="I56">
        <f t="shared" si="9"/>
        <v>62.5</v>
      </c>
      <c r="J56">
        <f t="shared" si="10"/>
        <v>271.74</v>
      </c>
      <c r="K56">
        <f t="shared" si="11"/>
        <v>48.913200000000003</v>
      </c>
      <c r="L56">
        <f t="shared" si="12"/>
        <v>301.27999999999997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325</v>
      </c>
      <c r="C57" s="18"/>
      <c r="D57" s="19" t="s">
        <v>112</v>
      </c>
      <c r="E57" s="1" t="s">
        <v>43</v>
      </c>
      <c r="F57" s="20" t="s">
        <v>225</v>
      </c>
      <c r="G57">
        <f t="shared" si="7"/>
        <v>125</v>
      </c>
      <c r="H57">
        <f t="shared" si="8"/>
        <v>62.5</v>
      </c>
      <c r="I57">
        <f t="shared" si="9"/>
        <v>37.5</v>
      </c>
      <c r="J57">
        <f t="shared" si="10"/>
        <v>135.87</v>
      </c>
      <c r="K57">
        <f t="shared" si="11"/>
        <v>24.456600000000002</v>
      </c>
      <c r="L57">
        <f t="shared" si="12"/>
        <v>218.57</v>
      </c>
      <c r="M57">
        <f t="shared" si="13"/>
        <v>62.5</v>
      </c>
    </row>
    <row r="58" spans="1:13" ht="15" customHeight="1" x14ac:dyDescent="0.3">
      <c r="A58" s="21" t="s">
        <v>221</v>
      </c>
      <c r="B58" s="22" t="s">
        <v>228</v>
      </c>
      <c r="C58" s="23"/>
      <c r="D58" s="24" t="s">
        <v>112</v>
      </c>
      <c r="E58" s="1" t="s">
        <v>43</v>
      </c>
      <c r="F58" s="20" t="s">
        <v>229</v>
      </c>
      <c r="G58">
        <f t="shared" si="7"/>
        <v>150</v>
      </c>
      <c r="H58">
        <f t="shared" si="8"/>
        <v>75</v>
      </c>
      <c r="I58">
        <f t="shared" si="9"/>
        <v>37.5</v>
      </c>
      <c r="J58">
        <f t="shared" si="10"/>
        <v>163.04</v>
      </c>
      <c r="K58">
        <f t="shared" si="11"/>
        <v>29.347199999999997</v>
      </c>
      <c r="L58">
        <f t="shared" si="12"/>
        <v>262.29000000000002</v>
      </c>
      <c r="M58">
        <f t="shared" si="13"/>
        <v>62.5</v>
      </c>
    </row>
    <row r="59" spans="1:13" ht="18" customHeight="1" x14ac:dyDescent="0.3">
      <c r="A59" s="25" t="s">
        <v>252</v>
      </c>
      <c r="B59" s="25"/>
      <c r="C59" s="25"/>
      <c r="G59" t="str">
        <f t="shared" si="7"/>
        <v/>
      </c>
      <c r="H59" t="str">
        <f t="shared" si="8"/>
        <v/>
      </c>
      <c r="I59" t="str">
        <f t="shared" si="9"/>
        <v/>
      </c>
      <c r="J59" t="str">
        <f t="shared" si="10"/>
        <v/>
      </c>
      <c r="K59" t="str">
        <f t="shared" si="11"/>
        <v/>
      </c>
      <c r="L59" t="str">
        <f t="shared" si="12"/>
        <v/>
      </c>
      <c r="M59" t="str">
        <f t="shared" si="13"/>
        <v/>
      </c>
    </row>
    <row r="60" spans="1:13" ht="15" customHeight="1" x14ac:dyDescent="0.3">
      <c r="A60" s="16" t="s">
        <v>253</v>
      </c>
      <c r="B60" s="17" t="s">
        <v>731</v>
      </c>
      <c r="C60" s="18"/>
      <c r="D60" s="19" t="s">
        <v>112</v>
      </c>
      <c r="E60" s="1" t="s">
        <v>43</v>
      </c>
      <c r="F60" s="20" t="s">
        <v>338</v>
      </c>
      <c r="G60">
        <f t="shared" si="7"/>
        <v>93.75</v>
      </c>
      <c r="H60">
        <f t="shared" si="8"/>
        <v>93.75</v>
      </c>
      <c r="I60">
        <f t="shared" si="9"/>
        <v>187.5</v>
      </c>
      <c r="J60">
        <f t="shared" si="10"/>
        <v>203.8</v>
      </c>
      <c r="K60">
        <f t="shared" si="11"/>
        <v>36.683999999999997</v>
      </c>
      <c r="L60">
        <f t="shared" si="12"/>
        <v>124.06</v>
      </c>
      <c r="M60">
        <f t="shared" si="13"/>
        <v>312.5</v>
      </c>
    </row>
    <row r="61" spans="1:13" ht="15" customHeight="1" x14ac:dyDescent="0.3">
      <c r="A61" s="21" t="s">
        <v>253</v>
      </c>
      <c r="B61" s="22" t="s">
        <v>323</v>
      </c>
      <c r="C61" s="23"/>
      <c r="D61" s="24" t="s">
        <v>112</v>
      </c>
      <c r="E61" s="1" t="s">
        <v>43</v>
      </c>
      <c r="F61" s="20" t="s">
        <v>324</v>
      </c>
      <c r="G61">
        <f t="shared" si="7"/>
        <v>93.75</v>
      </c>
      <c r="H61">
        <f t="shared" si="8"/>
        <v>62.5</v>
      </c>
      <c r="I61">
        <f t="shared" si="9"/>
        <v>62.5</v>
      </c>
      <c r="J61">
        <f t="shared" si="10"/>
        <v>135.87</v>
      </c>
      <c r="K61">
        <f t="shared" si="11"/>
        <v>24.456600000000002</v>
      </c>
      <c r="L61">
        <f t="shared" si="12"/>
        <v>150.63999999999999</v>
      </c>
      <c r="M61">
        <f t="shared" si="13"/>
        <v>104.17</v>
      </c>
    </row>
    <row r="62" spans="1:13" ht="15" customHeight="1" x14ac:dyDescent="0.3">
      <c r="A62" s="16" t="s">
        <v>253</v>
      </c>
      <c r="B62" s="17" t="s">
        <v>255</v>
      </c>
      <c r="C62" s="18"/>
      <c r="D62" s="19" t="s">
        <v>112</v>
      </c>
      <c r="E62" s="1" t="s">
        <v>43</v>
      </c>
      <c r="F62" s="20" t="s">
        <v>256</v>
      </c>
      <c r="G62">
        <f t="shared" si="7"/>
        <v>31.25</v>
      </c>
      <c r="H62">
        <f t="shared" si="8"/>
        <v>75</v>
      </c>
      <c r="I62">
        <f t="shared" si="9"/>
        <v>22.5</v>
      </c>
      <c r="J62">
        <f t="shared" si="10"/>
        <v>163.04</v>
      </c>
      <c r="K62">
        <f t="shared" si="11"/>
        <v>29.347199999999997</v>
      </c>
      <c r="L62">
        <f t="shared" si="12"/>
        <v>4.1399999999999997</v>
      </c>
      <c r="M62">
        <f t="shared" si="13"/>
        <v>37.5</v>
      </c>
    </row>
    <row r="63" spans="1:13" ht="15" customHeight="1" x14ac:dyDescent="0.3">
      <c r="A63" s="21" t="s">
        <v>253</v>
      </c>
      <c r="B63" s="22" t="s">
        <v>259</v>
      </c>
      <c r="C63" s="23"/>
      <c r="D63" s="24" t="s">
        <v>112</v>
      </c>
      <c r="E63" s="1" t="s">
        <v>43</v>
      </c>
      <c r="F63" s="20" t="s">
        <v>260</v>
      </c>
      <c r="G63">
        <f t="shared" si="7"/>
        <v>125</v>
      </c>
      <c r="H63">
        <f t="shared" si="8"/>
        <v>50</v>
      </c>
      <c r="I63">
        <f t="shared" si="9"/>
        <v>175</v>
      </c>
      <c r="J63">
        <f t="shared" si="10"/>
        <v>108.7</v>
      </c>
      <c r="K63">
        <f t="shared" si="11"/>
        <v>19.565999999999999</v>
      </c>
      <c r="L63">
        <f t="shared" si="12"/>
        <v>229.2</v>
      </c>
      <c r="M63">
        <f t="shared" si="13"/>
        <v>291.67</v>
      </c>
    </row>
    <row r="64" spans="1:13" ht="15" customHeight="1" x14ac:dyDescent="0.3">
      <c r="A64" s="16" t="s">
        <v>253</v>
      </c>
      <c r="B64" s="17" t="s">
        <v>340</v>
      </c>
      <c r="C64" s="18"/>
      <c r="D64" s="19" t="s">
        <v>112</v>
      </c>
      <c r="E64" s="1" t="s">
        <v>43</v>
      </c>
      <c r="F64" s="20" t="s">
        <v>341</v>
      </c>
      <c r="G64">
        <f t="shared" si="7"/>
        <v>250</v>
      </c>
      <c r="H64">
        <f t="shared" si="8"/>
        <v>225</v>
      </c>
      <c r="I64">
        <f t="shared" si="9"/>
        <v>312.5</v>
      </c>
      <c r="J64">
        <f t="shared" si="10"/>
        <v>489.13</v>
      </c>
      <c r="K64">
        <f t="shared" si="11"/>
        <v>88.043399999999991</v>
      </c>
      <c r="L64">
        <f t="shared" si="12"/>
        <v>352.08</v>
      </c>
      <c r="M64">
        <f t="shared" si="13"/>
        <v>520.83000000000004</v>
      </c>
    </row>
    <row r="65" spans="1:13" ht="18" customHeight="1" x14ac:dyDescent="0.3">
      <c r="A65" s="25" t="s">
        <v>263</v>
      </c>
      <c r="B65" s="25"/>
      <c r="C65" s="25"/>
      <c r="G65" t="str">
        <f t="shared" si="7"/>
        <v/>
      </c>
      <c r="H65" t="str">
        <f t="shared" si="8"/>
        <v/>
      </c>
      <c r="I65" t="str">
        <f t="shared" si="9"/>
        <v/>
      </c>
      <c r="J65" t="str">
        <f t="shared" si="10"/>
        <v/>
      </c>
      <c r="K65" t="str">
        <f t="shared" si="11"/>
        <v/>
      </c>
      <c r="L65" t="str">
        <f t="shared" si="12"/>
        <v/>
      </c>
      <c r="M65" t="str">
        <f t="shared" si="13"/>
        <v/>
      </c>
    </row>
    <row r="66" spans="1:13" ht="15" customHeight="1" x14ac:dyDescent="0.3">
      <c r="A66" s="21" t="s">
        <v>264</v>
      </c>
      <c r="B66" s="22" t="s">
        <v>733</v>
      </c>
      <c r="C66" s="23"/>
      <c r="D66" s="24" t="s">
        <v>112</v>
      </c>
      <c r="E66" s="1" t="s">
        <v>43</v>
      </c>
      <c r="F66" s="20" t="s">
        <v>343</v>
      </c>
      <c r="G66">
        <f t="shared" si="7"/>
        <v>275</v>
      </c>
      <c r="H66">
        <f t="shared" si="8"/>
        <v>56.25</v>
      </c>
      <c r="I66">
        <f t="shared" si="9"/>
        <v>225</v>
      </c>
      <c r="J66">
        <f t="shared" si="10"/>
        <v>122.28</v>
      </c>
      <c r="K66">
        <f t="shared" si="11"/>
        <v>22.010400000000001</v>
      </c>
      <c r="L66">
        <f t="shared" si="12"/>
        <v>549.98</v>
      </c>
      <c r="M66">
        <f t="shared" si="13"/>
        <v>375</v>
      </c>
    </row>
    <row r="67" spans="1:13" ht="15" customHeight="1" x14ac:dyDescent="0.3">
      <c r="A67" s="16" t="s">
        <v>264</v>
      </c>
      <c r="B67" s="17" t="s">
        <v>337</v>
      </c>
      <c r="C67" s="18"/>
      <c r="D67" s="19" t="s">
        <v>112</v>
      </c>
      <c r="E67" s="1" t="s">
        <v>43</v>
      </c>
      <c r="F67" s="20" t="s">
        <v>338</v>
      </c>
      <c r="G67">
        <f t="shared" si="7"/>
        <v>93.75</v>
      </c>
      <c r="H67">
        <f t="shared" si="8"/>
        <v>93.75</v>
      </c>
      <c r="I67">
        <f t="shared" si="9"/>
        <v>187.5</v>
      </c>
      <c r="J67">
        <f t="shared" si="10"/>
        <v>203.8</v>
      </c>
      <c r="K67">
        <f t="shared" si="11"/>
        <v>36.683999999999997</v>
      </c>
      <c r="L67">
        <f t="shared" si="12"/>
        <v>124.06</v>
      </c>
      <c r="M67">
        <f t="shared" si="13"/>
        <v>312.5</v>
      </c>
    </row>
    <row r="68" spans="1:13" ht="18" customHeight="1" x14ac:dyDescent="0.3">
      <c r="A68" s="25" t="s">
        <v>269</v>
      </c>
      <c r="B68" s="25"/>
      <c r="C68" s="25"/>
      <c r="G68" t="str">
        <f t="shared" si="7"/>
        <v/>
      </c>
      <c r="H68" t="str">
        <f t="shared" si="8"/>
        <v/>
      </c>
      <c r="I68" t="str">
        <f t="shared" si="9"/>
        <v/>
      </c>
      <c r="J68" t="str">
        <f t="shared" si="10"/>
        <v/>
      </c>
      <c r="K68" t="str">
        <f t="shared" si="11"/>
        <v/>
      </c>
      <c r="L68" t="str">
        <f t="shared" si="12"/>
        <v/>
      </c>
      <c r="M68" t="str">
        <f t="shared" si="13"/>
        <v/>
      </c>
    </row>
    <row r="69" spans="1:13" ht="15" customHeight="1" x14ac:dyDescent="0.3">
      <c r="A69" s="21" t="s">
        <v>270</v>
      </c>
      <c r="B69" s="22" t="s">
        <v>734</v>
      </c>
      <c r="C69" s="23"/>
      <c r="D69" s="24" t="s">
        <v>112</v>
      </c>
      <c r="E69" s="1" t="s">
        <v>43</v>
      </c>
      <c r="F69" s="20" t="s">
        <v>347</v>
      </c>
      <c r="G69">
        <f t="shared" si="7"/>
        <v>25</v>
      </c>
      <c r="H69">
        <f t="shared" si="8"/>
        <v>12.5</v>
      </c>
      <c r="I69">
        <f t="shared" si="9"/>
        <v>12.5</v>
      </c>
      <c r="J69">
        <f t="shared" si="10"/>
        <v>27.17</v>
      </c>
      <c r="K69">
        <f t="shared" si="11"/>
        <v>4.8906000000000001</v>
      </c>
      <c r="L69">
        <f t="shared" si="12"/>
        <v>43.72</v>
      </c>
      <c r="M69">
        <f t="shared" si="13"/>
        <v>20.83</v>
      </c>
    </row>
    <row r="70" spans="1:13" ht="15" customHeight="1" x14ac:dyDescent="0.3">
      <c r="A70" s="16" t="s">
        <v>270</v>
      </c>
      <c r="B70" s="17" t="s">
        <v>271</v>
      </c>
      <c r="C70" s="18"/>
      <c r="D70" s="19" t="s">
        <v>112</v>
      </c>
      <c r="E70" s="1" t="s">
        <v>43</v>
      </c>
      <c r="F70" s="20" t="s">
        <v>241</v>
      </c>
      <c r="G70">
        <f t="shared" si="7"/>
        <v>7.5</v>
      </c>
      <c r="H70">
        <f t="shared" si="8"/>
        <v>15</v>
      </c>
      <c r="I70">
        <f t="shared" si="9"/>
        <v>15</v>
      </c>
      <c r="J70">
        <f t="shared" si="10"/>
        <v>32.61</v>
      </c>
      <c r="K70">
        <f t="shared" si="11"/>
        <v>5.8697999999999997</v>
      </c>
      <c r="L70">
        <f t="shared" si="12"/>
        <v>3.54</v>
      </c>
      <c r="M70">
        <f t="shared" si="13"/>
        <v>25</v>
      </c>
    </row>
    <row r="71" spans="1:13" ht="15" customHeight="1" x14ac:dyDescent="0.3">
      <c r="A71" s="21" t="s">
        <v>270</v>
      </c>
      <c r="B71" s="22" t="s">
        <v>348</v>
      </c>
      <c r="C71" s="23"/>
      <c r="D71" s="24" t="s">
        <v>112</v>
      </c>
      <c r="E71" s="1" t="s">
        <v>43</v>
      </c>
      <c r="F71" s="20" t="s">
        <v>349</v>
      </c>
      <c r="G71">
        <f t="shared" si="7"/>
        <v>37.5</v>
      </c>
      <c r="H71">
        <f t="shared" si="8"/>
        <v>12.5</v>
      </c>
      <c r="I71">
        <f t="shared" si="9"/>
        <v>12.5</v>
      </c>
      <c r="J71">
        <f t="shared" si="10"/>
        <v>27.17</v>
      </c>
      <c r="K71">
        <f t="shared" si="11"/>
        <v>4.8906000000000001</v>
      </c>
      <c r="L71">
        <f t="shared" si="12"/>
        <v>70.89</v>
      </c>
      <c r="M71">
        <f t="shared" si="13"/>
        <v>20.83</v>
      </c>
    </row>
    <row r="72" spans="1:13" ht="15" customHeight="1" x14ac:dyDescent="0.3">
      <c r="A72" s="16" t="s">
        <v>270</v>
      </c>
      <c r="B72" s="17" t="s">
        <v>651</v>
      </c>
      <c r="C72" s="18"/>
      <c r="D72" s="19" t="s">
        <v>112</v>
      </c>
      <c r="E72" s="1" t="s">
        <v>43</v>
      </c>
      <c r="F72" s="20" t="s">
        <v>586</v>
      </c>
      <c r="G72">
        <f t="shared" si="7"/>
        <v>125</v>
      </c>
      <c r="H72">
        <f t="shared" si="8"/>
        <v>62.5</v>
      </c>
      <c r="I72">
        <f t="shared" si="9"/>
        <v>125</v>
      </c>
      <c r="J72">
        <f t="shared" si="10"/>
        <v>135.87</v>
      </c>
      <c r="K72">
        <f t="shared" si="11"/>
        <v>24.456600000000002</v>
      </c>
      <c r="L72">
        <f t="shared" si="12"/>
        <v>218.57</v>
      </c>
      <c r="M72">
        <f t="shared" si="13"/>
        <v>208.33</v>
      </c>
    </row>
  </sheetData>
  <mergeCells count="13">
    <mergeCell ref="A1:C1"/>
    <mergeCell ref="A2:C2"/>
    <mergeCell ref="A3:C3"/>
    <mergeCell ref="A4:C4"/>
    <mergeCell ref="A7:C7"/>
    <mergeCell ref="A59:C59"/>
    <mergeCell ref="A65:C65"/>
    <mergeCell ref="A68:C68"/>
    <mergeCell ref="A14:C14"/>
    <mergeCell ref="A21:C21"/>
    <mergeCell ref="A25:C25"/>
    <mergeCell ref="A29:C29"/>
    <mergeCell ref="A43:C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1F8E9"/>
  </sheetPr>
  <dimension ref="A1:M10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735</v>
      </c>
      <c r="B1" s="26"/>
      <c r="C1" s="26"/>
    </row>
    <row r="2" spans="1:13" ht="19.5" customHeight="1" x14ac:dyDescent="0.3">
      <c r="A2" s="27" t="s">
        <v>736</v>
      </c>
      <c r="B2" s="27"/>
      <c r="C2" s="27"/>
    </row>
    <row r="3" spans="1:13" ht="19.5" customHeight="1" x14ac:dyDescent="0.3">
      <c r="A3" s="27" t="s">
        <v>737</v>
      </c>
      <c r="B3" s="27"/>
      <c r="C3" s="27"/>
    </row>
    <row r="4" spans="1:13" ht="19.5" customHeight="1" x14ac:dyDescent="0.3">
      <c r="A4" s="27" t="s">
        <v>738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739</v>
      </c>
      <c r="C8" s="18"/>
      <c r="D8" s="19" t="s">
        <v>114</v>
      </c>
      <c r="E8" s="1" t="s">
        <v>61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114</v>
      </c>
      <c r="E9" s="1" t="s">
        <v>61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740</v>
      </c>
      <c r="C10" s="18"/>
      <c r="D10" s="19" t="s">
        <v>114</v>
      </c>
      <c r="E10" s="1" t="s">
        <v>61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741</v>
      </c>
      <c r="C11" s="23"/>
      <c r="D11" s="24" t="s">
        <v>114</v>
      </c>
      <c r="E11" s="1" t="s">
        <v>61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400</v>
      </c>
      <c r="C12" s="18"/>
      <c r="D12" s="19" t="s">
        <v>114</v>
      </c>
      <c r="E12" s="1" t="s">
        <v>61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742</v>
      </c>
      <c r="C13" s="23"/>
      <c r="D13" s="24" t="s">
        <v>114</v>
      </c>
      <c r="E13" s="1" t="s">
        <v>61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743</v>
      </c>
      <c r="C14" s="18"/>
      <c r="D14" s="19" t="s">
        <v>114</v>
      </c>
      <c r="E14" s="1" t="s">
        <v>61</v>
      </c>
      <c r="F14" s="20" t="s">
        <v>153</v>
      </c>
      <c r="G14">
        <f t="shared" si="0"/>
        <v>25</v>
      </c>
      <c r="H14">
        <f t="shared" si="1"/>
        <v>25</v>
      </c>
      <c r="I14">
        <f t="shared" si="2"/>
        <v>12.5</v>
      </c>
      <c r="J14">
        <f t="shared" si="3"/>
        <v>54.35</v>
      </c>
      <c r="K14">
        <f t="shared" si="4"/>
        <v>9.7829999999999995</v>
      </c>
      <c r="L14">
        <f t="shared" si="5"/>
        <v>33.08</v>
      </c>
      <c r="M14">
        <f t="shared" si="6"/>
        <v>20.83</v>
      </c>
    </row>
    <row r="15" spans="1:13" ht="15" customHeight="1" x14ac:dyDescent="0.3">
      <c r="A15" s="21" t="s">
        <v>141</v>
      </c>
      <c r="B15" s="22" t="s">
        <v>744</v>
      </c>
      <c r="C15" s="23"/>
      <c r="D15" s="24" t="s">
        <v>114</v>
      </c>
      <c r="E15" s="1" t="s">
        <v>61</v>
      </c>
      <c r="F15" s="20" t="s">
        <v>153</v>
      </c>
      <c r="G15">
        <f t="shared" si="0"/>
        <v>25</v>
      </c>
      <c r="H15">
        <f t="shared" si="1"/>
        <v>25</v>
      </c>
      <c r="I15">
        <f t="shared" si="2"/>
        <v>12.5</v>
      </c>
      <c r="J15">
        <f t="shared" si="3"/>
        <v>54.35</v>
      </c>
      <c r="K15">
        <f t="shared" si="4"/>
        <v>9.7829999999999995</v>
      </c>
      <c r="L15">
        <f t="shared" si="5"/>
        <v>33.08</v>
      </c>
      <c r="M15">
        <f t="shared" si="6"/>
        <v>20.83</v>
      </c>
    </row>
    <row r="16" spans="1:13" ht="15" customHeight="1" x14ac:dyDescent="0.3">
      <c r="A16" s="16" t="s">
        <v>141</v>
      </c>
      <c r="B16" s="17" t="s">
        <v>745</v>
      </c>
      <c r="C16" s="18"/>
      <c r="D16" s="19" t="s">
        <v>114</v>
      </c>
      <c r="E16" s="1" t="s">
        <v>61</v>
      </c>
      <c r="F16" s="20" t="s">
        <v>153</v>
      </c>
      <c r="G16">
        <f t="shared" si="0"/>
        <v>25</v>
      </c>
      <c r="H16">
        <f t="shared" si="1"/>
        <v>25</v>
      </c>
      <c r="I16">
        <f t="shared" si="2"/>
        <v>12.5</v>
      </c>
      <c r="J16">
        <f t="shared" si="3"/>
        <v>54.35</v>
      </c>
      <c r="K16">
        <f t="shared" si="4"/>
        <v>9.7829999999999995</v>
      </c>
      <c r="L16">
        <f t="shared" si="5"/>
        <v>33.08</v>
      </c>
      <c r="M16">
        <f t="shared" si="6"/>
        <v>20.83</v>
      </c>
    </row>
    <row r="17" spans="1:13" ht="15" customHeight="1" x14ac:dyDescent="0.3">
      <c r="A17" s="21" t="s">
        <v>141</v>
      </c>
      <c r="B17" s="22" t="s">
        <v>746</v>
      </c>
      <c r="C17" s="23"/>
      <c r="D17" s="24" t="s">
        <v>114</v>
      </c>
      <c r="E17" s="1" t="s">
        <v>61</v>
      </c>
      <c r="F17" s="20" t="s">
        <v>149</v>
      </c>
      <c r="G17">
        <f t="shared" si="0"/>
        <v>50</v>
      </c>
      <c r="H17">
        <f t="shared" si="1"/>
        <v>25</v>
      </c>
      <c r="I17">
        <f t="shared" si="2"/>
        <v>25</v>
      </c>
      <c r="J17">
        <f t="shared" si="3"/>
        <v>54.35</v>
      </c>
      <c r="K17">
        <f t="shared" si="4"/>
        <v>9.7829999999999995</v>
      </c>
      <c r="L17">
        <f t="shared" si="5"/>
        <v>87.43</v>
      </c>
      <c r="M17">
        <f t="shared" si="6"/>
        <v>41.67</v>
      </c>
    </row>
    <row r="18" spans="1:13" ht="18" customHeight="1" x14ac:dyDescent="0.3">
      <c r="A18" s="25" t="s">
        <v>155</v>
      </c>
      <c r="B18" s="25"/>
      <c r="C18" s="25"/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5"/>
        <v/>
      </c>
      <c r="M18" t="str">
        <f t="shared" si="6"/>
        <v/>
      </c>
    </row>
    <row r="19" spans="1:13" ht="15" customHeight="1" x14ac:dyDescent="0.3">
      <c r="A19" s="16" t="s">
        <v>156</v>
      </c>
      <c r="B19" s="17" t="s">
        <v>159</v>
      </c>
      <c r="C19" s="18"/>
      <c r="D19" s="19" t="s">
        <v>114</v>
      </c>
      <c r="E19" s="1" t="s">
        <v>61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161</v>
      </c>
      <c r="C20" s="23"/>
      <c r="D20" s="24" t="s">
        <v>114</v>
      </c>
      <c r="E20" s="1" t="s">
        <v>61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747</v>
      </c>
      <c r="C21" s="18"/>
      <c r="D21" s="19" t="s">
        <v>114</v>
      </c>
      <c r="E21" s="1" t="s">
        <v>61</v>
      </c>
      <c r="F21" s="20" t="s">
        <v>158</v>
      </c>
      <c r="G21">
        <f t="shared" si="0"/>
        <v>31.25</v>
      </c>
      <c r="H21">
        <f t="shared" si="1"/>
        <v>62.5</v>
      </c>
      <c r="I21">
        <f t="shared" si="2"/>
        <v>37.5</v>
      </c>
      <c r="J21">
        <f t="shared" si="3"/>
        <v>135.87</v>
      </c>
      <c r="K21">
        <f t="shared" si="4"/>
        <v>24.456600000000002</v>
      </c>
      <c r="L21">
        <f t="shared" si="5"/>
        <v>14.77</v>
      </c>
      <c r="M21">
        <f t="shared" si="6"/>
        <v>62.5</v>
      </c>
    </row>
    <row r="22" spans="1:13" ht="15" customHeight="1" x14ac:dyDescent="0.3">
      <c r="A22" s="21" t="s">
        <v>156</v>
      </c>
      <c r="B22" s="22" t="s">
        <v>165</v>
      </c>
      <c r="C22" s="23"/>
      <c r="D22" s="24" t="s">
        <v>114</v>
      </c>
      <c r="E22" s="1" t="s">
        <v>61</v>
      </c>
      <c r="F22" s="20" t="s">
        <v>160</v>
      </c>
      <c r="G22">
        <f t="shared" si="0"/>
        <v>25</v>
      </c>
      <c r="H22">
        <f t="shared" si="1"/>
        <v>50</v>
      </c>
      <c r="I22">
        <f t="shared" si="2"/>
        <v>25</v>
      </c>
      <c r="J22">
        <f t="shared" si="3"/>
        <v>108.7</v>
      </c>
      <c r="K22">
        <f t="shared" si="4"/>
        <v>19.565999999999999</v>
      </c>
      <c r="L22">
        <f t="shared" si="5"/>
        <v>11.81</v>
      </c>
      <c r="M22">
        <f t="shared" si="6"/>
        <v>41.67</v>
      </c>
    </row>
    <row r="23" spans="1:13" ht="15" customHeight="1" x14ac:dyDescent="0.3">
      <c r="A23" s="16" t="s">
        <v>156</v>
      </c>
      <c r="B23" s="17" t="s">
        <v>163</v>
      </c>
      <c r="C23" s="18"/>
      <c r="D23" s="19" t="s">
        <v>114</v>
      </c>
      <c r="E23" s="1" t="s">
        <v>61</v>
      </c>
      <c r="F23" s="20" t="s">
        <v>164</v>
      </c>
      <c r="G23">
        <f t="shared" si="0"/>
        <v>12.5</v>
      </c>
      <c r="H23">
        <f t="shared" si="1"/>
        <v>25</v>
      </c>
      <c r="I23">
        <f t="shared" si="2"/>
        <v>12.5</v>
      </c>
      <c r="J23">
        <f t="shared" si="3"/>
        <v>54.35</v>
      </c>
      <c r="K23">
        <f t="shared" si="4"/>
        <v>9.7829999999999995</v>
      </c>
      <c r="L23">
        <f t="shared" si="5"/>
        <v>5.91</v>
      </c>
      <c r="M23">
        <f t="shared" si="6"/>
        <v>20.83</v>
      </c>
    </row>
    <row r="24" spans="1:13" ht="15" customHeight="1" x14ac:dyDescent="0.3">
      <c r="A24" s="21" t="s">
        <v>156</v>
      </c>
      <c r="B24" s="22" t="s">
        <v>748</v>
      </c>
      <c r="C24" s="23"/>
      <c r="D24" s="24" t="s">
        <v>114</v>
      </c>
      <c r="E24" s="1" t="s">
        <v>61</v>
      </c>
      <c r="F24" s="20" t="s">
        <v>241</v>
      </c>
      <c r="G24">
        <f t="shared" si="0"/>
        <v>7.5</v>
      </c>
      <c r="H24">
        <f t="shared" si="1"/>
        <v>15</v>
      </c>
      <c r="I24">
        <f t="shared" si="2"/>
        <v>15</v>
      </c>
      <c r="J24">
        <f t="shared" si="3"/>
        <v>32.61</v>
      </c>
      <c r="K24">
        <f t="shared" si="4"/>
        <v>5.8697999999999997</v>
      </c>
      <c r="L24">
        <f t="shared" si="5"/>
        <v>3.54</v>
      </c>
      <c r="M24">
        <f t="shared" si="6"/>
        <v>25</v>
      </c>
    </row>
    <row r="25" spans="1:13" ht="15" customHeight="1" x14ac:dyDescent="0.3">
      <c r="A25" s="16" t="s">
        <v>156</v>
      </c>
      <c r="B25" s="17" t="s">
        <v>749</v>
      </c>
      <c r="C25" s="18"/>
      <c r="D25" s="19" t="s">
        <v>114</v>
      </c>
      <c r="E25" s="1" t="s">
        <v>61</v>
      </c>
      <c r="F25" s="20" t="s">
        <v>160</v>
      </c>
      <c r="G25">
        <f t="shared" si="0"/>
        <v>25</v>
      </c>
      <c r="H25">
        <f t="shared" si="1"/>
        <v>50</v>
      </c>
      <c r="I25">
        <f t="shared" si="2"/>
        <v>25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41.67</v>
      </c>
    </row>
    <row r="26" spans="1:13" ht="15" customHeight="1" x14ac:dyDescent="0.3">
      <c r="A26" s="21" t="s">
        <v>156</v>
      </c>
      <c r="B26" s="22" t="s">
        <v>357</v>
      </c>
      <c r="C26" s="23"/>
      <c r="D26" s="24" t="s">
        <v>114</v>
      </c>
      <c r="E26" s="1" t="s">
        <v>61</v>
      </c>
      <c r="F26" s="20" t="s">
        <v>160</v>
      </c>
      <c r="G26">
        <f t="shared" si="0"/>
        <v>25</v>
      </c>
      <c r="H26">
        <f t="shared" si="1"/>
        <v>50</v>
      </c>
      <c r="I26">
        <f t="shared" si="2"/>
        <v>25</v>
      </c>
      <c r="J26">
        <f t="shared" si="3"/>
        <v>108.7</v>
      </c>
      <c r="K26">
        <f t="shared" si="4"/>
        <v>19.565999999999999</v>
      </c>
      <c r="L26">
        <f t="shared" si="5"/>
        <v>11.81</v>
      </c>
      <c r="M26">
        <f t="shared" si="6"/>
        <v>41.67</v>
      </c>
    </row>
    <row r="27" spans="1:13" ht="18" customHeight="1" x14ac:dyDescent="0.3">
      <c r="A27" s="25" t="s">
        <v>167</v>
      </c>
      <c r="B27" s="25"/>
      <c r="C27" s="25"/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  <c r="L27" t="str">
        <f t="shared" si="5"/>
        <v/>
      </c>
      <c r="M27" t="str">
        <f t="shared" si="6"/>
        <v/>
      </c>
    </row>
    <row r="28" spans="1:13" ht="15" customHeight="1" x14ac:dyDescent="0.3">
      <c r="A28" s="16" t="s">
        <v>168</v>
      </c>
      <c r="B28" s="17" t="s">
        <v>169</v>
      </c>
      <c r="C28" s="18"/>
      <c r="D28" s="19" t="s">
        <v>114</v>
      </c>
      <c r="E28" s="1" t="s">
        <v>61</v>
      </c>
      <c r="F28" s="20" t="s">
        <v>170</v>
      </c>
      <c r="G28">
        <f t="shared" si="0"/>
        <v>25</v>
      </c>
      <c r="H28">
        <f t="shared" si="1"/>
        <v>50</v>
      </c>
      <c r="I28">
        <f t="shared" si="2"/>
        <v>50</v>
      </c>
      <c r="J28">
        <f t="shared" si="3"/>
        <v>108.7</v>
      </c>
      <c r="K28">
        <f t="shared" si="4"/>
        <v>19.565999999999999</v>
      </c>
      <c r="L28">
        <f t="shared" si="5"/>
        <v>11.81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750</v>
      </c>
      <c r="C29" s="23"/>
      <c r="D29" s="24" t="s">
        <v>114</v>
      </c>
      <c r="E29" s="1" t="s">
        <v>61</v>
      </c>
      <c r="F29" s="20" t="s">
        <v>149</v>
      </c>
      <c r="G29">
        <f t="shared" si="0"/>
        <v>50</v>
      </c>
      <c r="H29">
        <f t="shared" si="1"/>
        <v>25</v>
      </c>
      <c r="I29">
        <f t="shared" si="2"/>
        <v>25</v>
      </c>
      <c r="J29">
        <f t="shared" si="3"/>
        <v>54.35</v>
      </c>
      <c r="K29">
        <f t="shared" si="4"/>
        <v>9.7829999999999995</v>
      </c>
      <c r="L29">
        <f t="shared" si="5"/>
        <v>87.43</v>
      </c>
      <c r="M29">
        <f t="shared" si="6"/>
        <v>41.67</v>
      </c>
    </row>
    <row r="30" spans="1:13" ht="15" customHeight="1" x14ac:dyDescent="0.3">
      <c r="A30" s="16" t="s">
        <v>168</v>
      </c>
      <c r="B30" s="17" t="s">
        <v>172</v>
      </c>
      <c r="C30" s="18"/>
      <c r="D30" s="19" t="s">
        <v>114</v>
      </c>
      <c r="E30" s="1" t="s">
        <v>61</v>
      </c>
      <c r="F30" s="20" t="s">
        <v>173</v>
      </c>
      <c r="G30">
        <f t="shared" si="0"/>
        <v>75</v>
      </c>
      <c r="H30">
        <f t="shared" si="1"/>
        <v>112.5</v>
      </c>
      <c r="I30">
        <f t="shared" si="2"/>
        <v>75</v>
      </c>
      <c r="J30">
        <f t="shared" si="3"/>
        <v>244.57</v>
      </c>
      <c r="K30">
        <f t="shared" si="4"/>
        <v>44.022599999999997</v>
      </c>
      <c r="L30">
        <f t="shared" si="5"/>
        <v>67.34</v>
      </c>
      <c r="M30">
        <f t="shared" si="6"/>
        <v>125</v>
      </c>
    </row>
    <row r="31" spans="1:13" ht="15" customHeight="1" x14ac:dyDescent="0.3">
      <c r="A31" s="21" t="s">
        <v>168</v>
      </c>
      <c r="B31" s="22" t="s">
        <v>171</v>
      </c>
      <c r="C31" s="23"/>
      <c r="D31" s="24" t="s">
        <v>114</v>
      </c>
      <c r="E31" s="1" t="s">
        <v>61</v>
      </c>
      <c r="F31" s="20" t="s">
        <v>147</v>
      </c>
      <c r="G31">
        <f t="shared" si="0"/>
        <v>100</v>
      </c>
      <c r="H31">
        <f t="shared" si="1"/>
        <v>50</v>
      </c>
      <c r="I31">
        <f t="shared" si="2"/>
        <v>50</v>
      </c>
      <c r="J31">
        <f t="shared" si="3"/>
        <v>108.7</v>
      </c>
      <c r="K31">
        <f t="shared" si="4"/>
        <v>19.565999999999999</v>
      </c>
      <c r="L31">
        <f t="shared" si="5"/>
        <v>174.86</v>
      </c>
      <c r="M31">
        <f t="shared" si="6"/>
        <v>83.33</v>
      </c>
    </row>
    <row r="32" spans="1:13" ht="15" customHeight="1" x14ac:dyDescent="0.3">
      <c r="A32" s="16" t="s">
        <v>168</v>
      </c>
      <c r="B32" s="17" t="s">
        <v>414</v>
      </c>
      <c r="C32" s="18"/>
      <c r="D32" s="19" t="s">
        <v>114</v>
      </c>
      <c r="E32" s="1" t="s">
        <v>61</v>
      </c>
      <c r="F32" s="20" t="s">
        <v>207</v>
      </c>
      <c r="G32">
        <f t="shared" si="0"/>
        <v>700</v>
      </c>
      <c r="H32">
        <f t="shared" si="1"/>
        <v>400</v>
      </c>
      <c r="I32">
        <f t="shared" si="2"/>
        <v>1500</v>
      </c>
      <c r="J32">
        <f t="shared" si="3"/>
        <v>869.57</v>
      </c>
      <c r="K32">
        <f t="shared" si="4"/>
        <v>156.52260000000001</v>
      </c>
      <c r="L32">
        <f t="shared" si="5"/>
        <v>1181.47</v>
      </c>
      <c r="M32">
        <f t="shared" si="6"/>
        <v>2500</v>
      </c>
    </row>
    <row r="33" spans="1:13" ht="15" customHeight="1" x14ac:dyDescent="0.3">
      <c r="A33" s="21" t="s">
        <v>168</v>
      </c>
      <c r="B33" s="22" t="s">
        <v>751</v>
      </c>
      <c r="C33" s="23"/>
      <c r="D33" s="24" t="s">
        <v>114</v>
      </c>
      <c r="E33" s="1" t="s">
        <v>61</v>
      </c>
      <c r="F33" s="20" t="s">
        <v>177</v>
      </c>
      <c r="G33">
        <f t="shared" si="0"/>
        <v>25</v>
      </c>
      <c r="H33">
        <f t="shared" si="1"/>
        <v>75</v>
      </c>
      <c r="I33">
        <f t="shared" si="2"/>
        <v>50</v>
      </c>
      <c r="J33">
        <f t="shared" si="3"/>
        <v>163.04</v>
      </c>
      <c r="K33">
        <f t="shared" si="4"/>
        <v>29.347199999999997</v>
      </c>
      <c r="L33">
        <f t="shared" si="5"/>
        <v>-9.4499999999999993</v>
      </c>
      <c r="M33">
        <f t="shared" si="6"/>
        <v>83.33</v>
      </c>
    </row>
    <row r="34" spans="1:13" ht="18" customHeight="1" x14ac:dyDescent="0.3">
      <c r="A34" s="25" t="s">
        <v>180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16" t="s">
        <v>181</v>
      </c>
      <c r="B35" s="17" t="s">
        <v>182</v>
      </c>
      <c r="C35" s="18"/>
      <c r="D35" s="19" t="s">
        <v>114</v>
      </c>
      <c r="E35" s="1" t="s">
        <v>61</v>
      </c>
      <c r="F35" s="20" t="s">
        <v>183</v>
      </c>
      <c r="G35">
        <f t="shared" si="0"/>
        <v>350</v>
      </c>
      <c r="H35">
        <f t="shared" si="1"/>
        <v>112.5</v>
      </c>
      <c r="I35">
        <f t="shared" si="2"/>
        <v>112.5</v>
      </c>
      <c r="J35">
        <f t="shared" si="3"/>
        <v>244.57</v>
      </c>
      <c r="K35">
        <f t="shared" si="4"/>
        <v>44.022599999999997</v>
      </c>
      <c r="L35">
        <f t="shared" si="5"/>
        <v>665.17</v>
      </c>
      <c r="M35">
        <f t="shared" si="6"/>
        <v>187.5</v>
      </c>
    </row>
    <row r="36" spans="1:13" ht="15" customHeight="1" x14ac:dyDescent="0.3">
      <c r="A36" s="21" t="s">
        <v>181</v>
      </c>
      <c r="B36" s="22" t="s">
        <v>184</v>
      </c>
      <c r="C36" s="23"/>
      <c r="D36" s="24" t="s">
        <v>114</v>
      </c>
      <c r="E36" s="1" t="s">
        <v>61</v>
      </c>
      <c r="F36" s="20" t="s">
        <v>185</v>
      </c>
      <c r="G36">
        <f t="shared" si="0"/>
        <v>125</v>
      </c>
      <c r="H36">
        <f t="shared" si="1"/>
        <v>62.5</v>
      </c>
      <c r="I36">
        <f t="shared" si="2"/>
        <v>62.5</v>
      </c>
      <c r="J36">
        <f t="shared" si="3"/>
        <v>135.87</v>
      </c>
      <c r="K36">
        <f t="shared" si="4"/>
        <v>24.456600000000002</v>
      </c>
      <c r="L36">
        <f t="shared" si="5"/>
        <v>218.57</v>
      </c>
      <c r="M36">
        <f t="shared" si="6"/>
        <v>104.17</v>
      </c>
    </row>
    <row r="37" spans="1:13" ht="15" customHeight="1" x14ac:dyDescent="0.3">
      <c r="A37" s="16" t="s">
        <v>181</v>
      </c>
      <c r="B37" s="17" t="s">
        <v>752</v>
      </c>
      <c r="C37" s="18"/>
      <c r="D37" s="19" t="s">
        <v>114</v>
      </c>
      <c r="E37" s="1" t="s">
        <v>61</v>
      </c>
      <c r="F37" s="20" t="s">
        <v>562</v>
      </c>
      <c r="G37">
        <f t="shared" si="0"/>
        <v>112.5</v>
      </c>
      <c r="H37">
        <f t="shared" si="1"/>
        <v>112.5</v>
      </c>
      <c r="I37">
        <f t="shared" si="2"/>
        <v>300</v>
      </c>
      <c r="J37">
        <f t="shared" si="3"/>
        <v>244.57</v>
      </c>
      <c r="K37">
        <f t="shared" si="4"/>
        <v>44.022599999999997</v>
      </c>
      <c r="L37">
        <f t="shared" si="5"/>
        <v>148.86000000000001</v>
      </c>
      <c r="M37">
        <f t="shared" si="6"/>
        <v>500</v>
      </c>
    </row>
    <row r="38" spans="1:13" ht="15" customHeight="1" x14ac:dyDescent="0.3">
      <c r="A38" s="21" t="s">
        <v>181</v>
      </c>
      <c r="B38" s="22" t="s">
        <v>753</v>
      </c>
      <c r="C38" s="23"/>
      <c r="D38" s="24" t="s">
        <v>114</v>
      </c>
      <c r="E38" s="1" t="s">
        <v>61</v>
      </c>
      <c r="F38" s="20" t="s">
        <v>185</v>
      </c>
      <c r="G38">
        <f t="shared" si="0"/>
        <v>125</v>
      </c>
      <c r="H38">
        <f t="shared" si="1"/>
        <v>62.5</v>
      </c>
      <c r="I38">
        <f t="shared" si="2"/>
        <v>62.5</v>
      </c>
      <c r="J38">
        <f t="shared" si="3"/>
        <v>135.87</v>
      </c>
      <c r="K38">
        <f t="shared" si="4"/>
        <v>24.456600000000002</v>
      </c>
      <c r="L38">
        <f t="shared" si="5"/>
        <v>218.57</v>
      </c>
      <c r="M38">
        <f t="shared" si="6"/>
        <v>104.17</v>
      </c>
    </row>
    <row r="39" spans="1:13" ht="18" customHeight="1" x14ac:dyDescent="0.3">
      <c r="A39" s="25" t="s">
        <v>187</v>
      </c>
      <c r="B39" s="25"/>
      <c r="C39" s="25"/>
      <c r="G39" t="str">
        <f t="shared" ref="G39:G70" si="7">IF($F39="","",IFERROR(VALUE(TRIM(LEFT($F39,FIND(":",$F39)-1)))*1.25,"N/A"))</f>
        <v/>
      </c>
      <c r="H39" t="str">
        <f t="shared" ref="H39:H70" si="8">IF($F39="","",IFERROR(VALUE(TRIM(MID($F39,FIND(":",$F39)+1,FIND(":",$F39,FIND(":",$F39)+1)-FIND(":",$F39)-1)))*1.25,"N/A"))</f>
        <v/>
      </c>
      <c r="I39" t="str">
        <f t="shared" ref="I39:I70" si="9">IF($F39="","",IFERROR(VALUE(TRIM(LEFT(MID($F39,FIND(":",$F39,FIND(":",$F39)+1)+1,LEN($F39)),FIND(" ",MID($F39,FIND(":",$F39,FIND(":",$F39)+1)+1,LEN($F39))&amp;" ")-1)))*1.25,"N/A"))</f>
        <v/>
      </c>
      <c r="J39" t="str">
        <f t="shared" ref="J39:J70" si="10">IF(OR($F39="",$H39="N/A"),IF($F39="","","N/A"),ROUND($H39/0.46,2))</f>
        <v/>
      </c>
      <c r="K39" t="str">
        <f t="shared" ref="K39:K70" si="11">IF(OR($F39="",$J39="N/A"),IF($F39="","","N/A"),$J39*0.18)</f>
        <v/>
      </c>
      <c r="L39" t="str">
        <f t="shared" ref="L39:L70" si="12">IF(OR($F39="",$G39="N/A",$K39="N/A"),IF($F39="","","N/A"),ROUND(($G39-$K39)/0.46,2))</f>
        <v/>
      </c>
      <c r="M39" t="str">
        <f t="shared" ref="M39:M70" si="13">IF(OR($F39="",$I39="N/A"),IF($F39="","","N/A"),ROUND($I39/0.6,2))</f>
        <v/>
      </c>
    </row>
    <row r="40" spans="1:13" ht="15" customHeight="1" x14ac:dyDescent="0.3">
      <c r="A40" s="16" t="s">
        <v>188</v>
      </c>
      <c r="B40" s="17" t="s">
        <v>754</v>
      </c>
      <c r="C40" s="18"/>
      <c r="D40" s="19" t="s">
        <v>114</v>
      </c>
      <c r="E40" s="1" t="s">
        <v>61</v>
      </c>
      <c r="F40" s="20" t="s">
        <v>192</v>
      </c>
      <c r="G40">
        <f t="shared" si="7"/>
        <v>137.5</v>
      </c>
      <c r="H40">
        <f t="shared" si="8"/>
        <v>43.75</v>
      </c>
      <c r="I40">
        <f t="shared" si="9"/>
        <v>412.5</v>
      </c>
      <c r="J40">
        <f t="shared" si="10"/>
        <v>95.11</v>
      </c>
      <c r="K40">
        <f t="shared" si="11"/>
        <v>17.119799999999998</v>
      </c>
      <c r="L40">
        <f t="shared" si="12"/>
        <v>261.7</v>
      </c>
      <c r="M40">
        <f t="shared" si="13"/>
        <v>687.5</v>
      </c>
    </row>
    <row r="41" spans="1:13" ht="15" customHeight="1" x14ac:dyDescent="0.3">
      <c r="A41" s="21" t="s">
        <v>188</v>
      </c>
      <c r="B41" s="22" t="s">
        <v>755</v>
      </c>
      <c r="C41" s="23"/>
      <c r="D41" s="24" t="s">
        <v>114</v>
      </c>
      <c r="E41" s="1" t="s">
        <v>61</v>
      </c>
      <c r="F41" s="20" t="s">
        <v>207</v>
      </c>
      <c r="G41">
        <f t="shared" si="7"/>
        <v>700</v>
      </c>
      <c r="H41">
        <f t="shared" si="8"/>
        <v>400</v>
      </c>
      <c r="I41">
        <f t="shared" si="9"/>
        <v>1500</v>
      </c>
      <c r="J41">
        <f t="shared" si="10"/>
        <v>869.57</v>
      </c>
      <c r="K41">
        <f t="shared" si="11"/>
        <v>156.52260000000001</v>
      </c>
      <c r="L41">
        <f t="shared" si="12"/>
        <v>1181.47</v>
      </c>
      <c r="M41">
        <f t="shared" si="13"/>
        <v>2500</v>
      </c>
    </row>
    <row r="42" spans="1:13" ht="15" customHeight="1" x14ac:dyDescent="0.3">
      <c r="A42" s="16" t="s">
        <v>188</v>
      </c>
      <c r="B42" s="17" t="s">
        <v>756</v>
      </c>
      <c r="C42" s="18"/>
      <c r="D42" s="19" t="s">
        <v>114</v>
      </c>
      <c r="E42" s="1" t="s">
        <v>61</v>
      </c>
      <c r="F42" s="20" t="s">
        <v>190</v>
      </c>
      <c r="G42">
        <f t="shared" si="7"/>
        <v>125</v>
      </c>
      <c r="H42">
        <f t="shared" si="8"/>
        <v>125</v>
      </c>
      <c r="I42">
        <f t="shared" si="9"/>
        <v>187.5</v>
      </c>
      <c r="J42">
        <f t="shared" si="10"/>
        <v>271.74</v>
      </c>
      <c r="K42">
        <f t="shared" si="11"/>
        <v>48.913200000000003</v>
      </c>
      <c r="L42">
        <f t="shared" si="12"/>
        <v>165.41</v>
      </c>
      <c r="M42">
        <f t="shared" si="13"/>
        <v>312.5</v>
      </c>
    </row>
    <row r="43" spans="1:13" ht="15" customHeight="1" x14ac:dyDescent="0.3">
      <c r="A43" s="21" t="s">
        <v>188</v>
      </c>
      <c r="B43" s="22" t="s">
        <v>195</v>
      </c>
      <c r="C43" s="23"/>
      <c r="D43" s="24" t="s">
        <v>114</v>
      </c>
      <c r="E43" s="1" t="s">
        <v>61</v>
      </c>
      <c r="F43" s="20" t="s">
        <v>194</v>
      </c>
      <c r="G43">
        <f t="shared" si="7"/>
        <v>125</v>
      </c>
      <c r="H43">
        <f t="shared" si="8"/>
        <v>125</v>
      </c>
      <c r="I43">
        <f t="shared" si="9"/>
        <v>125</v>
      </c>
      <c r="J43">
        <f t="shared" si="10"/>
        <v>271.74</v>
      </c>
      <c r="K43">
        <f t="shared" si="11"/>
        <v>48.913200000000003</v>
      </c>
      <c r="L43">
        <f t="shared" si="12"/>
        <v>165.41</v>
      </c>
      <c r="M43">
        <f t="shared" si="13"/>
        <v>208.33</v>
      </c>
    </row>
    <row r="44" spans="1:13" ht="15" customHeight="1" x14ac:dyDescent="0.3">
      <c r="A44" s="16" t="s">
        <v>188</v>
      </c>
      <c r="B44" s="17" t="s">
        <v>757</v>
      </c>
      <c r="C44" s="18"/>
      <c r="D44" s="19" t="s">
        <v>114</v>
      </c>
      <c r="E44" s="1" t="s">
        <v>61</v>
      </c>
      <c r="F44" s="20" t="s">
        <v>201</v>
      </c>
      <c r="G44">
        <f t="shared" si="7"/>
        <v>50</v>
      </c>
      <c r="H44">
        <f t="shared" si="8"/>
        <v>30</v>
      </c>
      <c r="I44">
        <f t="shared" si="9"/>
        <v>100</v>
      </c>
      <c r="J44">
        <f t="shared" si="10"/>
        <v>65.22</v>
      </c>
      <c r="K44">
        <f t="shared" si="11"/>
        <v>11.739599999999999</v>
      </c>
      <c r="L44">
        <f t="shared" si="12"/>
        <v>83.17</v>
      </c>
      <c r="M44">
        <f t="shared" si="13"/>
        <v>166.67</v>
      </c>
    </row>
    <row r="45" spans="1:13" ht="15" customHeight="1" x14ac:dyDescent="0.3">
      <c r="A45" s="21" t="s">
        <v>188</v>
      </c>
      <c r="B45" s="22" t="s">
        <v>193</v>
      </c>
      <c r="C45" s="23"/>
      <c r="D45" s="24" t="s">
        <v>114</v>
      </c>
      <c r="E45" s="1" t="s">
        <v>61</v>
      </c>
      <c r="F45" s="20" t="s">
        <v>194</v>
      </c>
      <c r="G45">
        <f t="shared" si="7"/>
        <v>125</v>
      </c>
      <c r="H45">
        <f t="shared" si="8"/>
        <v>125</v>
      </c>
      <c r="I45">
        <f t="shared" si="9"/>
        <v>125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208.33</v>
      </c>
    </row>
    <row r="46" spans="1:13" ht="15" customHeight="1" x14ac:dyDescent="0.3">
      <c r="A46" s="16" t="s">
        <v>188</v>
      </c>
      <c r="B46" s="17" t="s">
        <v>418</v>
      </c>
      <c r="C46" s="18"/>
      <c r="D46" s="19" t="s">
        <v>114</v>
      </c>
      <c r="E46" s="1" t="s">
        <v>61</v>
      </c>
      <c r="F46" s="20" t="s">
        <v>190</v>
      </c>
      <c r="G46">
        <f t="shared" si="7"/>
        <v>125</v>
      </c>
      <c r="H46">
        <f t="shared" si="8"/>
        <v>125</v>
      </c>
      <c r="I46">
        <f t="shared" si="9"/>
        <v>187.5</v>
      </c>
      <c r="J46">
        <f t="shared" si="10"/>
        <v>271.74</v>
      </c>
      <c r="K46">
        <f t="shared" si="11"/>
        <v>48.913200000000003</v>
      </c>
      <c r="L46">
        <f t="shared" si="12"/>
        <v>165.41</v>
      </c>
      <c r="M46">
        <f t="shared" si="13"/>
        <v>312.5</v>
      </c>
    </row>
    <row r="47" spans="1:13" ht="15" customHeight="1" x14ac:dyDescent="0.3">
      <c r="A47" s="21" t="s">
        <v>188</v>
      </c>
      <c r="B47" s="22" t="s">
        <v>214</v>
      </c>
      <c r="C47" s="23"/>
      <c r="D47" s="24" t="s">
        <v>114</v>
      </c>
      <c r="E47" s="1" t="s">
        <v>61</v>
      </c>
      <c r="F47" s="20" t="s">
        <v>215</v>
      </c>
      <c r="G47">
        <f t="shared" si="7"/>
        <v>93.75</v>
      </c>
      <c r="H47">
        <f t="shared" si="8"/>
        <v>50</v>
      </c>
      <c r="I47">
        <f t="shared" si="9"/>
        <v>62.5</v>
      </c>
      <c r="J47">
        <f t="shared" si="10"/>
        <v>108.7</v>
      </c>
      <c r="K47">
        <f t="shared" si="11"/>
        <v>19.565999999999999</v>
      </c>
      <c r="L47">
        <f t="shared" si="12"/>
        <v>161.27000000000001</v>
      </c>
      <c r="M47">
        <f t="shared" si="13"/>
        <v>104.17</v>
      </c>
    </row>
    <row r="48" spans="1:13" ht="15" customHeight="1" x14ac:dyDescent="0.3">
      <c r="A48" s="16" t="s">
        <v>188</v>
      </c>
      <c r="B48" s="17" t="s">
        <v>758</v>
      </c>
      <c r="C48" s="18"/>
      <c r="D48" s="19" t="s">
        <v>114</v>
      </c>
      <c r="E48" s="1" t="s">
        <v>61</v>
      </c>
      <c r="F48" s="20" t="s">
        <v>300</v>
      </c>
      <c r="G48">
        <f t="shared" si="7"/>
        <v>750</v>
      </c>
      <c r="H48">
        <f t="shared" si="8"/>
        <v>250</v>
      </c>
      <c r="I48">
        <f t="shared" si="9"/>
        <v>500</v>
      </c>
      <c r="J48">
        <f t="shared" si="10"/>
        <v>543.48</v>
      </c>
      <c r="K48">
        <f t="shared" si="11"/>
        <v>97.826400000000007</v>
      </c>
      <c r="L48">
        <f t="shared" si="12"/>
        <v>1417.77</v>
      </c>
      <c r="M48">
        <f t="shared" si="13"/>
        <v>833.33</v>
      </c>
    </row>
    <row r="49" spans="1:13" ht="15" customHeight="1" x14ac:dyDescent="0.3">
      <c r="A49" s="21" t="s">
        <v>188</v>
      </c>
      <c r="B49" s="22" t="s">
        <v>305</v>
      </c>
      <c r="C49" s="23"/>
      <c r="D49" s="24" t="s">
        <v>114</v>
      </c>
      <c r="E49" s="1" t="s">
        <v>61</v>
      </c>
      <c r="F49" s="20" t="s">
        <v>306</v>
      </c>
      <c r="G49">
        <f t="shared" si="7"/>
        <v>20</v>
      </c>
      <c r="H49">
        <f t="shared" si="8"/>
        <v>5</v>
      </c>
      <c r="I49">
        <f t="shared" si="9"/>
        <v>15</v>
      </c>
      <c r="J49">
        <f t="shared" si="10"/>
        <v>10.87</v>
      </c>
      <c r="K49">
        <f t="shared" si="11"/>
        <v>1.9565999999999999</v>
      </c>
      <c r="L49">
        <f t="shared" si="12"/>
        <v>39.22</v>
      </c>
      <c r="M49">
        <f t="shared" si="13"/>
        <v>25</v>
      </c>
    </row>
    <row r="50" spans="1:13" ht="15" customHeight="1" x14ac:dyDescent="0.3">
      <c r="A50" s="16" t="s">
        <v>188</v>
      </c>
      <c r="B50" s="17" t="s">
        <v>565</v>
      </c>
      <c r="C50" s="18"/>
      <c r="D50" s="19" t="s">
        <v>114</v>
      </c>
      <c r="E50" s="1" t="s">
        <v>61</v>
      </c>
      <c r="F50" s="20" t="s">
        <v>199</v>
      </c>
      <c r="G50">
        <f t="shared" si="7"/>
        <v>750</v>
      </c>
      <c r="H50">
        <f t="shared" si="8"/>
        <v>250</v>
      </c>
      <c r="I50">
        <f t="shared" si="9"/>
        <v>375</v>
      </c>
      <c r="J50">
        <f t="shared" si="10"/>
        <v>543.48</v>
      </c>
      <c r="K50">
        <f t="shared" si="11"/>
        <v>97.826400000000007</v>
      </c>
      <c r="L50">
        <f t="shared" si="12"/>
        <v>1417.77</v>
      </c>
      <c r="M50">
        <f t="shared" si="13"/>
        <v>625</v>
      </c>
    </row>
    <row r="51" spans="1:13" ht="15" customHeight="1" x14ac:dyDescent="0.3">
      <c r="A51" s="21" t="s">
        <v>188</v>
      </c>
      <c r="B51" s="22" t="s">
        <v>202</v>
      </c>
      <c r="C51" s="23"/>
      <c r="D51" s="24" t="s">
        <v>114</v>
      </c>
      <c r="E51" s="1" t="s">
        <v>61</v>
      </c>
      <c r="F51" s="20" t="s">
        <v>203</v>
      </c>
      <c r="G51">
        <f t="shared" si="7"/>
        <v>68.75</v>
      </c>
      <c r="H51">
        <f t="shared" si="8"/>
        <v>68.75</v>
      </c>
      <c r="I51">
        <f t="shared" si="9"/>
        <v>68.75</v>
      </c>
      <c r="J51">
        <f t="shared" si="10"/>
        <v>149.46</v>
      </c>
      <c r="K51">
        <f t="shared" si="11"/>
        <v>26.902799999999999</v>
      </c>
      <c r="L51">
        <f t="shared" si="12"/>
        <v>90.97</v>
      </c>
      <c r="M51">
        <f t="shared" si="13"/>
        <v>114.58</v>
      </c>
    </row>
    <row r="52" spans="1:13" ht="15" customHeight="1" x14ac:dyDescent="0.3">
      <c r="A52" s="16" t="s">
        <v>188</v>
      </c>
      <c r="B52" s="17" t="s">
        <v>210</v>
      </c>
      <c r="C52" s="18"/>
      <c r="D52" s="19" t="s">
        <v>114</v>
      </c>
      <c r="E52" s="1" t="s">
        <v>61</v>
      </c>
      <c r="F52" s="20" t="s">
        <v>211</v>
      </c>
      <c r="G52">
        <f t="shared" si="7"/>
        <v>93.75</v>
      </c>
      <c r="H52">
        <f t="shared" si="8"/>
        <v>75</v>
      </c>
      <c r="I52">
        <f t="shared" si="9"/>
        <v>62.5</v>
      </c>
      <c r="J52">
        <f t="shared" si="10"/>
        <v>163.04</v>
      </c>
      <c r="K52">
        <f t="shared" si="11"/>
        <v>29.347199999999997</v>
      </c>
      <c r="L52">
        <f t="shared" si="12"/>
        <v>140.01</v>
      </c>
      <c r="M52">
        <f t="shared" si="13"/>
        <v>104.17</v>
      </c>
    </row>
    <row r="53" spans="1:13" ht="18" customHeight="1" x14ac:dyDescent="0.3">
      <c r="A53" s="25" t="s">
        <v>220</v>
      </c>
      <c r="B53" s="25"/>
      <c r="C53" s="25"/>
      <c r="G53" t="str">
        <f t="shared" si="7"/>
        <v/>
      </c>
      <c r="H53" t="str">
        <f t="shared" si="8"/>
        <v/>
      </c>
      <c r="I53" t="str">
        <f t="shared" si="9"/>
        <v/>
      </c>
      <c r="J53" t="str">
        <f t="shared" si="10"/>
        <v/>
      </c>
      <c r="K53" t="str">
        <f t="shared" si="11"/>
        <v/>
      </c>
      <c r="L53" t="str">
        <f t="shared" si="12"/>
        <v/>
      </c>
      <c r="M53" t="str">
        <f t="shared" si="13"/>
        <v/>
      </c>
    </row>
    <row r="54" spans="1:13" ht="15" customHeight="1" x14ac:dyDescent="0.3">
      <c r="A54" s="21" t="s">
        <v>221</v>
      </c>
      <c r="B54" s="22" t="s">
        <v>222</v>
      </c>
      <c r="C54" s="23"/>
      <c r="D54" s="24" t="s">
        <v>114</v>
      </c>
      <c r="E54" s="1" t="s">
        <v>61</v>
      </c>
      <c r="F54" s="20" t="s">
        <v>223</v>
      </c>
      <c r="G54">
        <f t="shared" si="7"/>
        <v>187.5</v>
      </c>
      <c r="H54">
        <f t="shared" si="8"/>
        <v>125</v>
      </c>
      <c r="I54">
        <f t="shared" si="9"/>
        <v>62.5</v>
      </c>
      <c r="J54">
        <f t="shared" si="10"/>
        <v>271.74</v>
      </c>
      <c r="K54">
        <f t="shared" si="11"/>
        <v>48.913200000000003</v>
      </c>
      <c r="L54">
        <f t="shared" si="12"/>
        <v>301.27999999999997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325</v>
      </c>
      <c r="C55" s="18"/>
      <c r="D55" s="19" t="s">
        <v>114</v>
      </c>
      <c r="E55" s="1" t="s">
        <v>61</v>
      </c>
      <c r="F55" s="20" t="s">
        <v>225</v>
      </c>
      <c r="G55">
        <f t="shared" si="7"/>
        <v>125</v>
      </c>
      <c r="H55">
        <f t="shared" si="8"/>
        <v>62.5</v>
      </c>
      <c r="I55">
        <f t="shared" si="9"/>
        <v>37.5</v>
      </c>
      <c r="J55">
        <f t="shared" si="10"/>
        <v>135.87</v>
      </c>
      <c r="K55">
        <f t="shared" si="11"/>
        <v>24.456600000000002</v>
      </c>
      <c r="L55">
        <f t="shared" si="12"/>
        <v>218.57</v>
      </c>
      <c r="M55">
        <f t="shared" si="13"/>
        <v>62.5</v>
      </c>
    </row>
    <row r="56" spans="1:13" ht="15" customHeight="1" x14ac:dyDescent="0.3">
      <c r="A56" s="21" t="s">
        <v>221</v>
      </c>
      <c r="B56" s="22" t="s">
        <v>326</v>
      </c>
      <c r="C56" s="23"/>
      <c r="D56" s="24" t="s">
        <v>114</v>
      </c>
      <c r="E56" s="1" t="s">
        <v>61</v>
      </c>
      <c r="F56" s="20" t="s">
        <v>227</v>
      </c>
      <c r="G56">
        <f t="shared" si="7"/>
        <v>50</v>
      </c>
      <c r="H56">
        <f t="shared" si="8"/>
        <v>62.5</v>
      </c>
      <c r="I56">
        <f t="shared" si="9"/>
        <v>37.5</v>
      </c>
      <c r="J56">
        <f t="shared" si="10"/>
        <v>135.87</v>
      </c>
      <c r="K56">
        <f t="shared" si="11"/>
        <v>24.456600000000002</v>
      </c>
      <c r="L56">
        <f t="shared" si="12"/>
        <v>55.53</v>
      </c>
      <c r="M56">
        <f t="shared" si="13"/>
        <v>62.5</v>
      </c>
    </row>
    <row r="57" spans="1:13" ht="15" customHeight="1" x14ac:dyDescent="0.3">
      <c r="A57" s="16" t="s">
        <v>221</v>
      </c>
      <c r="B57" s="17" t="s">
        <v>230</v>
      </c>
      <c r="C57" s="18"/>
      <c r="D57" s="19" t="s">
        <v>114</v>
      </c>
      <c r="E57" s="1" t="s">
        <v>61</v>
      </c>
      <c r="F57" s="20" t="s">
        <v>231</v>
      </c>
      <c r="G57">
        <f t="shared" si="7"/>
        <v>125</v>
      </c>
      <c r="H57">
        <f t="shared" si="8"/>
        <v>187.5</v>
      </c>
      <c r="I57">
        <f t="shared" si="9"/>
        <v>93.75</v>
      </c>
      <c r="J57">
        <f t="shared" si="10"/>
        <v>407.61</v>
      </c>
      <c r="K57">
        <f t="shared" si="11"/>
        <v>73.369799999999998</v>
      </c>
      <c r="L57">
        <f t="shared" si="12"/>
        <v>112.24</v>
      </c>
      <c r="M57">
        <f t="shared" si="13"/>
        <v>156.25</v>
      </c>
    </row>
    <row r="58" spans="1:13" ht="15" customHeight="1" x14ac:dyDescent="0.3">
      <c r="A58" s="21" t="s">
        <v>221</v>
      </c>
      <c r="B58" s="22" t="s">
        <v>228</v>
      </c>
      <c r="C58" s="23"/>
      <c r="D58" s="24" t="s">
        <v>114</v>
      </c>
      <c r="E58" s="1" t="s">
        <v>61</v>
      </c>
      <c r="F58" s="20" t="s">
        <v>229</v>
      </c>
      <c r="G58">
        <f t="shared" si="7"/>
        <v>150</v>
      </c>
      <c r="H58">
        <f t="shared" si="8"/>
        <v>75</v>
      </c>
      <c r="I58">
        <f t="shared" si="9"/>
        <v>37.5</v>
      </c>
      <c r="J58">
        <f t="shared" si="10"/>
        <v>163.04</v>
      </c>
      <c r="K58">
        <f t="shared" si="11"/>
        <v>29.347199999999997</v>
      </c>
      <c r="L58">
        <f t="shared" si="12"/>
        <v>262.29000000000002</v>
      </c>
      <c r="M58">
        <f t="shared" si="13"/>
        <v>62.5</v>
      </c>
    </row>
    <row r="59" spans="1:13" ht="15" customHeight="1" x14ac:dyDescent="0.3">
      <c r="A59" s="16" t="s">
        <v>221</v>
      </c>
      <c r="B59" s="17" t="s">
        <v>234</v>
      </c>
      <c r="C59" s="18"/>
      <c r="D59" s="19" t="s">
        <v>114</v>
      </c>
      <c r="E59" s="1" t="s">
        <v>61</v>
      </c>
      <c r="F59" s="20" t="s">
        <v>235</v>
      </c>
      <c r="G59">
        <f t="shared" si="7"/>
        <v>125</v>
      </c>
      <c r="H59">
        <f t="shared" si="8"/>
        <v>125</v>
      </c>
      <c r="I59">
        <f t="shared" si="9"/>
        <v>62.5</v>
      </c>
      <c r="J59">
        <f t="shared" si="10"/>
        <v>271.74</v>
      </c>
      <c r="K59">
        <f t="shared" si="11"/>
        <v>48.913200000000003</v>
      </c>
      <c r="L59">
        <f t="shared" si="12"/>
        <v>165.41</v>
      </c>
      <c r="M59">
        <f t="shared" si="13"/>
        <v>104.17</v>
      </c>
    </row>
    <row r="60" spans="1:13" ht="15" customHeight="1" x14ac:dyDescent="0.3">
      <c r="A60" s="21" t="s">
        <v>221</v>
      </c>
      <c r="B60" s="22" t="s">
        <v>232</v>
      </c>
      <c r="C60" s="23"/>
      <c r="D60" s="24" t="s">
        <v>114</v>
      </c>
      <c r="E60" s="1" t="s">
        <v>61</v>
      </c>
      <c r="F60" s="20" t="s">
        <v>233</v>
      </c>
      <c r="G60">
        <f t="shared" si="7"/>
        <v>125</v>
      </c>
      <c r="H60">
        <f t="shared" si="8"/>
        <v>156.25</v>
      </c>
      <c r="I60">
        <f t="shared" si="9"/>
        <v>31.25</v>
      </c>
      <c r="J60">
        <f t="shared" si="10"/>
        <v>339.67</v>
      </c>
      <c r="K60">
        <f t="shared" si="11"/>
        <v>61.140599999999999</v>
      </c>
      <c r="L60">
        <f t="shared" si="12"/>
        <v>138.82</v>
      </c>
      <c r="M60">
        <f t="shared" si="13"/>
        <v>52.08</v>
      </c>
    </row>
    <row r="61" spans="1:13" ht="15" customHeight="1" x14ac:dyDescent="0.3">
      <c r="A61" s="16" t="s">
        <v>221</v>
      </c>
      <c r="B61" s="17" t="s">
        <v>236</v>
      </c>
      <c r="C61" s="18"/>
      <c r="D61" s="19" t="s">
        <v>114</v>
      </c>
      <c r="E61" s="1" t="s">
        <v>61</v>
      </c>
      <c r="F61" s="20" t="s">
        <v>237</v>
      </c>
      <c r="G61">
        <f t="shared" si="7"/>
        <v>62.5</v>
      </c>
      <c r="H61">
        <f t="shared" si="8"/>
        <v>62.5</v>
      </c>
      <c r="I61">
        <f t="shared" si="9"/>
        <v>62.5</v>
      </c>
      <c r="J61">
        <f t="shared" si="10"/>
        <v>135.87</v>
      </c>
      <c r="K61">
        <f t="shared" si="11"/>
        <v>24.456600000000002</v>
      </c>
      <c r="L61">
        <f t="shared" si="12"/>
        <v>82.7</v>
      </c>
      <c r="M61">
        <f t="shared" si="13"/>
        <v>104.17</v>
      </c>
    </row>
    <row r="62" spans="1:13" ht="15" customHeight="1" x14ac:dyDescent="0.3">
      <c r="A62" s="21" t="s">
        <v>221</v>
      </c>
      <c r="B62" s="22" t="s">
        <v>240</v>
      </c>
      <c r="C62" s="23"/>
      <c r="D62" s="24" t="s">
        <v>114</v>
      </c>
      <c r="E62" s="1" t="s">
        <v>61</v>
      </c>
      <c r="F62" s="20" t="s">
        <v>241</v>
      </c>
      <c r="G62">
        <f t="shared" si="7"/>
        <v>7.5</v>
      </c>
      <c r="H62">
        <f t="shared" si="8"/>
        <v>15</v>
      </c>
      <c r="I62">
        <f t="shared" si="9"/>
        <v>15</v>
      </c>
      <c r="J62">
        <f t="shared" si="10"/>
        <v>32.61</v>
      </c>
      <c r="K62">
        <f t="shared" si="11"/>
        <v>5.8697999999999997</v>
      </c>
      <c r="L62">
        <f t="shared" si="12"/>
        <v>3.54</v>
      </c>
      <c r="M62">
        <f t="shared" si="13"/>
        <v>25</v>
      </c>
    </row>
    <row r="63" spans="1:13" ht="15" customHeight="1" x14ac:dyDescent="0.3">
      <c r="A63" s="16" t="s">
        <v>221</v>
      </c>
      <c r="B63" s="17" t="s">
        <v>243</v>
      </c>
      <c r="C63" s="18"/>
      <c r="D63" s="19" t="s">
        <v>114</v>
      </c>
      <c r="E63" s="1" t="s">
        <v>61</v>
      </c>
      <c r="F63" s="20" t="s">
        <v>241</v>
      </c>
      <c r="G63">
        <f t="shared" si="7"/>
        <v>7.5</v>
      </c>
      <c r="H63">
        <f t="shared" si="8"/>
        <v>15</v>
      </c>
      <c r="I63">
        <f t="shared" si="9"/>
        <v>15</v>
      </c>
      <c r="J63">
        <f t="shared" si="10"/>
        <v>32.61</v>
      </c>
      <c r="K63">
        <f t="shared" si="11"/>
        <v>5.8697999999999997</v>
      </c>
      <c r="L63">
        <f t="shared" si="12"/>
        <v>3.54</v>
      </c>
      <c r="M63">
        <f t="shared" si="13"/>
        <v>25</v>
      </c>
    </row>
    <row r="64" spans="1:13" ht="15" customHeight="1" x14ac:dyDescent="0.3">
      <c r="A64" s="21" t="s">
        <v>221</v>
      </c>
      <c r="B64" s="22" t="s">
        <v>575</v>
      </c>
      <c r="C64" s="23"/>
      <c r="D64" s="24" t="s">
        <v>114</v>
      </c>
      <c r="E64" s="1" t="s">
        <v>61</v>
      </c>
      <c r="F64" s="20" t="s">
        <v>241</v>
      </c>
      <c r="G64">
        <f t="shared" si="7"/>
        <v>7.5</v>
      </c>
      <c r="H64">
        <f t="shared" si="8"/>
        <v>15</v>
      </c>
      <c r="I64">
        <f t="shared" si="9"/>
        <v>15</v>
      </c>
      <c r="J64">
        <f t="shared" si="10"/>
        <v>32.61</v>
      </c>
      <c r="K64">
        <f t="shared" si="11"/>
        <v>5.8697999999999997</v>
      </c>
      <c r="L64">
        <f t="shared" si="12"/>
        <v>3.54</v>
      </c>
      <c r="M64">
        <f t="shared" si="13"/>
        <v>25</v>
      </c>
    </row>
    <row r="65" spans="1:13" ht="15" customHeight="1" x14ac:dyDescent="0.3">
      <c r="A65" s="16" t="s">
        <v>221</v>
      </c>
      <c r="B65" s="17" t="s">
        <v>331</v>
      </c>
      <c r="C65" s="18"/>
      <c r="D65" s="19" t="s">
        <v>114</v>
      </c>
      <c r="E65" s="1" t="s">
        <v>61</v>
      </c>
      <c r="F65" s="20" t="s">
        <v>332</v>
      </c>
      <c r="G65">
        <f t="shared" si="7"/>
        <v>168.75</v>
      </c>
      <c r="H65">
        <f t="shared" si="8"/>
        <v>168.75</v>
      </c>
      <c r="I65">
        <f t="shared" si="9"/>
        <v>168.75</v>
      </c>
      <c r="J65">
        <f t="shared" si="10"/>
        <v>366.85</v>
      </c>
      <c r="K65">
        <f t="shared" si="11"/>
        <v>66.033000000000001</v>
      </c>
      <c r="L65">
        <f t="shared" si="12"/>
        <v>223.3</v>
      </c>
      <c r="M65">
        <f t="shared" si="13"/>
        <v>281.25</v>
      </c>
    </row>
    <row r="66" spans="1:13" ht="15" customHeight="1" x14ac:dyDescent="0.3">
      <c r="A66" s="21" t="s">
        <v>221</v>
      </c>
      <c r="B66" s="22" t="s">
        <v>759</v>
      </c>
      <c r="C66" s="23"/>
      <c r="D66" s="24" t="s">
        <v>114</v>
      </c>
      <c r="E66" s="1" t="s">
        <v>61</v>
      </c>
      <c r="F66" s="20" t="s">
        <v>760</v>
      </c>
      <c r="G66">
        <f t="shared" si="7"/>
        <v>150</v>
      </c>
      <c r="H66">
        <f t="shared" si="8"/>
        <v>200</v>
      </c>
      <c r="I66">
        <f t="shared" si="9"/>
        <v>125</v>
      </c>
      <c r="J66">
        <f t="shared" si="10"/>
        <v>434.78</v>
      </c>
      <c r="K66">
        <f t="shared" si="11"/>
        <v>78.26039999999999</v>
      </c>
      <c r="L66">
        <f t="shared" si="12"/>
        <v>155.96</v>
      </c>
      <c r="M66">
        <f t="shared" si="13"/>
        <v>208.33</v>
      </c>
    </row>
    <row r="67" spans="1:13" ht="15" customHeight="1" x14ac:dyDescent="0.3">
      <c r="A67" s="16" t="s">
        <v>221</v>
      </c>
      <c r="B67" s="17" t="s">
        <v>329</v>
      </c>
      <c r="C67" s="18"/>
      <c r="D67" s="19" t="s">
        <v>114</v>
      </c>
      <c r="E67" s="1" t="s">
        <v>61</v>
      </c>
      <c r="F67" s="20" t="s">
        <v>330</v>
      </c>
      <c r="G67">
        <f t="shared" si="7"/>
        <v>62.5</v>
      </c>
      <c r="H67">
        <f t="shared" si="8"/>
        <v>125</v>
      </c>
      <c r="I67">
        <f t="shared" si="9"/>
        <v>62.5</v>
      </c>
      <c r="J67">
        <f t="shared" si="10"/>
        <v>271.74</v>
      </c>
      <c r="K67">
        <f t="shared" si="11"/>
        <v>48.913200000000003</v>
      </c>
      <c r="L67">
        <f t="shared" si="12"/>
        <v>29.54</v>
      </c>
      <c r="M67">
        <f t="shared" si="13"/>
        <v>104.17</v>
      </c>
    </row>
    <row r="68" spans="1:13" ht="15" customHeight="1" x14ac:dyDescent="0.3">
      <c r="A68" s="21" t="s">
        <v>221</v>
      </c>
      <c r="B68" s="22" t="s">
        <v>761</v>
      </c>
      <c r="C68" s="23"/>
      <c r="D68" s="24" t="s">
        <v>114</v>
      </c>
      <c r="E68" s="1" t="s">
        <v>61</v>
      </c>
      <c r="F68" s="20" t="s">
        <v>249</v>
      </c>
      <c r="G68">
        <f t="shared" si="7"/>
        <v>125</v>
      </c>
      <c r="H68">
        <f t="shared" si="8"/>
        <v>62.5</v>
      </c>
      <c r="I68">
        <f t="shared" si="9"/>
        <v>62.5</v>
      </c>
      <c r="J68">
        <f t="shared" si="10"/>
        <v>135.87</v>
      </c>
      <c r="K68">
        <f t="shared" si="11"/>
        <v>24.456600000000002</v>
      </c>
      <c r="L68">
        <f t="shared" si="12"/>
        <v>218.57</v>
      </c>
      <c r="M68">
        <f t="shared" si="13"/>
        <v>104.17</v>
      </c>
    </row>
    <row r="69" spans="1:13" ht="15" customHeight="1" x14ac:dyDescent="0.3">
      <c r="A69" s="16" t="s">
        <v>221</v>
      </c>
      <c r="B69" s="17" t="s">
        <v>333</v>
      </c>
      <c r="C69" s="18"/>
      <c r="D69" s="19" t="s">
        <v>114</v>
      </c>
      <c r="E69" s="1" t="s">
        <v>61</v>
      </c>
      <c r="F69" s="20" t="s">
        <v>334</v>
      </c>
      <c r="G69">
        <f t="shared" si="7"/>
        <v>50</v>
      </c>
      <c r="H69">
        <f t="shared" si="8"/>
        <v>75</v>
      </c>
      <c r="I69">
        <f t="shared" si="9"/>
        <v>150</v>
      </c>
      <c r="J69">
        <f t="shared" si="10"/>
        <v>163.04</v>
      </c>
      <c r="K69">
        <f t="shared" si="11"/>
        <v>29.347199999999997</v>
      </c>
      <c r="L69">
        <f t="shared" si="12"/>
        <v>44.9</v>
      </c>
      <c r="M69">
        <f t="shared" si="13"/>
        <v>250</v>
      </c>
    </row>
    <row r="70" spans="1:13" ht="15" customHeight="1" x14ac:dyDescent="0.3">
      <c r="A70" s="21" t="s">
        <v>221</v>
      </c>
      <c r="B70" s="22" t="s">
        <v>335</v>
      </c>
      <c r="C70" s="23"/>
      <c r="D70" s="24" t="s">
        <v>114</v>
      </c>
      <c r="E70" s="1" t="s">
        <v>61</v>
      </c>
      <c r="F70" s="20" t="s">
        <v>336</v>
      </c>
      <c r="G70">
        <f t="shared" si="7"/>
        <v>112.5</v>
      </c>
      <c r="H70">
        <f t="shared" si="8"/>
        <v>75</v>
      </c>
      <c r="I70">
        <f t="shared" si="9"/>
        <v>300</v>
      </c>
      <c r="J70">
        <f t="shared" si="10"/>
        <v>163.04</v>
      </c>
      <c r="K70">
        <f t="shared" si="11"/>
        <v>29.347199999999997</v>
      </c>
      <c r="L70">
        <f t="shared" si="12"/>
        <v>180.77</v>
      </c>
      <c r="M70">
        <f t="shared" si="13"/>
        <v>500</v>
      </c>
    </row>
    <row r="71" spans="1:13" ht="15" customHeight="1" x14ac:dyDescent="0.3">
      <c r="A71" s="16" t="s">
        <v>221</v>
      </c>
      <c r="B71" s="17" t="s">
        <v>573</v>
      </c>
      <c r="C71" s="18"/>
      <c r="D71" s="19" t="s">
        <v>114</v>
      </c>
      <c r="E71" s="1" t="s">
        <v>61</v>
      </c>
      <c r="F71" s="20" t="s">
        <v>562</v>
      </c>
      <c r="G71">
        <f t="shared" ref="G71:G103" si="14">IF($F71="","",IFERROR(VALUE(TRIM(LEFT($F71,FIND(":",$F71)-1)))*1.25,"N/A"))</f>
        <v>112.5</v>
      </c>
      <c r="H71">
        <f t="shared" ref="H71:H103" si="15">IF($F71="","",IFERROR(VALUE(TRIM(MID($F71,FIND(":",$F71)+1,FIND(":",$F71,FIND(":",$F71)+1)-FIND(":",$F71)-1)))*1.25,"N/A"))</f>
        <v>112.5</v>
      </c>
      <c r="I71">
        <f t="shared" ref="I71:I103" si="16">IF($F71="","",IFERROR(VALUE(TRIM(LEFT(MID($F71,FIND(":",$F71,FIND(":",$F71)+1)+1,LEN($F71)),FIND(" ",MID($F71,FIND(":",$F71,FIND(":",$F71)+1)+1,LEN($F71))&amp;" ")-1)))*1.25,"N/A"))</f>
        <v>300</v>
      </c>
      <c r="J71">
        <f t="shared" ref="J71:J103" si="17">IF(OR($F71="",$H71="N/A"),IF($F71="","","N/A"),ROUND($H71/0.46,2))</f>
        <v>244.57</v>
      </c>
      <c r="K71">
        <f t="shared" ref="K71:K103" si="18">IF(OR($F71="",$J71="N/A"),IF($F71="","","N/A"),$J71*0.18)</f>
        <v>44.022599999999997</v>
      </c>
      <c r="L71">
        <f t="shared" ref="L71:L103" si="19">IF(OR($F71="",$G71="N/A",$K71="N/A"),IF($F71="","","N/A"),ROUND(($G71-$K71)/0.46,2))</f>
        <v>148.86000000000001</v>
      </c>
      <c r="M71">
        <f t="shared" ref="M71:M103" si="20">IF(OR($F71="",$I71="N/A"),IF($F71="","","N/A"),ROUND($I71/0.6,2))</f>
        <v>500</v>
      </c>
    </row>
    <row r="72" spans="1:13" ht="15" customHeight="1" x14ac:dyDescent="0.3">
      <c r="A72" s="21" t="s">
        <v>221</v>
      </c>
      <c r="B72" s="22" t="s">
        <v>762</v>
      </c>
      <c r="C72" s="23"/>
      <c r="D72" s="24" t="s">
        <v>114</v>
      </c>
      <c r="E72" s="1" t="s">
        <v>61</v>
      </c>
      <c r="F72" s="20" t="s">
        <v>251</v>
      </c>
      <c r="G72">
        <f t="shared" si="14"/>
        <v>75</v>
      </c>
      <c r="H72">
        <f t="shared" si="15"/>
        <v>75</v>
      </c>
      <c r="I72">
        <f t="shared" si="16"/>
        <v>75</v>
      </c>
      <c r="J72">
        <f t="shared" si="17"/>
        <v>163.04</v>
      </c>
      <c r="K72">
        <f t="shared" si="18"/>
        <v>29.347199999999997</v>
      </c>
      <c r="L72">
        <f t="shared" si="19"/>
        <v>99.25</v>
      </c>
      <c r="M72">
        <f t="shared" si="20"/>
        <v>125</v>
      </c>
    </row>
    <row r="73" spans="1:13" ht="18" customHeight="1" x14ac:dyDescent="0.3">
      <c r="A73" s="25" t="s">
        <v>252</v>
      </c>
      <c r="B73" s="25"/>
      <c r="C73" s="25"/>
      <c r="G73" t="str">
        <f t="shared" si="14"/>
        <v/>
      </c>
      <c r="H73" t="str">
        <f t="shared" si="15"/>
        <v/>
      </c>
      <c r="I73" t="str">
        <f t="shared" si="16"/>
        <v/>
      </c>
      <c r="J73" t="str">
        <f t="shared" si="17"/>
        <v/>
      </c>
      <c r="K73" t="str">
        <f t="shared" si="18"/>
        <v/>
      </c>
      <c r="L73" t="str">
        <f t="shared" si="19"/>
        <v/>
      </c>
      <c r="M73" t="str">
        <f t="shared" si="20"/>
        <v/>
      </c>
    </row>
    <row r="74" spans="1:13" ht="15" customHeight="1" x14ac:dyDescent="0.3">
      <c r="A74" s="16" t="s">
        <v>253</v>
      </c>
      <c r="B74" s="17" t="s">
        <v>259</v>
      </c>
      <c r="C74" s="18"/>
      <c r="D74" s="19" t="s">
        <v>114</v>
      </c>
      <c r="E74" s="1" t="s">
        <v>61</v>
      </c>
      <c r="F74" s="20" t="s">
        <v>260</v>
      </c>
      <c r="G74">
        <f t="shared" si="14"/>
        <v>125</v>
      </c>
      <c r="H74">
        <f t="shared" si="15"/>
        <v>50</v>
      </c>
      <c r="I74">
        <f t="shared" si="16"/>
        <v>175</v>
      </c>
      <c r="J74">
        <f t="shared" si="17"/>
        <v>108.7</v>
      </c>
      <c r="K74">
        <f t="shared" si="18"/>
        <v>19.565999999999999</v>
      </c>
      <c r="L74">
        <f t="shared" si="19"/>
        <v>229.2</v>
      </c>
      <c r="M74">
        <f t="shared" si="20"/>
        <v>291.67</v>
      </c>
    </row>
    <row r="75" spans="1:13" ht="15" customHeight="1" x14ac:dyDescent="0.3">
      <c r="A75" s="21" t="s">
        <v>253</v>
      </c>
      <c r="B75" s="22" t="s">
        <v>337</v>
      </c>
      <c r="C75" s="23"/>
      <c r="D75" s="24" t="s">
        <v>114</v>
      </c>
      <c r="E75" s="1" t="s">
        <v>61</v>
      </c>
      <c r="F75" s="20" t="s">
        <v>338</v>
      </c>
      <c r="G75">
        <f t="shared" si="14"/>
        <v>93.75</v>
      </c>
      <c r="H75">
        <f t="shared" si="15"/>
        <v>93.75</v>
      </c>
      <c r="I75">
        <f t="shared" si="16"/>
        <v>187.5</v>
      </c>
      <c r="J75">
        <f t="shared" si="17"/>
        <v>203.8</v>
      </c>
      <c r="K75">
        <f t="shared" si="18"/>
        <v>36.683999999999997</v>
      </c>
      <c r="L75">
        <f t="shared" si="19"/>
        <v>124.06</v>
      </c>
      <c r="M75">
        <f t="shared" si="20"/>
        <v>312.5</v>
      </c>
    </row>
    <row r="76" spans="1:13" ht="15" customHeight="1" x14ac:dyDescent="0.3">
      <c r="A76" s="16" t="s">
        <v>253</v>
      </c>
      <c r="B76" s="17" t="s">
        <v>323</v>
      </c>
      <c r="C76" s="18"/>
      <c r="D76" s="19" t="s">
        <v>114</v>
      </c>
      <c r="E76" s="1" t="s">
        <v>61</v>
      </c>
      <c r="F76" s="20" t="s">
        <v>324</v>
      </c>
      <c r="G76">
        <f t="shared" si="14"/>
        <v>93.75</v>
      </c>
      <c r="H76">
        <f t="shared" si="15"/>
        <v>62.5</v>
      </c>
      <c r="I76">
        <f t="shared" si="16"/>
        <v>62.5</v>
      </c>
      <c r="J76">
        <f t="shared" si="17"/>
        <v>135.87</v>
      </c>
      <c r="K76">
        <f t="shared" si="18"/>
        <v>24.456600000000002</v>
      </c>
      <c r="L76">
        <f t="shared" si="19"/>
        <v>150.63999999999999</v>
      </c>
      <c r="M76">
        <f t="shared" si="20"/>
        <v>104.17</v>
      </c>
    </row>
    <row r="77" spans="1:13" ht="15" customHeight="1" x14ac:dyDescent="0.3">
      <c r="A77" s="21" t="s">
        <v>253</v>
      </c>
      <c r="B77" s="22" t="s">
        <v>763</v>
      </c>
      <c r="C77" s="23"/>
      <c r="D77" s="24" t="s">
        <v>114</v>
      </c>
      <c r="E77" s="1" t="s">
        <v>61</v>
      </c>
      <c r="F77" s="20" t="s">
        <v>256</v>
      </c>
      <c r="G77">
        <f t="shared" si="14"/>
        <v>31.25</v>
      </c>
      <c r="H77">
        <f t="shared" si="15"/>
        <v>75</v>
      </c>
      <c r="I77">
        <f t="shared" si="16"/>
        <v>22.5</v>
      </c>
      <c r="J77">
        <f t="shared" si="17"/>
        <v>163.04</v>
      </c>
      <c r="K77">
        <f t="shared" si="18"/>
        <v>29.347199999999997</v>
      </c>
      <c r="L77">
        <f t="shared" si="19"/>
        <v>4.1399999999999997</v>
      </c>
      <c r="M77">
        <f t="shared" si="20"/>
        <v>37.5</v>
      </c>
    </row>
    <row r="78" spans="1:13" ht="15" customHeight="1" x14ac:dyDescent="0.3">
      <c r="A78" s="16" t="s">
        <v>253</v>
      </c>
      <c r="B78" s="17" t="s">
        <v>228</v>
      </c>
      <c r="C78" s="18"/>
      <c r="D78" s="19" t="s">
        <v>114</v>
      </c>
      <c r="E78" s="1" t="s">
        <v>61</v>
      </c>
      <c r="F78" s="20" t="s">
        <v>229</v>
      </c>
      <c r="G78">
        <f t="shared" si="14"/>
        <v>150</v>
      </c>
      <c r="H78">
        <f t="shared" si="15"/>
        <v>75</v>
      </c>
      <c r="I78">
        <f t="shared" si="16"/>
        <v>37.5</v>
      </c>
      <c r="J78">
        <f t="shared" si="17"/>
        <v>163.04</v>
      </c>
      <c r="K78">
        <f t="shared" si="18"/>
        <v>29.347199999999997</v>
      </c>
      <c r="L78">
        <f t="shared" si="19"/>
        <v>262.29000000000002</v>
      </c>
      <c r="M78">
        <f t="shared" si="20"/>
        <v>62.5</v>
      </c>
    </row>
    <row r="79" spans="1:13" ht="15" customHeight="1" x14ac:dyDescent="0.3">
      <c r="A79" s="21" t="s">
        <v>253</v>
      </c>
      <c r="B79" s="22" t="s">
        <v>419</v>
      </c>
      <c r="C79" s="23"/>
      <c r="D79" s="24" t="s">
        <v>114</v>
      </c>
      <c r="E79" s="1" t="s">
        <v>61</v>
      </c>
      <c r="F79" s="20" t="s">
        <v>420</v>
      </c>
      <c r="G79">
        <f t="shared" si="14"/>
        <v>375</v>
      </c>
      <c r="H79">
        <f t="shared" si="15"/>
        <v>375</v>
      </c>
      <c r="I79">
        <f t="shared" si="16"/>
        <v>1200</v>
      </c>
      <c r="J79">
        <f t="shared" si="17"/>
        <v>815.22</v>
      </c>
      <c r="K79">
        <f t="shared" si="18"/>
        <v>146.7396</v>
      </c>
      <c r="L79">
        <f t="shared" si="19"/>
        <v>496.22</v>
      </c>
      <c r="M79">
        <f t="shared" si="20"/>
        <v>2000</v>
      </c>
    </row>
    <row r="80" spans="1:13" ht="15" customHeight="1" x14ac:dyDescent="0.3">
      <c r="A80" s="16" t="s">
        <v>253</v>
      </c>
      <c r="B80" s="17" t="s">
        <v>421</v>
      </c>
      <c r="C80" s="18"/>
      <c r="D80" s="19" t="s">
        <v>114</v>
      </c>
      <c r="E80" s="1" t="s">
        <v>61</v>
      </c>
      <c r="F80" s="20" t="s">
        <v>420</v>
      </c>
      <c r="G80">
        <f t="shared" si="14"/>
        <v>375</v>
      </c>
      <c r="H80">
        <f t="shared" si="15"/>
        <v>375</v>
      </c>
      <c r="I80">
        <f t="shared" si="16"/>
        <v>1200</v>
      </c>
      <c r="J80">
        <f t="shared" si="17"/>
        <v>815.22</v>
      </c>
      <c r="K80">
        <f t="shared" si="18"/>
        <v>146.7396</v>
      </c>
      <c r="L80">
        <f t="shared" si="19"/>
        <v>496.22</v>
      </c>
      <c r="M80">
        <f t="shared" si="20"/>
        <v>2000</v>
      </c>
    </row>
    <row r="81" spans="1:13" ht="15" customHeight="1" x14ac:dyDescent="0.3">
      <c r="A81" s="21" t="s">
        <v>253</v>
      </c>
      <c r="B81" s="22" t="s">
        <v>257</v>
      </c>
      <c r="C81" s="23"/>
      <c r="D81" s="24" t="s">
        <v>114</v>
      </c>
      <c r="E81" s="1" t="s">
        <v>61</v>
      </c>
      <c r="F81" s="20" t="s">
        <v>160</v>
      </c>
      <c r="G81">
        <f t="shared" si="14"/>
        <v>25</v>
      </c>
      <c r="H81">
        <f t="shared" si="15"/>
        <v>50</v>
      </c>
      <c r="I81">
        <f t="shared" si="16"/>
        <v>25</v>
      </c>
      <c r="J81">
        <f t="shared" si="17"/>
        <v>108.7</v>
      </c>
      <c r="K81">
        <f t="shared" si="18"/>
        <v>19.565999999999999</v>
      </c>
      <c r="L81">
        <f t="shared" si="19"/>
        <v>11.81</v>
      </c>
      <c r="M81">
        <f t="shared" si="20"/>
        <v>41.67</v>
      </c>
    </row>
    <row r="82" spans="1:13" ht="15" customHeight="1" x14ac:dyDescent="0.3">
      <c r="A82" s="16" t="s">
        <v>253</v>
      </c>
      <c r="B82" s="17" t="s">
        <v>365</v>
      </c>
      <c r="C82" s="18"/>
      <c r="D82" s="19" t="s">
        <v>114</v>
      </c>
      <c r="E82" s="1" t="s">
        <v>61</v>
      </c>
      <c r="F82" s="20" t="s">
        <v>366</v>
      </c>
      <c r="G82">
        <f t="shared" si="14"/>
        <v>93.75</v>
      </c>
      <c r="H82">
        <f t="shared" si="15"/>
        <v>93.75</v>
      </c>
      <c r="I82">
        <f t="shared" si="16"/>
        <v>93.75</v>
      </c>
      <c r="J82">
        <f t="shared" si="17"/>
        <v>203.8</v>
      </c>
      <c r="K82">
        <f t="shared" si="18"/>
        <v>36.683999999999997</v>
      </c>
      <c r="L82">
        <f t="shared" si="19"/>
        <v>124.06</v>
      </c>
      <c r="M82">
        <f t="shared" si="20"/>
        <v>156.25</v>
      </c>
    </row>
    <row r="83" spans="1:13" ht="15" customHeight="1" x14ac:dyDescent="0.3">
      <c r="A83" s="21" t="s">
        <v>253</v>
      </c>
      <c r="B83" s="22" t="s">
        <v>582</v>
      </c>
      <c r="C83" s="23"/>
      <c r="D83" s="24" t="s">
        <v>114</v>
      </c>
      <c r="E83" s="1" t="s">
        <v>61</v>
      </c>
      <c r="F83" s="20" t="s">
        <v>583</v>
      </c>
      <c r="G83">
        <f t="shared" si="14"/>
        <v>62.5</v>
      </c>
      <c r="H83">
        <f t="shared" si="15"/>
        <v>31.25</v>
      </c>
      <c r="I83">
        <f t="shared" si="16"/>
        <v>31.25</v>
      </c>
      <c r="J83">
        <f t="shared" si="17"/>
        <v>67.930000000000007</v>
      </c>
      <c r="K83">
        <f t="shared" si="18"/>
        <v>12.227400000000001</v>
      </c>
      <c r="L83">
        <f t="shared" si="19"/>
        <v>109.29</v>
      </c>
      <c r="M83">
        <f t="shared" si="20"/>
        <v>52.08</v>
      </c>
    </row>
    <row r="84" spans="1:13" ht="15" customHeight="1" x14ac:dyDescent="0.3">
      <c r="A84" s="16" t="s">
        <v>253</v>
      </c>
      <c r="B84" s="17" t="s">
        <v>340</v>
      </c>
      <c r="C84" s="18"/>
      <c r="D84" s="19" t="s">
        <v>114</v>
      </c>
      <c r="E84" s="1" t="s">
        <v>61</v>
      </c>
      <c r="F84" s="20" t="s">
        <v>341</v>
      </c>
      <c r="G84">
        <f t="shared" si="14"/>
        <v>250</v>
      </c>
      <c r="H84">
        <f t="shared" si="15"/>
        <v>225</v>
      </c>
      <c r="I84">
        <f t="shared" si="16"/>
        <v>312.5</v>
      </c>
      <c r="J84">
        <f t="shared" si="17"/>
        <v>489.13</v>
      </c>
      <c r="K84">
        <f t="shared" si="18"/>
        <v>88.043399999999991</v>
      </c>
      <c r="L84">
        <f t="shared" si="19"/>
        <v>352.08</v>
      </c>
      <c r="M84">
        <f t="shared" si="20"/>
        <v>520.83000000000004</v>
      </c>
    </row>
    <row r="85" spans="1:13" ht="15" customHeight="1" x14ac:dyDescent="0.3">
      <c r="A85" s="21" t="s">
        <v>253</v>
      </c>
      <c r="B85" s="22" t="s">
        <v>261</v>
      </c>
      <c r="C85" s="23"/>
      <c r="D85" s="24" t="s">
        <v>114</v>
      </c>
      <c r="E85" s="1" t="s">
        <v>61</v>
      </c>
      <c r="F85" s="20" t="s">
        <v>262</v>
      </c>
      <c r="G85">
        <f t="shared" si="14"/>
        <v>187.5</v>
      </c>
      <c r="H85">
        <f t="shared" si="15"/>
        <v>125</v>
      </c>
      <c r="I85">
        <f t="shared" si="16"/>
        <v>37.5</v>
      </c>
      <c r="J85">
        <f t="shared" si="17"/>
        <v>271.74</v>
      </c>
      <c r="K85">
        <f t="shared" si="18"/>
        <v>48.913200000000003</v>
      </c>
      <c r="L85">
        <f t="shared" si="19"/>
        <v>301.27999999999997</v>
      </c>
      <c r="M85">
        <f t="shared" si="20"/>
        <v>62.5</v>
      </c>
    </row>
    <row r="86" spans="1:13" ht="18" customHeight="1" x14ac:dyDescent="0.3">
      <c r="A86" s="25" t="s">
        <v>263</v>
      </c>
      <c r="B86" s="25"/>
      <c r="C86" s="25"/>
      <c r="G86" t="str">
        <f t="shared" si="14"/>
        <v/>
      </c>
      <c r="H86" t="str">
        <f t="shared" si="15"/>
        <v/>
      </c>
      <c r="I86" t="str">
        <f t="shared" si="16"/>
        <v/>
      </c>
      <c r="J86" t="str">
        <f t="shared" si="17"/>
        <v/>
      </c>
      <c r="K86" t="str">
        <f t="shared" si="18"/>
        <v/>
      </c>
      <c r="L86" t="str">
        <f t="shared" si="19"/>
        <v/>
      </c>
      <c r="M86" t="str">
        <f t="shared" si="20"/>
        <v/>
      </c>
    </row>
    <row r="87" spans="1:13" ht="15" customHeight="1" x14ac:dyDescent="0.3">
      <c r="A87" s="16" t="s">
        <v>264</v>
      </c>
      <c r="B87" s="17" t="s">
        <v>764</v>
      </c>
      <c r="C87" s="18"/>
      <c r="D87" s="19" t="s">
        <v>114</v>
      </c>
      <c r="E87" s="1" t="s">
        <v>61</v>
      </c>
      <c r="F87" s="20" t="s">
        <v>343</v>
      </c>
      <c r="G87">
        <f t="shared" si="14"/>
        <v>275</v>
      </c>
      <c r="H87">
        <f t="shared" si="15"/>
        <v>56.25</v>
      </c>
      <c r="I87">
        <f t="shared" si="16"/>
        <v>225</v>
      </c>
      <c r="J87">
        <f t="shared" si="17"/>
        <v>122.28</v>
      </c>
      <c r="K87">
        <f t="shared" si="18"/>
        <v>22.010400000000001</v>
      </c>
      <c r="L87">
        <f t="shared" si="19"/>
        <v>549.98</v>
      </c>
      <c r="M87">
        <f t="shared" si="20"/>
        <v>375</v>
      </c>
    </row>
    <row r="88" spans="1:13" ht="15" customHeight="1" x14ac:dyDescent="0.3">
      <c r="A88" s="21" t="s">
        <v>264</v>
      </c>
      <c r="B88" s="22" t="s">
        <v>765</v>
      </c>
      <c r="C88" s="23"/>
      <c r="D88" s="24" t="s">
        <v>114</v>
      </c>
      <c r="E88" s="1" t="s">
        <v>61</v>
      </c>
      <c r="F88" s="20" t="s">
        <v>345</v>
      </c>
      <c r="G88">
        <f t="shared" si="14"/>
        <v>168.75</v>
      </c>
      <c r="H88">
        <f t="shared" si="15"/>
        <v>42.5</v>
      </c>
      <c r="I88">
        <f t="shared" si="16"/>
        <v>181.25</v>
      </c>
      <c r="J88">
        <f t="shared" si="17"/>
        <v>92.39</v>
      </c>
      <c r="K88">
        <f t="shared" si="18"/>
        <v>16.630199999999999</v>
      </c>
      <c r="L88">
        <f t="shared" si="19"/>
        <v>330.7</v>
      </c>
      <c r="M88">
        <f t="shared" si="20"/>
        <v>302.08</v>
      </c>
    </row>
    <row r="89" spans="1:13" ht="15" customHeight="1" x14ac:dyDescent="0.3">
      <c r="A89" s="16" t="s">
        <v>264</v>
      </c>
      <c r="B89" s="17" t="s">
        <v>206</v>
      </c>
      <c r="C89" s="18"/>
      <c r="D89" s="19" t="s">
        <v>114</v>
      </c>
      <c r="E89" s="1" t="s">
        <v>61</v>
      </c>
      <c r="F89" s="20" t="s">
        <v>207</v>
      </c>
      <c r="G89">
        <f t="shared" si="14"/>
        <v>700</v>
      </c>
      <c r="H89">
        <f t="shared" si="15"/>
        <v>400</v>
      </c>
      <c r="I89">
        <f t="shared" si="16"/>
        <v>1500</v>
      </c>
      <c r="J89">
        <f t="shared" si="17"/>
        <v>869.57</v>
      </c>
      <c r="K89">
        <f t="shared" si="18"/>
        <v>156.52260000000001</v>
      </c>
      <c r="L89">
        <f t="shared" si="19"/>
        <v>1181.47</v>
      </c>
      <c r="M89">
        <f t="shared" si="20"/>
        <v>2500</v>
      </c>
    </row>
    <row r="90" spans="1:13" ht="15" customHeight="1" x14ac:dyDescent="0.3">
      <c r="A90" s="21" t="s">
        <v>264</v>
      </c>
      <c r="B90" s="22" t="s">
        <v>766</v>
      </c>
      <c r="C90" s="23"/>
      <c r="D90" s="24" t="s">
        <v>114</v>
      </c>
      <c r="E90" s="1" t="s">
        <v>61</v>
      </c>
      <c r="F90" s="20" t="s">
        <v>213</v>
      </c>
      <c r="G90">
        <f t="shared" si="14"/>
        <v>625</v>
      </c>
      <c r="H90">
        <f t="shared" si="15"/>
        <v>250</v>
      </c>
      <c r="I90">
        <f t="shared" si="16"/>
        <v>375</v>
      </c>
      <c r="J90">
        <f t="shared" si="17"/>
        <v>543.48</v>
      </c>
      <c r="K90">
        <f t="shared" si="18"/>
        <v>97.826400000000007</v>
      </c>
      <c r="L90">
        <f t="shared" si="19"/>
        <v>1146.03</v>
      </c>
      <c r="M90">
        <f t="shared" si="20"/>
        <v>625</v>
      </c>
    </row>
    <row r="91" spans="1:13" ht="15" customHeight="1" x14ac:dyDescent="0.3">
      <c r="A91" s="16" t="s">
        <v>264</v>
      </c>
      <c r="B91" s="17" t="s">
        <v>265</v>
      </c>
      <c r="C91" s="18"/>
      <c r="D91" s="19" t="s">
        <v>114</v>
      </c>
      <c r="E91" s="1" t="s">
        <v>61</v>
      </c>
      <c r="F91" s="20" t="s">
        <v>266</v>
      </c>
      <c r="G91">
        <f t="shared" si="14"/>
        <v>125</v>
      </c>
      <c r="H91">
        <f t="shared" si="15"/>
        <v>50</v>
      </c>
      <c r="I91">
        <f t="shared" si="16"/>
        <v>187.5</v>
      </c>
      <c r="J91">
        <f t="shared" si="17"/>
        <v>108.7</v>
      </c>
      <c r="K91">
        <f t="shared" si="18"/>
        <v>19.565999999999999</v>
      </c>
      <c r="L91">
        <f t="shared" si="19"/>
        <v>229.2</v>
      </c>
      <c r="M91">
        <f t="shared" si="20"/>
        <v>312.5</v>
      </c>
    </row>
    <row r="92" spans="1:13" ht="15" customHeight="1" x14ac:dyDescent="0.3">
      <c r="A92" s="21" t="s">
        <v>264</v>
      </c>
      <c r="B92" s="22" t="s">
        <v>767</v>
      </c>
      <c r="C92" s="23"/>
      <c r="D92" s="24" t="s">
        <v>114</v>
      </c>
      <c r="E92" s="1" t="s">
        <v>61</v>
      </c>
      <c r="F92" s="20" t="s">
        <v>468</v>
      </c>
      <c r="G92">
        <f t="shared" si="14"/>
        <v>125</v>
      </c>
      <c r="H92">
        <f t="shared" si="15"/>
        <v>62.5</v>
      </c>
      <c r="I92">
        <f t="shared" si="16"/>
        <v>62.5</v>
      </c>
      <c r="J92">
        <f t="shared" si="17"/>
        <v>135.87</v>
      </c>
      <c r="K92">
        <f t="shared" si="18"/>
        <v>24.456600000000002</v>
      </c>
      <c r="L92">
        <f t="shared" si="19"/>
        <v>218.57</v>
      </c>
      <c r="M92">
        <f t="shared" si="20"/>
        <v>104.17</v>
      </c>
    </row>
    <row r="93" spans="1:13" ht="15" customHeight="1" x14ac:dyDescent="0.3">
      <c r="A93" s="16" t="s">
        <v>264</v>
      </c>
      <c r="B93" s="17" t="s">
        <v>768</v>
      </c>
      <c r="C93" s="18"/>
      <c r="D93" s="19" t="s">
        <v>114</v>
      </c>
      <c r="E93" s="1" t="s">
        <v>61</v>
      </c>
      <c r="F93" s="20" t="s">
        <v>268</v>
      </c>
      <c r="G93">
        <f t="shared" si="14"/>
        <v>15</v>
      </c>
      <c r="H93">
        <f t="shared" si="15"/>
        <v>7.5</v>
      </c>
      <c r="I93">
        <f t="shared" si="16"/>
        <v>7.5</v>
      </c>
      <c r="J93">
        <f t="shared" si="17"/>
        <v>16.3</v>
      </c>
      <c r="K93">
        <f t="shared" si="18"/>
        <v>2.9340000000000002</v>
      </c>
      <c r="L93">
        <f t="shared" si="19"/>
        <v>26.23</v>
      </c>
      <c r="M93">
        <f t="shared" si="20"/>
        <v>12.5</v>
      </c>
    </row>
    <row r="94" spans="1:13" ht="18" customHeight="1" x14ac:dyDescent="0.3">
      <c r="A94" s="25" t="s">
        <v>269</v>
      </c>
      <c r="B94" s="25"/>
      <c r="C94" s="25"/>
      <c r="G94" t="str">
        <f t="shared" si="14"/>
        <v/>
      </c>
      <c r="H94" t="str">
        <f t="shared" si="15"/>
        <v/>
      </c>
      <c r="I94" t="str">
        <f t="shared" si="16"/>
        <v/>
      </c>
      <c r="J94" t="str">
        <f t="shared" si="17"/>
        <v/>
      </c>
      <c r="K94" t="str">
        <f t="shared" si="18"/>
        <v/>
      </c>
      <c r="L94" t="str">
        <f t="shared" si="19"/>
        <v/>
      </c>
      <c r="M94" t="str">
        <f t="shared" si="20"/>
        <v/>
      </c>
    </row>
    <row r="95" spans="1:13" ht="15" customHeight="1" x14ac:dyDescent="0.3">
      <c r="A95" s="21" t="s">
        <v>270</v>
      </c>
      <c r="B95" s="22" t="s">
        <v>769</v>
      </c>
      <c r="C95" s="23"/>
      <c r="D95" s="24" t="s">
        <v>114</v>
      </c>
      <c r="E95" s="1" t="s">
        <v>61</v>
      </c>
      <c r="F95" s="20" t="s">
        <v>275</v>
      </c>
      <c r="G95">
        <f t="shared" si="14"/>
        <v>75</v>
      </c>
      <c r="H95">
        <f t="shared" si="15"/>
        <v>150</v>
      </c>
      <c r="I95">
        <f t="shared" si="16"/>
        <v>150</v>
      </c>
      <c r="J95">
        <f t="shared" si="17"/>
        <v>326.08999999999997</v>
      </c>
      <c r="K95">
        <f t="shared" si="18"/>
        <v>58.69619999999999</v>
      </c>
      <c r="L95">
        <f t="shared" si="19"/>
        <v>35.44</v>
      </c>
      <c r="M95">
        <f t="shared" si="20"/>
        <v>250</v>
      </c>
    </row>
    <row r="96" spans="1:13" ht="15" customHeight="1" x14ac:dyDescent="0.3">
      <c r="A96" s="16" t="s">
        <v>270</v>
      </c>
      <c r="B96" s="17" t="s">
        <v>272</v>
      </c>
      <c r="C96" s="18"/>
      <c r="D96" s="19" t="s">
        <v>114</v>
      </c>
      <c r="E96" s="1" t="s">
        <v>61</v>
      </c>
      <c r="F96" s="20" t="s">
        <v>273</v>
      </c>
      <c r="G96">
        <f t="shared" si="14"/>
        <v>112.5</v>
      </c>
      <c r="H96">
        <f t="shared" si="15"/>
        <v>112.5</v>
      </c>
      <c r="I96">
        <f t="shared" si="16"/>
        <v>93.75</v>
      </c>
      <c r="J96">
        <f t="shared" si="17"/>
        <v>244.57</v>
      </c>
      <c r="K96">
        <f t="shared" si="18"/>
        <v>44.022599999999997</v>
      </c>
      <c r="L96">
        <f t="shared" si="19"/>
        <v>148.86000000000001</v>
      </c>
      <c r="M96">
        <f t="shared" si="20"/>
        <v>156.25</v>
      </c>
    </row>
    <row r="97" spans="1:13" ht="15" customHeight="1" x14ac:dyDescent="0.3">
      <c r="A97" s="21" t="s">
        <v>270</v>
      </c>
      <c r="B97" s="22" t="s">
        <v>271</v>
      </c>
      <c r="C97" s="23"/>
      <c r="D97" s="24" t="s">
        <v>114</v>
      </c>
      <c r="E97" s="1" t="s">
        <v>61</v>
      </c>
      <c r="F97" s="20" t="s">
        <v>241</v>
      </c>
      <c r="G97">
        <f t="shared" si="14"/>
        <v>7.5</v>
      </c>
      <c r="H97">
        <f t="shared" si="15"/>
        <v>15</v>
      </c>
      <c r="I97">
        <f t="shared" si="16"/>
        <v>15</v>
      </c>
      <c r="J97">
        <f t="shared" si="17"/>
        <v>32.61</v>
      </c>
      <c r="K97">
        <f t="shared" si="18"/>
        <v>5.8697999999999997</v>
      </c>
      <c r="L97">
        <f t="shared" si="19"/>
        <v>3.54</v>
      </c>
      <c r="M97">
        <f t="shared" si="20"/>
        <v>25</v>
      </c>
    </row>
    <row r="98" spans="1:13" ht="15" customHeight="1" x14ac:dyDescent="0.3">
      <c r="A98" s="16" t="s">
        <v>270</v>
      </c>
      <c r="B98" s="17" t="s">
        <v>278</v>
      </c>
      <c r="C98" s="18"/>
      <c r="D98" s="19" t="s">
        <v>114</v>
      </c>
      <c r="E98" s="1" t="s">
        <v>61</v>
      </c>
      <c r="F98" s="20" t="s">
        <v>279</v>
      </c>
      <c r="G98">
        <f t="shared" si="14"/>
        <v>250</v>
      </c>
      <c r="H98">
        <f t="shared" si="15"/>
        <v>250</v>
      </c>
      <c r="I98">
        <f t="shared" si="16"/>
        <v>250</v>
      </c>
      <c r="J98">
        <f t="shared" si="17"/>
        <v>543.48</v>
      </c>
      <c r="K98">
        <f t="shared" si="18"/>
        <v>97.826400000000007</v>
      </c>
      <c r="L98">
        <f t="shared" si="19"/>
        <v>330.81</v>
      </c>
      <c r="M98">
        <f t="shared" si="20"/>
        <v>416.67</v>
      </c>
    </row>
    <row r="99" spans="1:13" ht="15" customHeight="1" x14ac:dyDescent="0.3">
      <c r="A99" s="21" t="s">
        <v>270</v>
      </c>
      <c r="B99" s="22" t="s">
        <v>276</v>
      </c>
      <c r="C99" s="23"/>
      <c r="D99" s="24" t="s">
        <v>114</v>
      </c>
      <c r="E99" s="1" t="s">
        <v>61</v>
      </c>
      <c r="F99" s="20" t="s">
        <v>277</v>
      </c>
      <c r="G99">
        <f t="shared" si="14"/>
        <v>156.25</v>
      </c>
      <c r="H99">
        <f t="shared" si="15"/>
        <v>150</v>
      </c>
      <c r="I99">
        <f t="shared" si="16"/>
        <v>31.25</v>
      </c>
      <c r="J99">
        <f t="shared" si="17"/>
        <v>326.08999999999997</v>
      </c>
      <c r="K99">
        <f t="shared" si="18"/>
        <v>58.69619999999999</v>
      </c>
      <c r="L99">
        <f t="shared" si="19"/>
        <v>212.07</v>
      </c>
      <c r="M99">
        <f t="shared" si="20"/>
        <v>52.08</v>
      </c>
    </row>
    <row r="100" spans="1:13" ht="15" customHeight="1" x14ac:dyDescent="0.3">
      <c r="A100" s="16" t="s">
        <v>270</v>
      </c>
      <c r="B100" s="17" t="s">
        <v>280</v>
      </c>
      <c r="C100" s="18"/>
      <c r="D100" s="19" t="s">
        <v>114</v>
      </c>
      <c r="E100" s="1" t="s">
        <v>61</v>
      </c>
      <c r="F100" s="20" t="s">
        <v>281</v>
      </c>
      <c r="G100">
        <f t="shared" si="14"/>
        <v>93.75</v>
      </c>
      <c r="H100">
        <f t="shared" si="15"/>
        <v>62.5</v>
      </c>
      <c r="I100">
        <f t="shared" si="16"/>
        <v>156.25</v>
      </c>
      <c r="J100">
        <f t="shared" si="17"/>
        <v>135.87</v>
      </c>
      <c r="K100">
        <f t="shared" si="18"/>
        <v>24.456600000000002</v>
      </c>
      <c r="L100">
        <f t="shared" si="19"/>
        <v>150.63999999999999</v>
      </c>
      <c r="M100">
        <f t="shared" si="20"/>
        <v>260.42</v>
      </c>
    </row>
    <row r="101" spans="1:13" ht="15" customHeight="1" x14ac:dyDescent="0.3">
      <c r="A101" s="21" t="s">
        <v>270</v>
      </c>
      <c r="B101" s="22" t="s">
        <v>495</v>
      </c>
      <c r="C101" s="23"/>
      <c r="D101" s="24" t="s">
        <v>114</v>
      </c>
      <c r="E101" s="1" t="s">
        <v>61</v>
      </c>
      <c r="F101" s="20" t="s">
        <v>492</v>
      </c>
      <c r="G101">
        <f t="shared" si="14"/>
        <v>125</v>
      </c>
      <c r="H101">
        <f t="shared" si="15"/>
        <v>75</v>
      </c>
      <c r="I101">
        <f t="shared" si="16"/>
        <v>93.75</v>
      </c>
      <c r="J101">
        <f t="shared" si="17"/>
        <v>163.04</v>
      </c>
      <c r="K101">
        <f t="shared" si="18"/>
        <v>29.347199999999997</v>
      </c>
      <c r="L101">
        <f t="shared" si="19"/>
        <v>207.94</v>
      </c>
      <c r="M101">
        <f t="shared" si="20"/>
        <v>156.25</v>
      </c>
    </row>
    <row r="102" spans="1:13" ht="15" customHeight="1" x14ac:dyDescent="0.3">
      <c r="A102" s="16" t="s">
        <v>270</v>
      </c>
      <c r="B102" s="17" t="s">
        <v>491</v>
      </c>
      <c r="C102" s="18"/>
      <c r="D102" s="19" t="s">
        <v>114</v>
      </c>
      <c r="E102" s="1" t="s">
        <v>61</v>
      </c>
      <c r="F102" s="20" t="s">
        <v>492</v>
      </c>
      <c r="G102">
        <f t="shared" si="14"/>
        <v>125</v>
      </c>
      <c r="H102">
        <f t="shared" si="15"/>
        <v>75</v>
      </c>
      <c r="I102">
        <f t="shared" si="16"/>
        <v>93.75</v>
      </c>
      <c r="J102">
        <f t="shared" si="17"/>
        <v>163.04</v>
      </c>
      <c r="K102">
        <f t="shared" si="18"/>
        <v>29.347199999999997</v>
      </c>
      <c r="L102">
        <f t="shared" si="19"/>
        <v>207.94</v>
      </c>
      <c r="M102">
        <f t="shared" si="20"/>
        <v>156.25</v>
      </c>
    </row>
    <row r="103" spans="1:13" ht="15" customHeight="1" x14ac:dyDescent="0.3">
      <c r="A103" s="21" t="s">
        <v>270</v>
      </c>
      <c r="B103" s="22" t="s">
        <v>493</v>
      </c>
      <c r="C103" s="23"/>
      <c r="D103" s="24" t="s">
        <v>114</v>
      </c>
      <c r="E103" s="1" t="s">
        <v>61</v>
      </c>
      <c r="F103" s="20" t="s">
        <v>494</v>
      </c>
      <c r="G103">
        <f t="shared" si="14"/>
        <v>187.5</v>
      </c>
      <c r="H103">
        <f t="shared" si="15"/>
        <v>125</v>
      </c>
      <c r="I103">
        <f t="shared" si="16"/>
        <v>125</v>
      </c>
      <c r="J103">
        <f t="shared" si="17"/>
        <v>271.74</v>
      </c>
      <c r="K103">
        <f t="shared" si="18"/>
        <v>48.913200000000003</v>
      </c>
      <c r="L103">
        <f t="shared" si="19"/>
        <v>301.27999999999997</v>
      </c>
      <c r="M103">
        <f t="shared" si="20"/>
        <v>208.33</v>
      </c>
    </row>
  </sheetData>
  <mergeCells count="13">
    <mergeCell ref="A1:C1"/>
    <mergeCell ref="A2:C2"/>
    <mergeCell ref="A3:C3"/>
    <mergeCell ref="A4:C4"/>
    <mergeCell ref="A7:C7"/>
    <mergeCell ref="A73:C73"/>
    <mergeCell ref="A86:C86"/>
    <mergeCell ref="A94:C94"/>
    <mergeCell ref="A18:C18"/>
    <mergeCell ref="A27:C27"/>
    <mergeCell ref="A34:C34"/>
    <mergeCell ref="A39:C39"/>
    <mergeCell ref="A53:C5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8F5E9"/>
  </sheetPr>
  <dimension ref="A1:M83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770</v>
      </c>
      <c r="B1" s="26"/>
      <c r="C1" s="26"/>
    </row>
    <row r="2" spans="1:13" ht="19.5" customHeight="1" x14ac:dyDescent="0.3">
      <c r="A2" s="27" t="s">
        <v>771</v>
      </c>
      <c r="B2" s="27"/>
      <c r="C2" s="27"/>
    </row>
    <row r="3" spans="1:13" ht="19.5" customHeight="1" x14ac:dyDescent="0.3">
      <c r="A3" s="27" t="s">
        <v>772</v>
      </c>
      <c r="B3" s="27"/>
      <c r="C3" s="27"/>
    </row>
    <row r="4" spans="1:13" ht="19.5" customHeight="1" x14ac:dyDescent="0.3">
      <c r="A4" s="27" t="s">
        <v>773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142</v>
      </c>
      <c r="C8" s="18"/>
      <c r="D8" s="19" t="s">
        <v>116</v>
      </c>
      <c r="E8" s="1" t="s">
        <v>59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144</v>
      </c>
      <c r="C9" s="23"/>
      <c r="D9" s="24" t="s">
        <v>116</v>
      </c>
      <c r="E9" s="1" t="s">
        <v>59</v>
      </c>
      <c r="F9" s="20" t="s">
        <v>145</v>
      </c>
      <c r="G9">
        <f t="shared" si="0"/>
        <v>187.5</v>
      </c>
      <c r="H9">
        <f t="shared" si="1"/>
        <v>93.75</v>
      </c>
      <c r="I9">
        <f t="shared" si="2"/>
        <v>93.75</v>
      </c>
      <c r="J9">
        <f t="shared" si="3"/>
        <v>203.8</v>
      </c>
      <c r="K9">
        <f t="shared" si="4"/>
        <v>36.683999999999997</v>
      </c>
      <c r="L9">
        <f t="shared" si="5"/>
        <v>327.86</v>
      </c>
      <c r="M9">
        <f t="shared" si="6"/>
        <v>156.25</v>
      </c>
    </row>
    <row r="10" spans="1:13" ht="15" customHeight="1" x14ac:dyDescent="0.3">
      <c r="A10" s="16" t="s">
        <v>141</v>
      </c>
      <c r="B10" s="17" t="s">
        <v>146</v>
      </c>
      <c r="C10" s="18"/>
      <c r="D10" s="19" t="s">
        <v>116</v>
      </c>
      <c r="E10" s="1" t="s">
        <v>59</v>
      </c>
      <c r="F10" s="20" t="s">
        <v>147</v>
      </c>
      <c r="G10">
        <f t="shared" si="0"/>
        <v>100</v>
      </c>
      <c r="H10">
        <f t="shared" si="1"/>
        <v>50</v>
      </c>
      <c r="I10">
        <f t="shared" si="2"/>
        <v>50</v>
      </c>
      <c r="J10">
        <f t="shared" si="3"/>
        <v>108.7</v>
      </c>
      <c r="K10">
        <f t="shared" si="4"/>
        <v>19.565999999999999</v>
      </c>
      <c r="L10">
        <f t="shared" si="5"/>
        <v>174.86</v>
      </c>
      <c r="M10">
        <f t="shared" si="6"/>
        <v>83.33</v>
      </c>
    </row>
    <row r="11" spans="1:13" ht="15" customHeight="1" x14ac:dyDescent="0.3">
      <c r="A11" s="21" t="s">
        <v>141</v>
      </c>
      <c r="B11" s="22" t="s">
        <v>375</v>
      </c>
      <c r="C11" s="23"/>
      <c r="D11" s="24" t="s">
        <v>116</v>
      </c>
      <c r="E11" s="1" t="s">
        <v>59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290</v>
      </c>
      <c r="C12" s="18"/>
      <c r="D12" s="19" t="s">
        <v>116</v>
      </c>
      <c r="E12" s="1" t="s">
        <v>59</v>
      </c>
      <c r="F12" s="20" t="s">
        <v>291</v>
      </c>
      <c r="G12">
        <f t="shared" si="0"/>
        <v>150</v>
      </c>
      <c r="H12">
        <f t="shared" si="1"/>
        <v>75</v>
      </c>
      <c r="I12">
        <f t="shared" si="2"/>
        <v>50</v>
      </c>
      <c r="J12">
        <f t="shared" si="3"/>
        <v>163.04</v>
      </c>
      <c r="K12">
        <f t="shared" si="4"/>
        <v>29.347199999999997</v>
      </c>
      <c r="L12">
        <f t="shared" si="5"/>
        <v>262.29000000000002</v>
      </c>
      <c r="M12">
        <f t="shared" si="6"/>
        <v>83.33</v>
      </c>
    </row>
    <row r="13" spans="1:13" ht="15" customHeight="1" x14ac:dyDescent="0.3">
      <c r="A13" s="21" t="s">
        <v>141</v>
      </c>
      <c r="B13" s="22" t="s">
        <v>355</v>
      </c>
      <c r="C13" s="23"/>
      <c r="D13" s="24" t="s">
        <v>116</v>
      </c>
      <c r="E13" s="1" t="s">
        <v>59</v>
      </c>
      <c r="F13" s="20" t="s">
        <v>153</v>
      </c>
      <c r="G13">
        <f t="shared" si="0"/>
        <v>25</v>
      </c>
      <c r="H13">
        <f t="shared" si="1"/>
        <v>25</v>
      </c>
      <c r="I13">
        <f t="shared" si="2"/>
        <v>12.5</v>
      </c>
      <c r="J13">
        <f t="shared" si="3"/>
        <v>54.35</v>
      </c>
      <c r="K13">
        <f t="shared" si="4"/>
        <v>9.7829999999999995</v>
      </c>
      <c r="L13">
        <f t="shared" si="5"/>
        <v>33.08</v>
      </c>
      <c r="M13">
        <f t="shared" si="6"/>
        <v>20.83</v>
      </c>
    </row>
    <row r="14" spans="1:13" ht="15" customHeight="1" x14ac:dyDescent="0.3">
      <c r="A14" s="16" t="s">
        <v>141</v>
      </c>
      <c r="B14" s="17" t="s">
        <v>534</v>
      </c>
      <c r="C14" s="18"/>
      <c r="D14" s="19" t="s">
        <v>116</v>
      </c>
      <c r="E14" s="1" t="s">
        <v>59</v>
      </c>
      <c r="F14" s="20" t="s">
        <v>149</v>
      </c>
      <c r="G14">
        <f t="shared" si="0"/>
        <v>50</v>
      </c>
      <c r="H14">
        <f t="shared" si="1"/>
        <v>25</v>
      </c>
      <c r="I14">
        <f t="shared" si="2"/>
        <v>25</v>
      </c>
      <c r="J14">
        <f t="shared" si="3"/>
        <v>54.35</v>
      </c>
      <c r="K14">
        <f t="shared" si="4"/>
        <v>9.7829999999999995</v>
      </c>
      <c r="L14">
        <f t="shared" si="5"/>
        <v>87.43</v>
      </c>
      <c r="M14">
        <f t="shared" si="6"/>
        <v>41.67</v>
      </c>
    </row>
    <row r="15" spans="1:13" ht="18" customHeight="1" x14ac:dyDescent="0.3">
      <c r="A15" s="25" t="s">
        <v>155</v>
      </c>
      <c r="B15" s="25"/>
      <c r="C15" s="25"/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  <c r="L15" t="str">
        <f t="shared" si="5"/>
        <v/>
      </c>
      <c r="M15" t="str">
        <f t="shared" si="6"/>
        <v/>
      </c>
    </row>
    <row r="16" spans="1:13" ht="15" customHeight="1" x14ac:dyDescent="0.3">
      <c r="A16" s="21" t="s">
        <v>156</v>
      </c>
      <c r="B16" s="22" t="s">
        <v>774</v>
      </c>
      <c r="C16" s="23"/>
      <c r="D16" s="24" t="s">
        <v>116</v>
      </c>
      <c r="E16" s="1" t="s">
        <v>59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293</v>
      </c>
      <c r="C17" s="18"/>
      <c r="D17" s="19" t="s">
        <v>116</v>
      </c>
      <c r="E17" s="1" t="s">
        <v>59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292</v>
      </c>
      <c r="C18" s="23"/>
      <c r="D18" s="24" t="s">
        <v>116</v>
      </c>
      <c r="E18" s="1" t="s">
        <v>59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749</v>
      </c>
      <c r="C19" s="18"/>
      <c r="D19" s="19" t="s">
        <v>116</v>
      </c>
      <c r="E19" s="1" t="s">
        <v>59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163</v>
      </c>
      <c r="C20" s="23"/>
      <c r="D20" s="24" t="s">
        <v>116</v>
      </c>
      <c r="E20" s="1" t="s">
        <v>59</v>
      </c>
      <c r="F20" s="20" t="s">
        <v>164</v>
      </c>
      <c r="G20">
        <f t="shared" si="0"/>
        <v>12.5</v>
      </c>
      <c r="H20">
        <f t="shared" si="1"/>
        <v>25</v>
      </c>
      <c r="I20">
        <f t="shared" si="2"/>
        <v>12.5</v>
      </c>
      <c r="J20">
        <f t="shared" si="3"/>
        <v>54.35</v>
      </c>
      <c r="K20">
        <f t="shared" si="4"/>
        <v>9.7829999999999995</v>
      </c>
      <c r="L20">
        <f t="shared" si="5"/>
        <v>5.91</v>
      </c>
      <c r="M20">
        <f t="shared" si="6"/>
        <v>20.83</v>
      </c>
    </row>
    <row r="21" spans="1:13" ht="15" customHeight="1" x14ac:dyDescent="0.3">
      <c r="A21" s="16" t="s">
        <v>156</v>
      </c>
      <c r="B21" s="17" t="s">
        <v>165</v>
      </c>
      <c r="C21" s="18"/>
      <c r="D21" s="19" t="s">
        <v>116</v>
      </c>
      <c r="E21" s="1" t="s">
        <v>59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176</v>
      </c>
      <c r="C22" s="23"/>
      <c r="D22" s="24" t="s">
        <v>116</v>
      </c>
      <c r="E22" s="1" t="s">
        <v>59</v>
      </c>
      <c r="F22" s="20" t="s">
        <v>177</v>
      </c>
      <c r="G22">
        <f t="shared" si="0"/>
        <v>25</v>
      </c>
      <c r="H22">
        <f t="shared" si="1"/>
        <v>75</v>
      </c>
      <c r="I22">
        <f t="shared" si="2"/>
        <v>50</v>
      </c>
      <c r="J22">
        <f t="shared" si="3"/>
        <v>163.04</v>
      </c>
      <c r="K22">
        <f t="shared" si="4"/>
        <v>29.347199999999997</v>
      </c>
      <c r="L22">
        <f t="shared" si="5"/>
        <v>-9.4499999999999993</v>
      </c>
      <c r="M22">
        <f t="shared" si="6"/>
        <v>83.33</v>
      </c>
    </row>
    <row r="23" spans="1:13" ht="18" customHeight="1" x14ac:dyDescent="0.3">
      <c r="A23" s="25" t="s">
        <v>167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16" t="s">
        <v>168</v>
      </c>
      <c r="B24" s="17" t="s">
        <v>169</v>
      </c>
      <c r="C24" s="18"/>
      <c r="D24" s="19" t="s">
        <v>116</v>
      </c>
      <c r="E24" s="1" t="s">
        <v>59</v>
      </c>
      <c r="F24" s="20" t="s">
        <v>170</v>
      </c>
      <c r="G24">
        <f t="shared" si="0"/>
        <v>25</v>
      </c>
      <c r="H24">
        <f t="shared" si="1"/>
        <v>50</v>
      </c>
      <c r="I24">
        <f t="shared" si="2"/>
        <v>50</v>
      </c>
      <c r="J24">
        <f t="shared" si="3"/>
        <v>108.7</v>
      </c>
      <c r="K24">
        <f t="shared" si="4"/>
        <v>19.565999999999999</v>
      </c>
      <c r="L24">
        <f t="shared" si="5"/>
        <v>11.81</v>
      </c>
      <c r="M24">
        <f t="shared" si="6"/>
        <v>83.33</v>
      </c>
    </row>
    <row r="25" spans="1:13" ht="15" customHeight="1" x14ac:dyDescent="0.3">
      <c r="A25" s="21" t="s">
        <v>168</v>
      </c>
      <c r="B25" s="22" t="s">
        <v>171</v>
      </c>
      <c r="C25" s="23"/>
      <c r="D25" s="24" t="s">
        <v>116</v>
      </c>
      <c r="E25" s="1" t="s">
        <v>59</v>
      </c>
      <c r="F25" s="20" t="s">
        <v>147</v>
      </c>
      <c r="G25">
        <f t="shared" si="0"/>
        <v>100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174.86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172</v>
      </c>
      <c r="C26" s="18"/>
      <c r="D26" s="19" t="s">
        <v>116</v>
      </c>
      <c r="E26" s="1" t="s">
        <v>59</v>
      </c>
      <c r="F26" s="20" t="s">
        <v>173</v>
      </c>
      <c r="G26">
        <f t="shared" si="0"/>
        <v>75</v>
      </c>
      <c r="H26">
        <f t="shared" si="1"/>
        <v>112.5</v>
      </c>
      <c r="I26">
        <f t="shared" si="2"/>
        <v>75</v>
      </c>
      <c r="J26">
        <f t="shared" si="3"/>
        <v>244.57</v>
      </c>
      <c r="K26">
        <f t="shared" si="4"/>
        <v>44.022599999999997</v>
      </c>
      <c r="L26">
        <f t="shared" si="5"/>
        <v>67.34</v>
      </c>
      <c r="M26">
        <f t="shared" si="6"/>
        <v>125</v>
      </c>
    </row>
    <row r="27" spans="1:13" ht="15" customHeight="1" x14ac:dyDescent="0.3">
      <c r="A27" s="21" t="s">
        <v>168</v>
      </c>
      <c r="B27" s="22" t="s">
        <v>174</v>
      </c>
      <c r="C27" s="23"/>
      <c r="D27" s="24" t="s">
        <v>116</v>
      </c>
      <c r="E27" s="1" t="s">
        <v>59</v>
      </c>
      <c r="F27" s="20" t="s">
        <v>149</v>
      </c>
      <c r="G27">
        <f t="shared" si="0"/>
        <v>50</v>
      </c>
      <c r="H27">
        <f t="shared" si="1"/>
        <v>25</v>
      </c>
      <c r="I27">
        <f t="shared" si="2"/>
        <v>25</v>
      </c>
      <c r="J27">
        <f t="shared" si="3"/>
        <v>54.35</v>
      </c>
      <c r="K27">
        <f t="shared" si="4"/>
        <v>9.7829999999999995</v>
      </c>
      <c r="L27">
        <f t="shared" si="5"/>
        <v>87.43</v>
      </c>
      <c r="M27">
        <f t="shared" si="6"/>
        <v>41.67</v>
      </c>
    </row>
    <row r="28" spans="1:13" ht="15" customHeight="1" x14ac:dyDescent="0.3">
      <c r="A28" s="16" t="s">
        <v>168</v>
      </c>
      <c r="B28" s="17" t="s">
        <v>176</v>
      </c>
      <c r="C28" s="18"/>
      <c r="D28" s="19" t="s">
        <v>116</v>
      </c>
      <c r="E28" s="1" t="s">
        <v>59</v>
      </c>
      <c r="F28" s="20" t="s">
        <v>177</v>
      </c>
      <c r="G28">
        <f t="shared" si="0"/>
        <v>25</v>
      </c>
      <c r="H28">
        <f t="shared" si="1"/>
        <v>75</v>
      </c>
      <c r="I28">
        <f t="shared" si="2"/>
        <v>50</v>
      </c>
      <c r="J28">
        <f t="shared" si="3"/>
        <v>163.04</v>
      </c>
      <c r="K28">
        <f t="shared" si="4"/>
        <v>29.347199999999997</v>
      </c>
      <c r="L28">
        <f t="shared" si="5"/>
        <v>-9.4499999999999993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175</v>
      </c>
      <c r="C29" s="23"/>
      <c r="D29" s="24" t="s">
        <v>116</v>
      </c>
      <c r="E29" s="1" t="s">
        <v>59</v>
      </c>
      <c r="F29" s="20" t="s">
        <v>147</v>
      </c>
      <c r="G29">
        <f t="shared" si="0"/>
        <v>100</v>
      </c>
      <c r="H29">
        <f t="shared" si="1"/>
        <v>50</v>
      </c>
      <c r="I29">
        <f t="shared" si="2"/>
        <v>50</v>
      </c>
      <c r="J29">
        <f t="shared" si="3"/>
        <v>108.7</v>
      </c>
      <c r="K29">
        <f t="shared" si="4"/>
        <v>19.565999999999999</v>
      </c>
      <c r="L29">
        <f t="shared" si="5"/>
        <v>174.86</v>
      </c>
      <c r="M29">
        <f t="shared" si="6"/>
        <v>83.33</v>
      </c>
    </row>
    <row r="30" spans="1:13" ht="15" customHeight="1" x14ac:dyDescent="0.3">
      <c r="A30" s="16" t="s">
        <v>168</v>
      </c>
      <c r="B30" s="17" t="s">
        <v>775</v>
      </c>
      <c r="C30" s="18"/>
      <c r="D30" s="19" t="s">
        <v>116</v>
      </c>
      <c r="E30" s="1" t="s">
        <v>59</v>
      </c>
      <c r="F30" s="20" t="s">
        <v>149</v>
      </c>
      <c r="G30">
        <f t="shared" si="0"/>
        <v>50</v>
      </c>
      <c r="H30">
        <f t="shared" si="1"/>
        <v>25</v>
      </c>
      <c r="I30">
        <f t="shared" si="2"/>
        <v>25</v>
      </c>
      <c r="J30">
        <f t="shared" si="3"/>
        <v>54.35</v>
      </c>
      <c r="K30">
        <f t="shared" si="4"/>
        <v>9.7829999999999995</v>
      </c>
      <c r="L30">
        <f t="shared" si="5"/>
        <v>87.43</v>
      </c>
      <c r="M30">
        <f t="shared" si="6"/>
        <v>41.67</v>
      </c>
    </row>
    <row r="31" spans="1:13" ht="15" customHeight="1" x14ac:dyDescent="0.3">
      <c r="A31" s="21" t="s">
        <v>168</v>
      </c>
      <c r="B31" s="22" t="s">
        <v>594</v>
      </c>
      <c r="C31" s="23"/>
      <c r="D31" s="24" t="s">
        <v>116</v>
      </c>
      <c r="E31" s="1" t="s">
        <v>59</v>
      </c>
      <c r="F31" s="20" t="s">
        <v>160</v>
      </c>
      <c r="G31">
        <f t="shared" si="0"/>
        <v>25</v>
      </c>
      <c r="H31">
        <f t="shared" si="1"/>
        <v>50</v>
      </c>
      <c r="I31">
        <f t="shared" si="2"/>
        <v>25</v>
      </c>
      <c r="J31">
        <f t="shared" si="3"/>
        <v>108.7</v>
      </c>
      <c r="K31">
        <f t="shared" si="4"/>
        <v>19.565999999999999</v>
      </c>
      <c r="L31">
        <f t="shared" si="5"/>
        <v>11.81</v>
      </c>
      <c r="M31">
        <f t="shared" si="6"/>
        <v>41.67</v>
      </c>
    </row>
    <row r="32" spans="1:13" ht="18" customHeight="1" x14ac:dyDescent="0.3">
      <c r="A32" s="25" t="s">
        <v>180</v>
      </c>
      <c r="B32" s="25"/>
      <c r="C32" s="25"/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  <c r="L32" t="str">
        <f t="shared" si="5"/>
        <v/>
      </c>
      <c r="M32" t="str">
        <f t="shared" si="6"/>
        <v/>
      </c>
    </row>
    <row r="33" spans="1:13" ht="15" customHeight="1" x14ac:dyDescent="0.3">
      <c r="A33" s="16" t="s">
        <v>181</v>
      </c>
      <c r="B33" s="17" t="s">
        <v>184</v>
      </c>
      <c r="C33" s="18"/>
      <c r="D33" s="19" t="s">
        <v>116</v>
      </c>
      <c r="E33" s="1" t="s">
        <v>59</v>
      </c>
      <c r="F33" s="20" t="s">
        <v>185</v>
      </c>
      <c r="G33">
        <f t="shared" si="0"/>
        <v>125</v>
      </c>
      <c r="H33">
        <f t="shared" si="1"/>
        <v>62.5</v>
      </c>
      <c r="I33">
        <f t="shared" si="2"/>
        <v>62.5</v>
      </c>
      <c r="J33">
        <f t="shared" si="3"/>
        <v>135.87</v>
      </c>
      <c r="K33">
        <f t="shared" si="4"/>
        <v>24.456600000000002</v>
      </c>
      <c r="L33">
        <f t="shared" si="5"/>
        <v>218.57</v>
      </c>
      <c r="M33">
        <f t="shared" si="6"/>
        <v>104.17</v>
      </c>
    </row>
    <row r="34" spans="1:13" ht="15" customHeight="1" x14ac:dyDescent="0.3">
      <c r="A34" s="21" t="s">
        <v>181</v>
      </c>
      <c r="B34" s="22" t="s">
        <v>182</v>
      </c>
      <c r="C34" s="23"/>
      <c r="D34" s="24" t="s">
        <v>116</v>
      </c>
      <c r="E34" s="1" t="s">
        <v>59</v>
      </c>
      <c r="F34" s="20" t="s">
        <v>183</v>
      </c>
      <c r="G34">
        <f t="shared" si="0"/>
        <v>350</v>
      </c>
      <c r="H34">
        <f t="shared" si="1"/>
        <v>112.5</v>
      </c>
      <c r="I34">
        <f t="shared" si="2"/>
        <v>112.5</v>
      </c>
      <c r="J34">
        <f t="shared" si="3"/>
        <v>244.57</v>
      </c>
      <c r="K34">
        <f t="shared" si="4"/>
        <v>44.022599999999997</v>
      </c>
      <c r="L34">
        <f t="shared" si="5"/>
        <v>665.17</v>
      </c>
      <c r="M34">
        <f t="shared" si="6"/>
        <v>187.5</v>
      </c>
    </row>
    <row r="35" spans="1:13" ht="15" customHeight="1" x14ac:dyDescent="0.3">
      <c r="A35" s="16" t="s">
        <v>181</v>
      </c>
      <c r="B35" s="17" t="s">
        <v>186</v>
      </c>
      <c r="C35" s="18"/>
      <c r="D35" s="19" t="s">
        <v>116</v>
      </c>
      <c r="E35" s="1" t="s">
        <v>59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8" customHeight="1" x14ac:dyDescent="0.3">
      <c r="A36" s="25" t="s">
        <v>187</v>
      </c>
      <c r="B36" s="25"/>
      <c r="C36" s="25"/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5"/>
        <v/>
      </c>
      <c r="M36" t="str">
        <f t="shared" si="6"/>
        <v/>
      </c>
    </row>
    <row r="37" spans="1:13" ht="15" customHeight="1" x14ac:dyDescent="0.3">
      <c r="A37" s="21" t="s">
        <v>188</v>
      </c>
      <c r="B37" s="22" t="s">
        <v>312</v>
      </c>
      <c r="C37" s="23"/>
      <c r="D37" s="24" t="s">
        <v>116</v>
      </c>
      <c r="E37" s="1" t="s">
        <v>59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191</v>
      </c>
      <c r="C38" s="18"/>
      <c r="D38" s="19" t="s">
        <v>116</v>
      </c>
      <c r="E38" s="1" t="s">
        <v>59</v>
      </c>
      <c r="F38" s="20" t="s">
        <v>192</v>
      </c>
      <c r="G38">
        <f t="shared" si="0"/>
        <v>137.5</v>
      </c>
      <c r="H38">
        <f t="shared" si="1"/>
        <v>43.75</v>
      </c>
      <c r="I38">
        <f t="shared" si="2"/>
        <v>412.5</v>
      </c>
      <c r="J38">
        <f t="shared" si="3"/>
        <v>95.11</v>
      </c>
      <c r="K38">
        <f t="shared" si="4"/>
        <v>17.119799999999998</v>
      </c>
      <c r="L38">
        <f t="shared" si="5"/>
        <v>261.7</v>
      </c>
      <c r="M38">
        <f t="shared" si="6"/>
        <v>687.5</v>
      </c>
    </row>
    <row r="39" spans="1:13" ht="15" customHeight="1" x14ac:dyDescent="0.3">
      <c r="A39" s="21" t="s">
        <v>188</v>
      </c>
      <c r="B39" s="22" t="s">
        <v>193</v>
      </c>
      <c r="C39" s="23"/>
      <c r="D39" s="24" t="s">
        <v>116</v>
      </c>
      <c r="E39" s="1" t="s">
        <v>59</v>
      </c>
      <c r="F39" s="20" t="s">
        <v>194</v>
      </c>
      <c r="G39">
        <f t="shared" ref="G39:G70" si="7">IF($F39="","",IFERROR(VALUE(TRIM(LEFT($F39,FIND(":",$F39)-1)))*1.25,"N/A"))</f>
        <v>125</v>
      </c>
      <c r="H39">
        <f t="shared" ref="H39:H70" si="8">IF($F39="","",IFERROR(VALUE(TRIM(MID($F39,FIND(":",$F39)+1,FIND(":",$F39,FIND(":",$F39)+1)-FIND(":",$F39)-1)))*1.25,"N/A"))</f>
        <v>125</v>
      </c>
      <c r="I39">
        <f t="shared" ref="I39:I70" si="9">IF($F39="","",IFERROR(VALUE(TRIM(LEFT(MID($F39,FIND(":",$F39,FIND(":",$F39)+1)+1,LEN($F39)),FIND(" ",MID($F39,FIND(":",$F39,FIND(":",$F39)+1)+1,LEN($F39))&amp;" ")-1)))*1.25,"N/A"))</f>
        <v>125</v>
      </c>
      <c r="J39">
        <f t="shared" ref="J39:J70" si="10">IF(OR($F39="",$H39="N/A"),IF($F39="","","N/A"),ROUND($H39/0.46,2))</f>
        <v>271.74</v>
      </c>
      <c r="K39">
        <f t="shared" ref="K39:K70" si="11">IF(OR($F39="",$J39="N/A"),IF($F39="","","N/A"),$J39*0.18)</f>
        <v>48.913200000000003</v>
      </c>
      <c r="L39">
        <f t="shared" ref="L39:L70" si="12">IF(OR($F39="",$G39="N/A",$K39="N/A"),IF($F39="","","N/A"),ROUND(($G39-$K39)/0.46,2))</f>
        <v>165.41</v>
      </c>
      <c r="M39">
        <f t="shared" ref="M39:M70" si="13">IF(OR($F39="",$I39="N/A"),IF($F39="","","N/A"),ROUND($I39/0.6,2))</f>
        <v>208.33</v>
      </c>
    </row>
    <row r="40" spans="1:13" ht="15" customHeight="1" x14ac:dyDescent="0.3">
      <c r="A40" s="16" t="s">
        <v>188</v>
      </c>
      <c r="B40" s="17" t="s">
        <v>195</v>
      </c>
      <c r="C40" s="18"/>
      <c r="D40" s="19" t="s">
        <v>116</v>
      </c>
      <c r="E40" s="1" t="s">
        <v>59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209</v>
      </c>
      <c r="C41" s="23"/>
      <c r="D41" s="24" t="s">
        <v>116</v>
      </c>
      <c r="E41" s="1" t="s">
        <v>59</v>
      </c>
      <c r="F41" s="20" t="s">
        <v>199</v>
      </c>
      <c r="G41">
        <f t="shared" si="7"/>
        <v>750</v>
      </c>
      <c r="H41">
        <f t="shared" si="8"/>
        <v>250</v>
      </c>
      <c r="I41">
        <f t="shared" si="9"/>
        <v>375</v>
      </c>
      <c r="J41">
        <f t="shared" si="10"/>
        <v>543.48</v>
      </c>
      <c r="K41">
        <f t="shared" si="11"/>
        <v>97.826400000000007</v>
      </c>
      <c r="L41">
        <f t="shared" si="12"/>
        <v>1417.77</v>
      </c>
      <c r="M41">
        <f t="shared" si="13"/>
        <v>625</v>
      </c>
    </row>
    <row r="42" spans="1:13" ht="15" customHeight="1" x14ac:dyDescent="0.3">
      <c r="A42" s="16" t="s">
        <v>188</v>
      </c>
      <c r="B42" s="17" t="s">
        <v>776</v>
      </c>
      <c r="C42" s="18"/>
      <c r="D42" s="19" t="s">
        <v>116</v>
      </c>
      <c r="E42" s="1" t="s">
        <v>59</v>
      </c>
      <c r="F42" s="20" t="s">
        <v>300</v>
      </c>
      <c r="G42">
        <f t="shared" si="7"/>
        <v>750</v>
      </c>
      <c r="H42">
        <f t="shared" si="8"/>
        <v>250</v>
      </c>
      <c r="I42">
        <f t="shared" si="9"/>
        <v>500</v>
      </c>
      <c r="J42">
        <f t="shared" si="10"/>
        <v>543.48</v>
      </c>
      <c r="K42">
        <f t="shared" si="11"/>
        <v>97.826400000000007</v>
      </c>
      <c r="L42">
        <f t="shared" si="12"/>
        <v>1417.77</v>
      </c>
      <c r="M42">
        <f t="shared" si="13"/>
        <v>833.33</v>
      </c>
    </row>
    <row r="43" spans="1:13" ht="15" customHeight="1" x14ac:dyDescent="0.3">
      <c r="A43" s="21" t="s">
        <v>188</v>
      </c>
      <c r="B43" s="22" t="s">
        <v>196</v>
      </c>
      <c r="C43" s="23"/>
      <c r="D43" s="24" t="s">
        <v>116</v>
      </c>
      <c r="E43" s="1" t="s">
        <v>59</v>
      </c>
      <c r="F43" s="20" t="s">
        <v>197</v>
      </c>
      <c r="G43">
        <f t="shared" si="7"/>
        <v>750</v>
      </c>
      <c r="H43">
        <f t="shared" si="8"/>
        <v>625</v>
      </c>
      <c r="I43">
        <f t="shared" si="9"/>
        <v>1500</v>
      </c>
      <c r="J43">
        <f t="shared" si="10"/>
        <v>1358.7</v>
      </c>
      <c r="K43">
        <f t="shared" si="11"/>
        <v>244.566</v>
      </c>
      <c r="L43">
        <f t="shared" si="12"/>
        <v>1098.77</v>
      </c>
      <c r="M43">
        <f t="shared" si="13"/>
        <v>2500</v>
      </c>
    </row>
    <row r="44" spans="1:13" ht="15" customHeight="1" x14ac:dyDescent="0.3">
      <c r="A44" s="16" t="s">
        <v>188</v>
      </c>
      <c r="B44" s="17" t="s">
        <v>202</v>
      </c>
      <c r="C44" s="18"/>
      <c r="D44" s="19" t="s">
        <v>116</v>
      </c>
      <c r="E44" s="1" t="s">
        <v>59</v>
      </c>
      <c r="F44" s="20" t="s">
        <v>203</v>
      </c>
      <c r="G44">
        <f t="shared" si="7"/>
        <v>68.75</v>
      </c>
      <c r="H44">
        <f t="shared" si="8"/>
        <v>68.75</v>
      </c>
      <c r="I44">
        <f t="shared" si="9"/>
        <v>68.75</v>
      </c>
      <c r="J44">
        <f t="shared" si="10"/>
        <v>149.46</v>
      </c>
      <c r="K44">
        <f t="shared" si="11"/>
        <v>26.902799999999999</v>
      </c>
      <c r="L44">
        <f t="shared" si="12"/>
        <v>90.97</v>
      </c>
      <c r="M44">
        <f t="shared" si="13"/>
        <v>114.58</v>
      </c>
    </row>
    <row r="45" spans="1:13" ht="15" customHeight="1" x14ac:dyDescent="0.3">
      <c r="A45" s="21" t="s">
        <v>188</v>
      </c>
      <c r="B45" s="22" t="s">
        <v>386</v>
      </c>
      <c r="C45" s="23"/>
      <c r="D45" s="24" t="s">
        <v>116</v>
      </c>
      <c r="E45" s="1" t="s">
        <v>59</v>
      </c>
      <c r="F45" s="20" t="s">
        <v>211</v>
      </c>
      <c r="G45">
        <f t="shared" si="7"/>
        <v>93.75</v>
      </c>
      <c r="H45">
        <f t="shared" si="8"/>
        <v>75</v>
      </c>
      <c r="I45">
        <f t="shared" si="9"/>
        <v>62.5</v>
      </c>
      <c r="J45">
        <f t="shared" si="10"/>
        <v>163.04</v>
      </c>
      <c r="K45">
        <f t="shared" si="11"/>
        <v>29.347199999999997</v>
      </c>
      <c r="L45">
        <f t="shared" si="12"/>
        <v>140.01</v>
      </c>
      <c r="M45">
        <f t="shared" si="13"/>
        <v>104.17</v>
      </c>
    </row>
    <row r="46" spans="1:13" ht="15" customHeight="1" x14ac:dyDescent="0.3">
      <c r="A46" s="16" t="s">
        <v>188</v>
      </c>
      <c r="B46" s="17" t="s">
        <v>206</v>
      </c>
      <c r="C46" s="18"/>
      <c r="D46" s="19" t="s">
        <v>116</v>
      </c>
      <c r="E46" s="1" t="s">
        <v>59</v>
      </c>
      <c r="F46" s="20" t="s">
        <v>207</v>
      </c>
      <c r="G46">
        <f t="shared" si="7"/>
        <v>700</v>
      </c>
      <c r="H46">
        <f t="shared" si="8"/>
        <v>400</v>
      </c>
      <c r="I46">
        <f t="shared" si="9"/>
        <v>1500</v>
      </c>
      <c r="J46">
        <f t="shared" si="10"/>
        <v>869.57</v>
      </c>
      <c r="K46">
        <f t="shared" si="11"/>
        <v>156.52260000000001</v>
      </c>
      <c r="L46">
        <f t="shared" si="12"/>
        <v>1181.47</v>
      </c>
      <c r="M46">
        <f t="shared" si="13"/>
        <v>2500</v>
      </c>
    </row>
    <row r="47" spans="1:13" ht="15" customHeight="1" x14ac:dyDescent="0.3">
      <c r="A47" s="21" t="s">
        <v>188</v>
      </c>
      <c r="B47" s="22" t="s">
        <v>210</v>
      </c>
      <c r="C47" s="23"/>
      <c r="D47" s="24" t="s">
        <v>116</v>
      </c>
      <c r="E47" s="1" t="s">
        <v>59</v>
      </c>
      <c r="F47" s="20" t="s">
        <v>211</v>
      </c>
      <c r="G47">
        <f t="shared" si="7"/>
        <v>93.75</v>
      </c>
      <c r="H47">
        <f t="shared" si="8"/>
        <v>75</v>
      </c>
      <c r="I47">
        <f t="shared" si="9"/>
        <v>62.5</v>
      </c>
      <c r="J47">
        <f t="shared" si="10"/>
        <v>163.04</v>
      </c>
      <c r="K47">
        <f t="shared" si="11"/>
        <v>29.347199999999997</v>
      </c>
      <c r="L47">
        <f t="shared" si="12"/>
        <v>140.01</v>
      </c>
      <c r="M47">
        <f t="shared" si="13"/>
        <v>104.17</v>
      </c>
    </row>
    <row r="48" spans="1:13" ht="18" customHeight="1" x14ac:dyDescent="0.3">
      <c r="A48" s="25" t="s">
        <v>220</v>
      </c>
      <c r="B48" s="25"/>
      <c r="C48" s="25"/>
      <c r="G48" t="str">
        <f t="shared" si="7"/>
        <v/>
      </c>
      <c r="H48" t="str">
        <f t="shared" si="8"/>
        <v/>
      </c>
      <c r="I48" t="str">
        <f t="shared" si="9"/>
        <v/>
      </c>
      <c r="J48" t="str">
        <f t="shared" si="10"/>
        <v/>
      </c>
      <c r="K48" t="str">
        <f t="shared" si="11"/>
        <v/>
      </c>
      <c r="L48" t="str">
        <f t="shared" si="12"/>
        <v/>
      </c>
      <c r="M48" t="str">
        <f t="shared" si="13"/>
        <v/>
      </c>
    </row>
    <row r="49" spans="1:13" ht="15" customHeight="1" x14ac:dyDescent="0.3">
      <c r="A49" s="16" t="s">
        <v>221</v>
      </c>
      <c r="B49" s="17" t="s">
        <v>222</v>
      </c>
      <c r="C49" s="18"/>
      <c r="D49" s="19" t="s">
        <v>116</v>
      </c>
      <c r="E49" s="1" t="s">
        <v>59</v>
      </c>
      <c r="F49" s="20" t="s">
        <v>223</v>
      </c>
      <c r="G49">
        <f t="shared" si="7"/>
        <v>187.5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301.27999999999997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325</v>
      </c>
      <c r="C50" s="23"/>
      <c r="D50" s="24" t="s">
        <v>116</v>
      </c>
      <c r="E50" s="1" t="s">
        <v>59</v>
      </c>
      <c r="F50" s="20" t="s">
        <v>225</v>
      </c>
      <c r="G50">
        <f t="shared" si="7"/>
        <v>125</v>
      </c>
      <c r="H50">
        <f t="shared" si="8"/>
        <v>62.5</v>
      </c>
      <c r="I50">
        <f t="shared" si="9"/>
        <v>37.5</v>
      </c>
      <c r="J50">
        <f t="shared" si="10"/>
        <v>135.87</v>
      </c>
      <c r="K50">
        <f t="shared" si="11"/>
        <v>24.456600000000002</v>
      </c>
      <c r="L50">
        <f t="shared" si="12"/>
        <v>218.57</v>
      </c>
      <c r="M50">
        <f t="shared" si="13"/>
        <v>62.5</v>
      </c>
    </row>
    <row r="51" spans="1:13" ht="15" customHeight="1" x14ac:dyDescent="0.3">
      <c r="A51" s="16" t="s">
        <v>221</v>
      </c>
      <c r="B51" s="17" t="s">
        <v>326</v>
      </c>
      <c r="C51" s="18"/>
      <c r="D51" s="19" t="s">
        <v>116</v>
      </c>
      <c r="E51" s="1" t="s">
        <v>59</v>
      </c>
      <c r="F51" s="20" t="s">
        <v>227</v>
      </c>
      <c r="G51">
        <f t="shared" si="7"/>
        <v>50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55.53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230</v>
      </c>
      <c r="C52" s="23"/>
      <c r="D52" s="24" t="s">
        <v>116</v>
      </c>
      <c r="E52" s="1" t="s">
        <v>59</v>
      </c>
      <c r="F52" s="20" t="s">
        <v>231</v>
      </c>
      <c r="G52">
        <f t="shared" si="7"/>
        <v>125</v>
      </c>
      <c r="H52">
        <f t="shared" si="8"/>
        <v>187.5</v>
      </c>
      <c r="I52">
        <f t="shared" si="9"/>
        <v>93.75</v>
      </c>
      <c r="J52">
        <f t="shared" si="10"/>
        <v>407.61</v>
      </c>
      <c r="K52">
        <f t="shared" si="11"/>
        <v>73.369799999999998</v>
      </c>
      <c r="L52">
        <f t="shared" si="12"/>
        <v>112.24</v>
      </c>
      <c r="M52">
        <f t="shared" si="13"/>
        <v>156.25</v>
      </c>
    </row>
    <row r="53" spans="1:13" ht="15" customHeight="1" x14ac:dyDescent="0.3">
      <c r="A53" s="16" t="s">
        <v>221</v>
      </c>
      <c r="B53" s="17" t="s">
        <v>228</v>
      </c>
      <c r="C53" s="18"/>
      <c r="D53" s="19" t="s">
        <v>116</v>
      </c>
      <c r="E53" s="1" t="s">
        <v>59</v>
      </c>
      <c r="F53" s="20" t="s">
        <v>229</v>
      </c>
      <c r="G53">
        <f t="shared" si="7"/>
        <v>150</v>
      </c>
      <c r="H53">
        <f t="shared" si="8"/>
        <v>75</v>
      </c>
      <c r="I53">
        <f t="shared" si="9"/>
        <v>37.5</v>
      </c>
      <c r="J53">
        <f t="shared" si="10"/>
        <v>163.04</v>
      </c>
      <c r="K53">
        <f t="shared" si="11"/>
        <v>29.347199999999997</v>
      </c>
      <c r="L53">
        <f t="shared" si="12"/>
        <v>262.29000000000002</v>
      </c>
      <c r="M53">
        <f t="shared" si="13"/>
        <v>62.5</v>
      </c>
    </row>
    <row r="54" spans="1:13" ht="15" customHeight="1" x14ac:dyDescent="0.3">
      <c r="A54" s="21" t="s">
        <v>221</v>
      </c>
      <c r="B54" s="22" t="s">
        <v>234</v>
      </c>
      <c r="C54" s="23"/>
      <c r="D54" s="24" t="s">
        <v>116</v>
      </c>
      <c r="E54" s="1" t="s">
        <v>59</v>
      </c>
      <c r="F54" s="20" t="s">
        <v>235</v>
      </c>
      <c r="G54">
        <f t="shared" si="7"/>
        <v>125</v>
      </c>
      <c r="H54">
        <f t="shared" si="8"/>
        <v>125</v>
      </c>
      <c r="I54">
        <f t="shared" si="9"/>
        <v>62.5</v>
      </c>
      <c r="J54">
        <f t="shared" si="10"/>
        <v>271.74</v>
      </c>
      <c r="K54">
        <f t="shared" si="11"/>
        <v>48.913200000000003</v>
      </c>
      <c r="L54">
        <f t="shared" si="12"/>
        <v>165.41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232</v>
      </c>
      <c r="C55" s="18"/>
      <c r="D55" s="19" t="s">
        <v>116</v>
      </c>
      <c r="E55" s="1" t="s">
        <v>59</v>
      </c>
      <c r="F55" s="20" t="s">
        <v>233</v>
      </c>
      <c r="G55">
        <f t="shared" si="7"/>
        <v>125</v>
      </c>
      <c r="H55">
        <f t="shared" si="8"/>
        <v>156.25</v>
      </c>
      <c r="I55">
        <f t="shared" si="9"/>
        <v>31.25</v>
      </c>
      <c r="J55">
        <f t="shared" si="10"/>
        <v>339.67</v>
      </c>
      <c r="K55">
        <f t="shared" si="11"/>
        <v>61.140599999999999</v>
      </c>
      <c r="L55">
        <f t="shared" si="12"/>
        <v>138.82</v>
      </c>
      <c r="M55">
        <f t="shared" si="13"/>
        <v>52.08</v>
      </c>
    </row>
    <row r="56" spans="1:13" ht="15" customHeight="1" x14ac:dyDescent="0.3">
      <c r="A56" s="21" t="s">
        <v>221</v>
      </c>
      <c r="B56" s="22" t="s">
        <v>240</v>
      </c>
      <c r="C56" s="23"/>
      <c r="D56" s="24" t="s">
        <v>116</v>
      </c>
      <c r="E56" s="1" t="s">
        <v>59</v>
      </c>
      <c r="F56" s="20" t="s">
        <v>241</v>
      </c>
      <c r="G56">
        <f t="shared" si="7"/>
        <v>7.5</v>
      </c>
      <c r="H56">
        <f t="shared" si="8"/>
        <v>15</v>
      </c>
      <c r="I56">
        <f t="shared" si="9"/>
        <v>15</v>
      </c>
      <c r="J56">
        <f t="shared" si="10"/>
        <v>32.61</v>
      </c>
      <c r="K56">
        <f t="shared" si="11"/>
        <v>5.8697999999999997</v>
      </c>
      <c r="L56">
        <f t="shared" si="12"/>
        <v>3.54</v>
      </c>
      <c r="M56">
        <f t="shared" si="13"/>
        <v>25</v>
      </c>
    </row>
    <row r="57" spans="1:13" ht="15" customHeight="1" x14ac:dyDescent="0.3">
      <c r="A57" s="16" t="s">
        <v>221</v>
      </c>
      <c r="B57" s="17" t="s">
        <v>238</v>
      </c>
      <c r="C57" s="18"/>
      <c r="D57" s="19" t="s">
        <v>116</v>
      </c>
      <c r="E57" s="1" t="s">
        <v>59</v>
      </c>
      <c r="F57" s="20" t="s">
        <v>239</v>
      </c>
      <c r="G57">
        <f t="shared" si="7"/>
        <v>150</v>
      </c>
      <c r="H57">
        <f t="shared" si="8"/>
        <v>75</v>
      </c>
      <c r="I57">
        <f t="shared" si="9"/>
        <v>75</v>
      </c>
      <c r="J57">
        <f t="shared" si="10"/>
        <v>163.04</v>
      </c>
      <c r="K57">
        <f t="shared" si="11"/>
        <v>29.347199999999997</v>
      </c>
      <c r="L57">
        <f t="shared" si="12"/>
        <v>262.29000000000002</v>
      </c>
      <c r="M57">
        <f t="shared" si="13"/>
        <v>125</v>
      </c>
    </row>
    <row r="58" spans="1:13" ht="15" customHeight="1" x14ac:dyDescent="0.3">
      <c r="A58" s="21" t="s">
        <v>221</v>
      </c>
      <c r="B58" s="22" t="s">
        <v>331</v>
      </c>
      <c r="C58" s="23"/>
      <c r="D58" s="24" t="s">
        <v>116</v>
      </c>
      <c r="E58" s="1" t="s">
        <v>59</v>
      </c>
      <c r="F58" s="20" t="s">
        <v>332</v>
      </c>
      <c r="G58">
        <f t="shared" si="7"/>
        <v>168.75</v>
      </c>
      <c r="H58">
        <f t="shared" si="8"/>
        <v>168.75</v>
      </c>
      <c r="I58">
        <f t="shared" si="9"/>
        <v>168.75</v>
      </c>
      <c r="J58">
        <f t="shared" si="10"/>
        <v>366.85</v>
      </c>
      <c r="K58">
        <f t="shared" si="11"/>
        <v>66.033000000000001</v>
      </c>
      <c r="L58">
        <f t="shared" si="12"/>
        <v>223.3</v>
      </c>
      <c r="M58">
        <f t="shared" si="13"/>
        <v>281.25</v>
      </c>
    </row>
    <row r="59" spans="1:13" ht="15" customHeight="1" x14ac:dyDescent="0.3">
      <c r="A59" s="16" t="s">
        <v>221</v>
      </c>
      <c r="B59" s="17" t="s">
        <v>329</v>
      </c>
      <c r="C59" s="18"/>
      <c r="D59" s="19" t="s">
        <v>116</v>
      </c>
      <c r="E59" s="1" t="s">
        <v>59</v>
      </c>
      <c r="F59" s="20" t="s">
        <v>330</v>
      </c>
      <c r="G59">
        <f t="shared" si="7"/>
        <v>62.5</v>
      </c>
      <c r="H59">
        <f t="shared" si="8"/>
        <v>125</v>
      </c>
      <c r="I59">
        <f t="shared" si="9"/>
        <v>62.5</v>
      </c>
      <c r="J59">
        <f t="shared" si="10"/>
        <v>271.74</v>
      </c>
      <c r="K59">
        <f t="shared" si="11"/>
        <v>48.913200000000003</v>
      </c>
      <c r="L59">
        <f t="shared" si="12"/>
        <v>29.54</v>
      </c>
      <c r="M59">
        <f t="shared" si="13"/>
        <v>104.17</v>
      </c>
    </row>
    <row r="60" spans="1:13" ht="15" customHeight="1" x14ac:dyDescent="0.3">
      <c r="A60" s="21" t="s">
        <v>221</v>
      </c>
      <c r="B60" s="22" t="s">
        <v>321</v>
      </c>
      <c r="C60" s="23"/>
      <c r="D60" s="24" t="s">
        <v>116</v>
      </c>
      <c r="E60" s="1" t="s">
        <v>59</v>
      </c>
      <c r="F60" s="20" t="s">
        <v>322</v>
      </c>
      <c r="G60">
        <f t="shared" si="7"/>
        <v>150</v>
      </c>
      <c r="H60">
        <f t="shared" si="8"/>
        <v>300</v>
      </c>
      <c r="I60">
        <f t="shared" si="9"/>
        <v>150</v>
      </c>
      <c r="J60">
        <f t="shared" si="10"/>
        <v>652.16999999999996</v>
      </c>
      <c r="K60">
        <f t="shared" si="11"/>
        <v>117.39059999999999</v>
      </c>
      <c r="L60">
        <f t="shared" si="12"/>
        <v>70.89</v>
      </c>
      <c r="M60">
        <f t="shared" si="13"/>
        <v>250</v>
      </c>
    </row>
    <row r="61" spans="1:13" ht="15" customHeight="1" x14ac:dyDescent="0.3">
      <c r="A61" s="16" t="s">
        <v>221</v>
      </c>
      <c r="B61" s="17" t="s">
        <v>246</v>
      </c>
      <c r="C61" s="18"/>
      <c r="D61" s="19" t="s">
        <v>116</v>
      </c>
      <c r="E61" s="1" t="s">
        <v>59</v>
      </c>
      <c r="F61" s="20" t="s">
        <v>247</v>
      </c>
      <c r="G61">
        <f t="shared" si="7"/>
        <v>200</v>
      </c>
      <c r="H61">
        <f t="shared" si="8"/>
        <v>75</v>
      </c>
      <c r="I61">
        <f t="shared" si="9"/>
        <v>37.5</v>
      </c>
      <c r="J61">
        <f t="shared" si="10"/>
        <v>163.04</v>
      </c>
      <c r="K61">
        <f t="shared" si="11"/>
        <v>29.347199999999997</v>
      </c>
      <c r="L61">
        <f t="shared" si="12"/>
        <v>370.98</v>
      </c>
      <c r="M61">
        <f t="shared" si="13"/>
        <v>62.5</v>
      </c>
    </row>
    <row r="62" spans="1:13" ht="15" customHeight="1" x14ac:dyDescent="0.3">
      <c r="A62" s="21" t="s">
        <v>221</v>
      </c>
      <c r="B62" s="22" t="s">
        <v>236</v>
      </c>
      <c r="C62" s="23"/>
      <c r="D62" s="24" t="s">
        <v>116</v>
      </c>
      <c r="E62" s="1" t="s">
        <v>59</v>
      </c>
      <c r="F62" s="20" t="s">
        <v>237</v>
      </c>
      <c r="G62">
        <f t="shared" si="7"/>
        <v>62.5</v>
      </c>
      <c r="H62">
        <f t="shared" si="8"/>
        <v>62.5</v>
      </c>
      <c r="I62">
        <f t="shared" si="9"/>
        <v>62.5</v>
      </c>
      <c r="J62">
        <f t="shared" si="10"/>
        <v>135.87</v>
      </c>
      <c r="K62">
        <f t="shared" si="11"/>
        <v>24.456600000000002</v>
      </c>
      <c r="L62">
        <f t="shared" si="12"/>
        <v>82.7</v>
      </c>
      <c r="M62">
        <f t="shared" si="13"/>
        <v>104.17</v>
      </c>
    </row>
    <row r="63" spans="1:13" ht="15" customHeight="1" x14ac:dyDescent="0.3">
      <c r="A63" s="16" t="s">
        <v>221</v>
      </c>
      <c r="B63" s="17" t="s">
        <v>244</v>
      </c>
      <c r="C63" s="18"/>
      <c r="D63" s="19" t="s">
        <v>116</v>
      </c>
      <c r="E63" s="1" t="s">
        <v>59</v>
      </c>
      <c r="F63" s="20" t="s">
        <v>241</v>
      </c>
      <c r="G63">
        <f t="shared" si="7"/>
        <v>7.5</v>
      </c>
      <c r="H63">
        <f t="shared" si="8"/>
        <v>15</v>
      </c>
      <c r="I63">
        <f t="shared" si="9"/>
        <v>15</v>
      </c>
      <c r="J63">
        <f t="shared" si="10"/>
        <v>32.61</v>
      </c>
      <c r="K63">
        <f t="shared" si="11"/>
        <v>5.8697999999999997</v>
      </c>
      <c r="L63">
        <f t="shared" si="12"/>
        <v>3.54</v>
      </c>
      <c r="M63">
        <f t="shared" si="13"/>
        <v>25</v>
      </c>
    </row>
    <row r="64" spans="1:13" ht="15" customHeight="1" x14ac:dyDescent="0.3">
      <c r="A64" s="21" t="s">
        <v>221</v>
      </c>
      <c r="B64" s="22" t="s">
        <v>391</v>
      </c>
      <c r="C64" s="23"/>
      <c r="D64" s="24" t="s">
        <v>116</v>
      </c>
      <c r="E64" s="1" t="s">
        <v>59</v>
      </c>
      <c r="F64" s="20" t="s">
        <v>249</v>
      </c>
      <c r="G64">
        <f t="shared" si="7"/>
        <v>125</v>
      </c>
      <c r="H64">
        <f t="shared" si="8"/>
        <v>62.5</v>
      </c>
      <c r="I64">
        <f t="shared" si="9"/>
        <v>62.5</v>
      </c>
      <c r="J64">
        <f t="shared" si="10"/>
        <v>135.87</v>
      </c>
      <c r="K64">
        <f t="shared" si="11"/>
        <v>24.456600000000002</v>
      </c>
      <c r="L64">
        <f t="shared" si="12"/>
        <v>218.57</v>
      </c>
      <c r="M64">
        <f t="shared" si="13"/>
        <v>104.17</v>
      </c>
    </row>
    <row r="65" spans="1:13" ht="18" customHeight="1" x14ac:dyDescent="0.3">
      <c r="A65" s="25" t="s">
        <v>252</v>
      </c>
      <c r="B65" s="25"/>
      <c r="C65" s="25"/>
      <c r="G65" t="str">
        <f t="shared" si="7"/>
        <v/>
      </c>
      <c r="H65" t="str">
        <f t="shared" si="8"/>
        <v/>
      </c>
      <c r="I65" t="str">
        <f t="shared" si="9"/>
        <v/>
      </c>
      <c r="J65" t="str">
        <f t="shared" si="10"/>
        <v/>
      </c>
      <c r="K65" t="str">
        <f t="shared" si="11"/>
        <v/>
      </c>
      <c r="L65" t="str">
        <f t="shared" si="12"/>
        <v/>
      </c>
      <c r="M65" t="str">
        <f t="shared" si="13"/>
        <v/>
      </c>
    </row>
    <row r="66" spans="1:13" ht="15" customHeight="1" x14ac:dyDescent="0.3">
      <c r="A66" s="16" t="s">
        <v>253</v>
      </c>
      <c r="B66" s="17" t="s">
        <v>777</v>
      </c>
      <c r="C66" s="18"/>
      <c r="D66" s="19" t="s">
        <v>116</v>
      </c>
      <c r="E66" s="1" t="s">
        <v>59</v>
      </c>
      <c r="F66" s="20" t="s">
        <v>256</v>
      </c>
      <c r="G66">
        <f t="shared" si="7"/>
        <v>31.25</v>
      </c>
      <c r="H66">
        <f t="shared" si="8"/>
        <v>75</v>
      </c>
      <c r="I66">
        <f t="shared" si="9"/>
        <v>22.5</v>
      </c>
      <c r="J66">
        <f t="shared" si="10"/>
        <v>163.04</v>
      </c>
      <c r="K66">
        <f t="shared" si="11"/>
        <v>29.347199999999997</v>
      </c>
      <c r="L66">
        <f t="shared" si="12"/>
        <v>4.1399999999999997</v>
      </c>
      <c r="M66">
        <f t="shared" si="13"/>
        <v>37.5</v>
      </c>
    </row>
    <row r="67" spans="1:13" ht="15" customHeight="1" x14ac:dyDescent="0.3">
      <c r="A67" s="21" t="s">
        <v>253</v>
      </c>
      <c r="B67" s="22" t="s">
        <v>323</v>
      </c>
      <c r="C67" s="23"/>
      <c r="D67" s="24" t="s">
        <v>116</v>
      </c>
      <c r="E67" s="1" t="s">
        <v>59</v>
      </c>
      <c r="F67" s="20" t="s">
        <v>324</v>
      </c>
      <c r="G67">
        <f t="shared" si="7"/>
        <v>93.75</v>
      </c>
      <c r="H67">
        <f t="shared" si="8"/>
        <v>62.5</v>
      </c>
      <c r="I67">
        <f t="shared" si="9"/>
        <v>62.5</v>
      </c>
      <c r="J67">
        <f t="shared" si="10"/>
        <v>135.87</v>
      </c>
      <c r="K67">
        <f t="shared" si="11"/>
        <v>24.456600000000002</v>
      </c>
      <c r="L67">
        <f t="shared" si="12"/>
        <v>150.63999999999999</v>
      </c>
      <c r="M67">
        <f t="shared" si="13"/>
        <v>104.17</v>
      </c>
    </row>
    <row r="68" spans="1:13" ht="15" customHeight="1" x14ac:dyDescent="0.3">
      <c r="A68" s="16" t="s">
        <v>253</v>
      </c>
      <c r="B68" s="17" t="s">
        <v>228</v>
      </c>
      <c r="C68" s="18"/>
      <c r="D68" s="19" t="s">
        <v>116</v>
      </c>
      <c r="E68" s="1" t="s">
        <v>59</v>
      </c>
      <c r="F68" s="20" t="s">
        <v>229</v>
      </c>
      <c r="G68">
        <f t="shared" si="7"/>
        <v>150</v>
      </c>
      <c r="H68">
        <f t="shared" si="8"/>
        <v>75</v>
      </c>
      <c r="I68">
        <f t="shared" si="9"/>
        <v>37.5</v>
      </c>
      <c r="J68">
        <f t="shared" si="10"/>
        <v>163.04</v>
      </c>
      <c r="K68">
        <f t="shared" si="11"/>
        <v>29.347199999999997</v>
      </c>
      <c r="L68">
        <f t="shared" si="12"/>
        <v>262.29000000000002</v>
      </c>
      <c r="M68">
        <f t="shared" si="13"/>
        <v>62.5</v>
      </c>
    </row>
    <row r="69" spans="1:13" ht="15" customHeight="1" x14ac:dyDescent="0.3">
      <c r="A69" s="21" t="s">
        <v>253</v>
      </c>
      <c r="B69" s="22" t="s">
        <v>257</v>
      </c>
      <c r="C69" s="23"/>
      <c r="D69" s="24" t="s">
        <v>116</v>
      </c>
      <c r="E69" s="1" t="s">
        <v>59</v>
      </c>
      <c r="F69" s="20" t="s">
        <v>160</v>
      </c>
      <c r="G69">
        <f t="shared" si="7"/>
        <v>25</v>
      </c>
      <c r="H69">
        <f t="shared" si="8"/>
        <v>50</v>
      </c>
      <c r="I69">
        <f t="shared" si="9"/>
        <v>25</v>
      </c>
      <c r="J69">
        <f t="shared" si="10"/>
        <v>108.7</v>
      </c>
      <c r="K69">
        <f t="shared" si="11"/>
        <v>19.565999999999999</v>
      </c>
      <c r="L69">
        <f t="shared" si="12"/>
        <v>11.81</v>
      </c>
      <c r="M69">
        <f t="shared" si="13"/>
        <v>41.67</v>
      </c>
    </row>
    <row r="70" spans="1:13" ht="15" customHeight="1" x14ac:dyDescent="0.3">
      <c r="A70" s="16" t="s">
        <v>253</v>
      </c>
      <c r="B70" s="17" t="s">
        <v>365</v>
      </c>
      <c r="C70" s="18"/>
      <c r="D70" s="19" t="s">
        <v>116</v>
      </c>
      <c r="E70" s="1" t="s">
        <v>59</v>
      </c>
      <c r="F70" s="20" t="s">
        <v>366</v>
      </c>
      <c r="G70">
        <f t="shared" si="7"/>
        <v>93.75</v>
      </c>
      <c r="H70">
        <f t="shared" si="8"/>
        <v>93.75</v>
      </c>
      <c r="I70">
        <f t="shared" si="9"/>
        <v>93.75</v>
      </c>
      <c r="J70">
        <f t="shared" si="10"/>
        <v>203.8</v>
      </c>
      <c r="K70">
        <f t="shared" si="11"/>
        <v>36.683999999999997</v>
      </c>
      <c r="L70">
        <f t="shared" si="12"/>
        <v>124.06</v>
      </c>
      <c r="M70">
        <f t="shared" si="13"/>
        <v>156.25</v>
      </c>
    </row>
    <row r="71" spans="1:13" ht="15" customHeight="1" x14ac:dyDescent="0.3">
      <c r="A71" s="21" t="s">
        <v>253</v>
      </c>
      <c r="B71" s="22" t="s">
        <v>230</v>
      </c>
      <c r="C71" s="23"/>
      <c r="D71" s="24" t="s">
        <v>116</v>
      </c>
      <c r="E71" s="1" t="s">
        <v>59</v>
      </c>
      <c r="F71" s="20" t="s">
        <v>231</v>
      </c>
      <c r="G71">
        <f t="shared" ref="G71:G83" si="14">IF($F71="","",IFERROR(VALUE(TRIM(LEFT($F71,FIND(":",$F71)-1)))*1.25,"N/A"))</f>
        <v>125</v>
      </c>
      <c r="H71">
        <f t="shared" ref="H71:H83" si="15">IF($F71="","",IFERROR(VALUE(TRIM(MID($F71,FIND(":",$F71)+1,FIND(":",$F71,FIND(":",$F71)+1)-FIND(":",$F71)-1)))*1.25,"N/A"))</f>
        <v>187.5</v>
      </c>
      <c r="I71">
        <f t="shared" ref="I71:I83" si="16">IF($F71="","",IFERROR(VALUE(TRIM(LEFT(MID($F71,FIND(":",$F71,FIND(":",$F71)+1)+1,LEN($F71)),FIND(" ",MID($F71,FIND(":",$F71,FIND(":",$F71)+1)+1,LEN($F71))&amp;" ")-1)))*1.25,"N/A"))</f>
        <v>93.75</v>
      </c>
      <c r="J71">
        <f t="shared" ref="J71:J83" si="17">IF(OR($F71="",$H71="N/A"),IF($F71="","","N/A"),ROUND($H71/0.46,2))</f>
        <v>407.61</v>
      </c>
      <c r="K71">
        <f t="shared" ref="K71:K83" si="18">IF(OR($F71="",$J71="N/A"),IF($F71="","","N/A"),$J71*0.18)</f>
        <v>73.369799999999998</v>
      </c>
      <c r="L71">
        <f t="shared" ref="L71:L83" si="19">IF(OR($F71="",$G71="N/A",$K71="N/A"),IF($F71="","","N/A"),ROUND(($G71-$K71)/0.46,2))</f>
        <v>112.24</v>
      </c>
      <c r="M71">
        <f t="shared" ref="M71:M83" si="20">IF(OR($F71="",$I71="N/A"),IF($F71="","","N/A"),ROUND($I71/0.6,2))</f>
        <v>156.25</v>
      </c>
    </row>
    <row r="72" spans="1:13" ht="15" customHeight="1" x14ac:dyDescent="0.3">
      <c r="A72" s="16" t="s">
        <v>253</v>
      </c>
      <c r="B72" s="17" t="s">
        <v>294</v>
      </c>
      <c r="C72" s="18"/>
      <c r="D72" s="19" t="s">
        <v>116</v>
      </c>
      <c r="E72" s="1" t="s">
        <v>59</v>
      </c>
      <c r="F72" s="20" t="s">
        <v>149</v>
      </c>
      <c r="G72">
        <f t="shared" si="14"/>
        <v>50</v>
      </c>
      <c r="H72">
        <f t="shared" si="15"/>
        <v>25</v>
      </c>
      <c r="I72">
        <f t="shared" si="16"/>
        <v>25</v>
      </c>
      <c r="J72">
        <f t="shared" si="17"/>
        <v>54.35</v>
      </c>
      <c r="K72">
        <f t="shared" si="18"/>
        <v>9.7829999999999995</v>
      </c>
      <c r="L72">
        <f t="shared" si="19"/>
        <v>87.43</v>
      </c>
      <c r="M72">
        <f t="shared" si="20"/>
        <v>41.67</v>
      </c>
    </row>
    <row r="73" spans="1:13" ht="15" customHeight="1" x14ac:dyDescent="0.3">
      <c r="A73" s="21" t="s">
        <v>253</v>
      </c>
      <c r="B73" s="22" t="s">
        <v>775</v>
      </c>
      <c r="C73" s="23"/>
      <c r="D73" s="24" t="s">
        <v>116</v>
      </c>
      <c r="E73" s="1" t="s">
        <v>59</v>
      </c>
      <c r="F73" s="20" t="s">
        <v>149</v>
      </c>
      <c r="G73">
        <f t="shared" si="14"/>
        <v>50</v>
      </c>
      <c r="H73">
        <f t="shared" si="15"/>
        <v>25</v>
      </c>
      <c r="I73">
        <f t="shared" si="16"/>
        <v>25</v>
      </c>
      <c r="J73">
        <f t="shared" si="17"/>
        <v>54.35</v>
      </c>
      <c r="K73">
        <f t="shared" si="18"/>
        <v>9.7829999999999995</v>
      </c>
      <c r="L73">
        <f t="shared" si="19"/>
        <v>87.43</v>
      </c>
      <c r="M73">
        <f t="shared" si="20"/>
        <v>41.67</v>
      </c>
    </row>
    <row r="74" spans="1:13" ht="18" customHeight="1" x14ac:dyDescent="0.3">
      <c r="A74" s="25" t="s">
        <v>263</v>
      </c>
      <c r="B74" s="25"/>
      <c r="C74" s="25"/>
      <c r="G74" t="str">
        <f t="shared" si="14"/>
        <v/>
      </c>
      <c r="H74" t="str">
        <f t="shared" si="15"/>
        <v/>
      </c>
      <c r="I74" t="str">
        <f t="shared" si="16"/>
        <v/>
      </c>
      <c r="J74" t="str">
        <f t="shared" si="17"/>
        <v/>
      </c>
      <c r="K74" t="str">
        <f t="shared" si="18"/>
        <v/>
      </c>
      <c r="L74" t="str">
        <f t="shared" si="19"/>
        <v/>
      </c>
      <c r="M74" t="str">
        <f t="shared" si="20"/>
        <v/>
      </c>
    </row>
    <row r="75" spans="1:13" ht="15" customHeight="1" x14ac:dyDescent="0.3">
      <c r="A75" s="16" t="s">
        <v>264</v>
      </c>
      <c r="B75" s="17" t="s">
        <v>206</v>
      </c>
      <c r="C75" s="18"/>
      <c r="D75" s="19" t="s">
        <v>116</v>
      </c>
      <c r="E75" s="1" t="s">
        <v>59</v>
      </c>
      <c r="F75" s="20" t="s">
        <v>207</v>
      </c>
      <c r="G75">
        <f t="shared" si="14"/>
        <v>700</v>
      </c>
      <c r="H75">
        <f t="shared" si="15"/>
        <v>400</v>
      </c>
      <c r="I75">
        <f t="shared" si="16"/>
        <v>1500</v>
      </c>
      <c r="J75">
        <f t="shared" si="17"/>
        <v>869.57</v>
      </c>
      <c r="K75">
        <f t="shared" si="18"/>
        <v>156.52260000000001</v>
      </c>
      <c r="L75">
        <f t="shared" si="19"/>
        <v>1181.47</v>
      </c>
      <c r="M75">
        <f t="shared" si="20"/>
        <v>2500</v>
      </c>
    </row>
    <row r="76" spans="1:13" ht="15" customHeight="1" x14ac:dyDescent="0.3">
      <c r="A76" s="21" t="s">
        <v>264</v>
      </c>
      <c r="B76" s="22" t="s">
        <v>778</v>
      </c>
      <c r="C76" s="23"/>
      <c r="D76" s="24" t="s">
        <v>116</v>
      </c>
      <c r="E76" s="1" t="s">
        <v>59</v>
      </c>
      <c r="F76" s="20" t="s">
        <v>213</v>
      </c>
      <c r="G76">
        <f t="shared" si="14"/>
        <v>625</v>
      </c>
      <c r="H76">
        <f t="shared" si="15"/>
        <v>250</v>
      </c>
      <c r="I76">
        <f t="shared" si="16"/>
        <v>375</v>
      </c>
      <c r="J76">
        <f t="shared" si="17"/>
        <v>543.48</v>
      </c>
      <c r="K76">
        <f t="shared" si="18"/>
        <v>97.826400000000007</v>
      </c>
      <c r="L76">
        <f t="shared" si="19"/>
        <v>1146.03</v>
      </c>
      <c r="M76">
        <f t="shared" si="20"/>
        <v>625</v>
      </c>
    </row>
    <row r="77" spans="1:13" ht="15" customHeight="1" x14ac:dyDescent="0.3">
      <c r="A77" s="16" t="s">
        <v>264</v>
      </c>
      <c r="B77" s="17" t="s">
        <v>779</v>
      </c>
      <c r="C77" s="18"/>
      <c r="D77" s="19" t="s">
        <v>116</v>
      </c>
      <c r="E77" s="1" t="s">
        <v>59</v>
      </c>
      <c r="F77" s="20" t="s">
        <v>179</v>
      </c>
      <c r="G77">
        <f t="shared" si="14"/>
        <v>1500</v>
      </c>
      <c r="H77">
        <f t="shared" si="15"/>
        <v>750</v>
      </c>
      <c r="I77">
        <f t="shared" si="16"/>
        <v>3375</v>
      </c>
      <c r="J77">
        <f t="shared" si="17"/>
        <v>1630.43</v>
      </c>
      <c r="K77">
        <f t="shared" si="18"/>
        <v>293.47739999999999</v>
      </c>
      <c r="L77">
        <f t="shared" si="19"/>
        <v>2622.88</v>
      </c>
      <c r="M77">
        <f t="shared" si="20"/>
        <v>5625</v>
      </c>
    </row>
    <row r="78" spans="1:13" ht="18" customHeight="1" x14ac:dyDescent="0.3">
      <c r="A78" s="25" t="s">
        <v>269</v>
      </c>
      <c r="B78" s="25"/>
      <c r="C78" s="25"/>
      <c r="G78" t="str">
        <f t="shared" si="14"/>
        <v/>
      </c>
      <c r="H78" t="str">
        <f t="shared" si="15"/>
        <v/>
      </c>
      <c r="I78" t="str">
        <f t="shared" si="16"/>
        <v/>
      </c>
      <c r="J78" t="str">
        <f t="shared" si="17"/>
        <v/>
      </c>
      <c r="K78" t="str">
        <f t="shared" si="18"/>
        <v/>
      </c>
      <c r="L78" t="str">
        <f t="shared" si="19"/>
        <v/>
      </c>
      <c r="M78" t="str">
        <f t="shared" si="20"/>
        <v/>
      </c>
    </row>
    <row r="79" spans="1:13" ht="15" customHeight="1" x14ac:dyDescent="0.3">
      <c r="A79" s="21" t="s">
        <v>270</v>
      </c>
      <c r="B79" s="22" t="s">
        <v>271</v>
      </c>
      <c r="C79" s="23"/>
      <c r="D79" s="24" t="s">
        <v>116</v>
      </c>
      <c r="E79" s="1" t="s">
        <v>59</v>
      </c>
      <c r="F79" s="20" t="s">
        <v>241</v>
      </c>
      <c r="G79">
        <f t="shared" si="14"/>
        <v>7.5</v>
      </c>
      <c r="H79">
        <f t="shared" si="15"/>
        <v>15</v>
      </c>
      <c r="I79">
        <f t="shared" si="16"/>
        <v>15</v>
      </c>
      <c r="J79">
        <f t="shared" si="17"/>
        <v>32.61</v>
      </c>
      <c r="K79">
        <f t="shared" si="18"/>
        <v>5.8697999999999997</v>
      </c>
      <c r="L79">
        <f t="shared" si="19"/>
        <v>3.54</v>
      </c>
      <c r="M79">
        <f t="shared" si="20"/>
        <v>25</v>
      </c>
    </row>
    <row r="80" spans="1:13" ht="15" customHeight="1" x14ac:dyDescent="0.3">
      <c r="A80" s="16" t="s">
        <v>270</v>
      </c>
      <c r="B80" s="17" t="s">
        <v>272</v>
      </c>
      <c r="C80" s="18"/>
      <c r="D80" s="19" t="s">
        <v>116</v>
      </c>
      <c r="E80" s="1" t="s">
        <v>59</v>
      </c>
      <c r="F80" s="20" t="s">
        <v>273</v>
      </c>
      <c r="G80">
        <f t="shared" si="14"/>
        <v>112.5</v>
      </c>
      <c r="H80">
        <f t="shared" si="15"/>
        <v>112.5</v>
      </c>
      <c r="I80">
        <f t="shared" si="16"/>
        <v>93.75</v>
      </c>
      <c r="J80">
        <f t="shared" si="17"/>
        <v>244.57</v>
      </c>
      <c r="K80">
        <f t="shared" si="18"/>
        <v>44.022599999999997</v>
      </c>
      <c r="L80">
        <f t="shared" si="19"/>
        <v>148.86000000000001</v>
      </c>
      <c r="M80">
        <f t="shared" si="20"/>
        <v>156.25</v>
      </c>
    </row>
    <row r="81" spans="1:13" ht="15" customHeight="1" x14ac:dyDescent="0.3">
      <c r="A81" s="21" t="s">
        <v>270</v>
      </c>
      <c r="B81" s="22" t="s">
        <v>276</v>
      </c>
      <c r="C81" s="23"/>
      <c r="D81" s="24" t="s">
        <v>116</v>
      </c>
      <c r="E81" s="1" t="s">
        <v>59</v>
      </c>
      <c r="F81" s="20" t="s">
        <v>277</v>
      </c>
      <c r="G81">
        <f t="shared" si="14"/>
        <v>156.25</v>
      </c>
      <c r="H81">
        <f t="shared" si="15"/>
        <v>150</v>
      </c>
      <c r="I81">
        <f t="shared" si="16"/>
        <v>31.25</v>
      </c>
      <c r="J81">
        <f t="shared" si="17"/>
        <v>326.08999999999997</v>
      </c>
      <c r="K81">
        <f t="shared" si="18"/>
        <v>58.69619999999999</v>
      </c>
      <c r="L81">
        <f t="shared" si="19"/>
        <v>212.07</v>
      </c>
      <c r="M81">
        <f t="shared" si="20"/>
        <v>52.08</v>
      </c>
    </row>
    <row r="82" spans="1:13" ht="15" customHeight="1" x14ac:dyDescent="0.3">
      <c r="A82" s="16" t="s">
        <v>270</v>
      </c>
      <c r="B82" s="17" t="s">
        <v>274</v>
      </c>
      <c r="C82" s="18"/>
      <c r="D82" s="19" t="s">
        <v>116</v>
      </c>
      <c r="E82" s="1" t="s">
        <v>59</v>
      </c>
      <c r="F82" s="20" t="s">
        <v>275</v>
      </c>
      <c r="G82">
        <f t="shared" si="14"/>
        <v>75</v>
      </c>
      <c r="H82">
        <f t="shared" si="15"/>
        <v>150</v>
      </c>
      <c r="I82">
        <f t="shared" si="16"/>
        <v>150</v>
      </c>
      <c r="J82">
        <f t="shared" si="17"/>
        <v>326.08999999999997</v>
      </c>
      <c r="K82">
        <f t="shared" si="18"/>
        <v>58.69619999999999</v>
      </c>
      <c r="L82">
        <f t="shared" si="19"/>
        <v>35.44</v>
      </c>
      <c r="M82">
        <f t="shared" si="20"/>
        <v>250</v>
      </c>
    </row>
    <row r="83" spans="1:13" ht="15" customHeight="1" x14ac:dyDescent="0.3">
      <c r="A83" s="21" t="s">
        <v>270</v>
      </c>
      <c r="B83" s="22" t="s">
        <v>278</v>
      </c>
      <c r="C83" s="23"/>
      <c r="D83" s="24" t="s">
        <v>116</v>
      </c>
      <c r="E83" s="1" t="s">
        <v>59</v>
      </c>
      <c r="F83" s="20" t="s">
        <v>279</v>
      </c>
      <c r="G83">
        <f t="shared" si="14"/>
        <v>250</v>
      </c>
      <c r="H83">
        <f t="shared" si="15"/>
        <v>250</v>
      </c>
      <c r="I83">
        <f t="shared" si="16"/>
        <v>250</v>
      </c>
      <c r="J83">
        <f t="shared" si="17"/>
        <v>543.48</v>
      </c>
      <c r="K83">
        <f t="shared" si="18"/>
        <v>97.826400000000007</v>
      </c>
      <c r="L83">
        <f t="shared" si="19"/>
        <v>330.81</v>
      </c>
      <c r="M83">
        <f t="shared" si="20"/>
        <v>416.67</v>
      </c>
    </row>
  </sheetData>
  <mergeCells count="13">
    <mergeCell ref="A1:C1"/>
    <mergeCell ref="A2:C2"/>
    <mergeCell ref="A3:C3"/>
    <mergeCell ref="A4:C4"/>
    <mergeCell ref="A7:C7"/>
    <mergeCell ref="A65:C65"/>
    <mergeCell ref="A74:C74"/>
    <mergeCell ref="A78:C78"/>
    <mergeCell ref="A15:C15"/>
    <mergeCell ref="A23:C23"/>
    <mergeCell ref="A32:C32"/>
    <mergeCell ref="A36:C36"/>
    <mergeCell ref="A48:C4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B5E20"/>
  </sheetPr>
  <dimension ref="A1:M71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780</v>
      </c>
      <c r="B1" s="26"/>
      <c r="C1" s="26"/>
    </row>
    <row r="2" spans="1:13" ht="19.5" customHeight="1" x14ac:dyDescent="0.3">
      <c r="A2" s="27" t="s">
        <v>781</v>
      </c>
      <c r="B2" s="27"/>
      <c r="C2" s="27"/>
    </row>
    <row r="3" spans="1:13" ht="19.5" customHeight="1" x14ac:dyDescent="0.3">
      <c r="A3" s="27" t="s">
        <v>782</v>
      </c>
      <c r="B3" s="27"/>
      <c r="C3" s="27"/>
    </row>
    <row r="4" spans="1:13" ht="19.5" customHeight="1" x14ac:dyDescent="0.3">
      <c r="A4" s="27" t="s">
        <v>783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784</v>
      </c>
      <c r="C8" s="18"/>
      <c r="D8" s="19" t="s">
        <v>118</v>
      </c>
      <c r="E8" s="1" t="s">
        <v>43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290</v>
      </c>
      <c r="C9" s="23"/>
      <c r="D9" s="24" t="s">
        <v>118</v>
      </c>
      <c r="E9" s="1" t="s">
        <v>43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118</v>
      </c>
      <c r="E10" s="1" t="s">
        <v>43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636</v>
      </c>
      <c r="C11" s="23"/>
      <c r="D11" s="24" t="s">
        <v>118</v>
      </c>
      <c r="E11" s="1" t="s">
        <v>43</v>
      </c>
      <c r="F11" s="20" t="s">
        <v>153</v>
      </c>
      <c r="G11">
        <f t="shared" si="0"/>
        <v>25</v>
      </c>
      <c r="H11">
        <f t="shared" si="1"/>
        <v>25</v>
      </c>
      <c r="I11">
        <f t="shared" si="2"/>
        <v>12.5</v>
      </c>
      <c r="J11">
        <f t="shared" si="3"/>
        <v>54.35</v>
      </c>
      <c r="K11">
        <f t="shared" si="4"/>
        <v>9.7829999999999995</v>
      </c>
      <c r="L11">
        <f t="shared" si="5"/>
        <v>33.08</v>
      </c>
      <c r="M11">
        <f t="shared" si="6"/>
        <v>20.83</v>
      </c>
    </row>
    <row r="12" spans="1:13" ht="18" customHeight="1" x14ac:dyDescent="0.3">
      <c r="A12" s="25" t="s">
        <v>155</v>
      </c>
      <c r="B12" s="25"/>
      <c r="C12" s="25"/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5"/>
        <v/>
      </c>
      <c r="M12" t="str">
        <f t="shared" si="6"/>
        <v/>
      </c>
    </row>
    <row r="13" spans="1:13" ht="15" customHeight="1" x14ac:dyDescent="0.3">
      <c r="A13" s="16" t="s">
        <v>156</v>
      </c>
      <c r="B13" s="17" t="s">
        <v>294</v>
      </c>
      <c r="C13" s="18"/>
      <c r="D13" s="19" t="s">
        <v>118</v>
      </c>
      <c r="E13" s="1" t="s">
        <v>43</v>
      </c>
      <c r="F13" s="20" t="s">
        <v>149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21" t="s">
        <v>156</v>
      </c>
      <c r="B14" s="22" t="s">
        <v>165</v>
      </c>
      <c r="C14" s="23"/>
      <c r="D14" s="24" t="s">
        <v>118</v>
      </c>
      <c r="E14" s="1" t="s">
        <v>43</v>
      </c>
      <c r="F14" s="20" t="s">
        <v>160</v>
      </c>
      <c r="G14">
        <f t="shared" si="0"/>
        <v>25</v>
      </c>
      <c r="H14">
        <f t="shared" si="1"/>
        <v>50</v>
      </c>
      <c r="I14">
        <f t="shared" si="2"/>
        <v>25</v>
      </c>
      <c r="J14">
        <f t="shared" si="3"/>
        <v>108.7</v>
      </c>
      <c r="K14">
        <f t="shared" si="4"/>
        <v>19.565999999999999</v>
      </c>
      <c r="L14">
        <f t="shared" si="5"/>
        <v>11.81</v>
      </c>
      <c r="M14">
        <f t="shared" si="6"/>
        <v>41.67</v>
      </c>
    </row>
    <row r="15" spans="1:13" ht="15" customHeight="1" x14ac:dyDescent="0.3">
      <c r="A15" s="16" t="s">
        <v>156</v>
      </c>
      <c r="B15" s="17" t="s">
        <v>292</v>
      </c>
      <c r="C15" s="18"/>
      <c r="D15" s="19" t="s">
        <v>118</v>
      </c>
      <c r="E15" s="1" t="s">
        <v>43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293</v>
      </c>
      <c r="C16" s="23"/>
      <c r="D16" s="24" t="s">
        <v>118</v>
      </c>
      <c r="E16" s="1" t="s">
        <v>43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163</v>
      </c>
      <c r="C17" s="18"/>
      <c r="D17" s="19" t="s">
        <v>118</v>
      </c>
      <c r="E17" s="1" t="s">
        <v>43</v>
      </c>
      <c r="F17" s="20" t="s">
        <v>164</v>
      </c>
      <c r="G17">
        <f t="shared" si="0"/>
        <v>12.5</v>
      </c>
      <c r="H17">
        <f t="shared" si="1"/>
        <v>25</v>
      </c>
      <c r="I17">
        <f t="shared" si="2"/>
        <v>12.5</v>
      </c>
      <c r="J17">
        <f t="shared" si="3"/>
        <v>54.35</v>
      </c>
      <c r="K17">
        <f t="shared" si="4"/>
        <v>9.7829999999999995</v>
      </c>
      <c r="L17">
        <f t="shared" si="5"/>
        <v>5.91</v>
      </c>
      <c r="M17">
        <f t="shared" si="6"/>
        <v>20.83</v>
      </c>
    </row>
    <row r="18" spans="1:13" ht="18" customHeight="1" x14ac:dyDescent="0.3">
      <c r="A18" s="25" t="s">
        <v>167</v>
      </c>
      <c r="B18" s="25"/>
      <c r="C18" s="25"/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5"/>
        <v/>
      </c>
      <c r="M18" t="str">
        <f t="shared" si="6"/>
        <v/>
      </c>
    </row>
    <row r="19" spans="1:13" ht="15" customHeight="1" x14ac:dyDescent="0.3">
      <c r="A19" s="21" t="s">
        <v>168</v>
      </c>
      <c r="B19" s="22" t="s">
        <v>175</v>
      </c>
      <c r="C19" s="23"/>
      <c r="D19" s="24" t="s">
        <v>118</v>
      </c>
      <c r="E19" s="1" t="s">
        <v>43</v>
      </c>
      <c r="F19" s="20" t="s">
        <v>147</v>
      </c>
      <c r="G19">
        <f t="shared" si="0"/>
        <v>100</v>
      </c>
      <c r="H19">
        <f t="shared" si="1"/>
        <v>50</v>
      </c>
      <c r="I19">
        <f t="shared" si="2"/>
        <v>50</v>
      </c>
      <c r="J19">
        <f t="shared" si="3"/>
        <v>108.7</v>
      </c>
      <c r="K19">
        <f t="shared" si="4"/>
        <v>19.565999999999999</v>
      </c>
      <c r="L19">
        <f t="shared" si="5"/>
        <v>174.86</v>
      </c>
      <c r="M19">
        <f t="shared" si="6"/>
        <v>83.33</v>
      </c>
    </row>
    <row r="20" spans="1:13" ht="15" customHeight="1" x14ac:dyDescent="0.3">
      <c r="A20" s="16" t="s">
        <v>168</v>
      </c>
      <c r="B20" s="17" t="s">
        <v>294</v>
      </c>
      <c r="C20" s="18"/>
      <c r="D20" s="19" t="s">
        <v>118</v>
      </c>
      <c r="E20" s="1" t="s">
        <v>43</v>
      </c>
      <c r="F20" s="20" t="s">
        <v>149</v>
      </c>
      <c r="G20">
        <f t="shared" si="0"/>
        <v>50</v>
      </c>
      <c r="H20">
        <f t="shared" si="1"/>
        <v>25</v>
      </c>
      <c r="I20">
        <f t="shared" si="2"/>
        <v>25</v>
      </c>
      <c r="J20">
        <f t="shared" si="3"/>
        <v>54.35</v>
      </c>
      <c r="K20">
        <f t="shared" si="4"/>
        <v>9.7829999999999995</v>
      </c>
      <c r="L20">
        <f t="shared" si="5"/>
        <v>87.43</v>
      </c>
      <c r="M20">
        <f t="shared" si="6"/>
        <v>41.67</v>
      </c>
    </row>
    <row r="21" spans="1:13" ht="15" customHeight="1" x14ac:dyDescent="0.3">
      <c r="A21" s="21" t="s">
        <v>168</v>
      </c>
      <c r="B21" s="22" t="s">
        <v>169</v>
      </c>
      <c r="C21" s="23"/>
      <c r="D21" s="24" t="s">
        <v>118</v>
      </c>
      <c r="E21" s="1" t="s">
        <v>43</v>
      </c>
      <c r="F21" s="20" t="s">
        <v>170</v>
      </c>
      <c r="G21">
        <f t="shared" si="0"/>
        <v>25</v>
      </c>
      <c r="H21">
        <f t="shared" si="1"/>
        <v>50</v>
      </c>
      <c r="I21">
        <f t="shared" si="2"/>
        <v>50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83.33</v>
      </c>
    </row>
    <row r="22" spans="1:13" ht="15" customHeight="1" x14ac:dyDescent="0.3">
      <c r="A22" s="16" t="s">
        <v>168</v>
      </c>
      <c r="B22" s="17" t="s">
        <v>295</v>
      </c>
      <c r="C22" s="18"/>
      <c r="D22" s="19" t="s">
        <v>118</v>
      </c>
      <c r="E22" s="1" t="s">
        <v>43</v>
      </c>
      <c r="F22" s="20" t="s">
        <v>149</v>
      </c>
      <c r="G22">
        <f t="shared" si="0"/>
        <v>50</v>
      </c>
      <c r="H22">
        <f t="shared" si="1"/>
        <v>25</v>
      </c>
      <c r="I22">
        <f t="shared" si="2"/>
        <v>25</v>
      </c>
      <c r="J22">
        <f t="shared" si="3"/>
        <v>54.35</v>
      </c>
      <c r="K22">
        <f t="shared" si="4"/>
        <v>9.7829999999999995</v>
      </c>
      <c r="L22">
        <f t="shared" si="5"/>
        <v>87.43</v>
      </c>
      <c r="M22">
        <f t="shared" si="6"/>
        <v>41.67</v>
      </c>
    </row>
    <row r="23" spans="1:13" ht="18" customHeight="1" x14ac:dyDescent="0.3">
      <c r="A23" s="25" t="s">
        <v>180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21" t="s">
        <v>181</v>
      </c>
      <c r="B24" s="22" t="s">
        <v>785</v>
      </c>
      <c r="C24" s="23"/>
      <c r="D24" s="24" t="s">
        <v>118</v>
      </c>
      <c r="E24" s="1" t="s">
        <v>43</v>
      </c>
      <c r="F24" s="20" t="s">
        <v>268</v>
      </c>
      <c r="G24">
        <f t="shared" si="0"/>
        <v>15</v>
      </c>
      <c r="H24">
        <f t="shared" si="1"/>
        <v>7.5</v>
      </c>
      <c r="I24">
        <f t="shared" si="2"/>
        <v>7.5</v>
      </c>
      <c r="J24">
        <f t="shared" si="3"/>
        <v>16.3</v>
      </c>
      <c r="K24">
        <f t="shared" si="4"/>
        <v>2.9340000000000002</v>
      </c>
      <c r="L24">
        <f t="shared" si="5"/>
        <v>26.23</v>
      </c>
      <c r="M24">
        <f t="shared" si="6"/>
        <v>12.5</v>
      </c>
    </row>
    <row r="25" spans="1:13" ht="15" customHeight="1" x14ac:dyDescent="0.3">
      <c r="A25" s="16" t="s">
        <v>181</v>
      </c>
      <c r="B25" s="17" t="s">
        <v>342</v>
      </c>
      <c r="C25" s="18"/>
      <c r="D25" s="19" t="s">
        <v>118</v>
      </c>
      <c r="E25" s="1" t="s">
        <v>43</v>
      </c>
      <c r="F25" s="20" t="s">
        <v>343</v>
      </c>
      <c r="G25">
        <f t="shared" si="0"/>
        <v>275</v>
      </c>
      <c r="H25">
        <f t="shared" si="1"/>
        <v>56.25</v>
      </c>
      <c r="I25">
        <f t="shared" si="2"/>
        <v>225</v>
      </c>
      <c r="J25">
        <f t="shared" si="3"/>
        <v>122.28</v>
      </c>
      <c r="K25">
        <f t="shared" si="4"/>
        <v>22.010400000000001</v>
      </c>
      <c r="L25">
        <f t="shared" si="5"/>
        <v>549.98</v>
      </c>
      <c r="M25">
        <f t="shared" si="6"/>
        <v>375</v>
      </c>
    </row>
    <row r="26" spans="1:13" ht="15" customHeight="1" x14ac:dyDescent="0.3">
      <c r="A26" s="21" t="s">
        <v>181</v>
      </c>
      <c r="B26" s="22" t="s">
        <v>359</v>
      </c>
      <c r="C26" s="23"/>
      <c r="D26" s="24" t="s">
        <v>118</v>
      </c>
      <c r="E26" s="1" t="s">
        <v>43</v>
      </c>
      <c r="F26" s="20" t="s">
        <v>298</v>
      </c>
      <c r="G26">
        <f t="shared" si="0"/>
        <v>75</v>
      </c>
      <c r="H26">
        <f t="shared" si="1"/>
        <v>37.5</v>
      </c>
      <c r="I26">
        <f t="shared" si="2"/>
        <v>37.5</v>
      </c>
      <c r="J26">
        <f t="shared" si="3"/>
        <v>81.52</v>
      </c>
      <c r="K26">
        <f t="shared" si="4"/>
        <v>14.673599999999999</v>
      </c>
      <c r="L26">
        <f t="shared" si="5"/>
        <v>131.13999999999999</v>
      </c>
      <c r="M26">
        <f t="shared" si="6"/>
        <v>62.5</v>
      </c>
    </row>
    <row r="27" spans="1:13" ht="15" customHeight="1" x14ac:dyDescent="0.3">
      <c r="A27" s="16" t="s">
        <v>181</v>
      </c>
      <c r="B27" s="17" t="s">
        <v>649</v>
      </c>
      <c r="C27" s="18"/>
      <c r="D27" s="19" t="s">
        <v>118</v>
      </c>
      <c r="E27" s="1" t="s">
        <v>43</v>
      </c>
      <c r="F27" s="20" t="s">
        <v>456</v>
      </c>
      <c r="G27" t="str">
        <f t="shared" si="0"/>
        <v>N/A</v>
      </c>
      <c r="H27" t="str">
        <f t="shared" si="1"/>
        <v>N/A</v>
      </c>
      <c r="I27" t="str">
        <f t="shared" si="2"/>
        <v>N/A</v>
      </c>
      <c r="J27" t="str">
        <f t="shared" si="3"/>
        <v>N/A</v>
      </c>
      <c r="K27" t="str">
        <f t="shared" si="4"/>
        <v>N/A</v>
      </c>
      <c r="L27" t="str">
        <f t="shared" si="5"/>
        <v>N/A</v>
      </c>
      <c r="M27" t="str">
        <f t="shared" si="6"/>
        <v>N/A</v>
      </c>
    </row>
    <row r="28" spans="1:13" ht="18" customHeight="1" x14ac:dyDescent="0.3">
      <c r="A28" s="25" t="s">
        <v>187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21" t="s">
        <v>188</v>
      </c>
      <c r="B29" s="22" t="s">
        <v>786</v>
      </c>
      <c r="C29" s="23"/>
      <c r="D29" s="24" t="s">
        <v>118</v>
      </c>
      <c r="E29" s="1" t="s">
        <v>43</v>
      </c>
      <c r="F29" s="20" t="s">
        <v>306</v>
      </c>
      <c r="G29">
        <f t="shared" si="0"/>
        <v>20</v>
      </c>
      <c r="H29">
        <f t="shared" si="1"/>
        <v>5</v>
      </c>
      <c r="I29">
        <f t="shared" si="2"/>
        <v>15</v>
      </c>
      <c r="J29">
        <f t="shared" si="3"/>
        <v>10.87</v>
      </c>
      <c r="K29">
        <f t="shared" si="4"/>
        <v>1.9565999999999999</v>
      </c>
      <c r="L29">
        <f t="shared" si="5"/>
        <v>39.22</v>
      </c>
      <c r="M29">
        <f t="shared" si="6"/>
        <v>25</v>
      </c>
    </row>
    <row r="30" spans="1:13" ht="15" customHeight="1" x14ac:dyDescent="0.3">
      <c r="A30" s="16" t="s">
        <v>188</v>
      </c>
      <c r="B30" s="17" t="s">
        <v>191</v>
      </c>
      <c r="C30" s="18"/>
      <c r="D30" s="19" t="s">
        <v>118</v>
      </c>
      <c r="E30" s="1" t="s">
        <v>43</v>
      </c>
      <c r="F30" s="20" t="s">
        <v>192</v>
      </c>
      <c r="G30">
        <f t="shared" si="0"/>
        <v>137.5</v>
      </c>
      <c r="H30">
        <f t="shared" si="1"/>
        <v>43.75</v>
      </c>
      <c r="I30">
        <f t="shared" si="2"/>
        <v>412.5</v>
      </c>
      <c r="J30">
        <f t="shared" si="3"/>
        <v>95.11</v>
      </c>
      <c r="K30">
        <f t="shared" si="4"/>
        <v>17.119799999999998</v>
      </c>
      <c r="L30">
        <f t="shared" si="5"/>
        <v>261.7</v>
      </c>
      <c r="M30">
        <f t="shared" si="6"/>
        <v>687.5</v>
      </c>
    </row>
    <row r="31" spans="1:13" ht="15" customHeight="1" x14ac:dyDescent="0.3">
      <c r="A31" s="21" t="s">
        <v>188</v>
      </c>
      <c r="B31" s="22" t="s">
        <v>214</v>
      </c>
      <c r="C31" s="23"/>
      <c r="D31" s="24" t="s">
        <v>118</v>
      </c>
      <c r="E31" s="1" t="s">
        <v>43</v>
      </c>
      <c r="F31" s="20" t="s">
        <v>215</v>
      </c>
      <c r="G31">
        <f t="shared" si="0"/>
        <v>93.75</v>
      </c>
      <c r="H31">
        <f t="shared" si="1"/>
        <v>50</v>
      </c>
      <c r="I31">
        <f t="shared" si="2"/>
        <v>62.5</v>
      </c>
      <c r="J31">
        <f t="shared" si="3"/>
        <v>108.7</v>
      </c>
      <c r="K31">
        <f t="shared" si="4"/>
        <v>19.565999999999999</v>
      </c>
      <c r="L31">
        <f t="shared" si="5"/>
        <v>161.27000000000001</v>
      </c>
      <c r="M31">
        <f t="shared" si="6"/>
        <v>104.17</v>
      </c>
    </row>
    <row r="32" spans="1:13" ht="15" customHeight="1" x14ac:dyDescent="0.3">
      <c r="A32" s="16" t="s">
        <v>188</v>
      </c>
      <c r="B32" s="17" t="s">
        <v>650</v>
      </c>
      <c r="C32" s="18"/>
      <c r="D32" s="19" t="s">
        <v>118</v>
      </c>
      <c r="E32" s="1" t="s">
        <v>43</v>
      </c>
      <c r="F32" s="20" t="s">
        <v>300</v>
      </c>
      <c r="G32">
        <f t="shared" si="0"/>
        <v>750</v>
      </c>
      <c r="H32">
        <f t="shared" si="1"/>
        <v>250</v>
      </c>
      <c r="I32">
        <f t="shared" si="2"/>
        <v>500</v>
      </c>
      <c r="J32">
        <f t="shared" si="3"/>
        <v>543.48</v>
      </c>
      <c r="K32">
        <f t="shared" si="4"/>
        <v>97.826400000000007</v>
      </c>
      <c r="L32">
        <f t="shared" si="5"/>
        <v>1417.77</v>
      </c>
      <c r="M32">
        <f t="shared" si="6"/>
        <v>833.33</v>
      </c>
    </row>
    <row r="33" spans="1:13" ht="15" customHeight="1" x14ac:dyDescent="0.3">
      <c r="A33" s="21" t="s">
        <v>188</v>
      </c>
      <c r="B33" s="22" t="s">
        <v>193</v>
      </c>
      <c r="C33" s="23"/>
      <c r="D33" s="24" t="s">
        <v>118</v>
      </c>
      <c r="E33" s="1" t="s">
        <v>43</v>
      </c>
      <c r="F33" s="20" t="s">
        <v>194</v>
      </c>
      <c r="G33">
        <f t="shared" si="0"/>
        <v>125</v>
      </c>
      <c r="H33">
        <f t="shared" si="1"/>
        <v>125</v>
      </c>
      <c r="I33">
        <f t="shared" si="2"/>
        <v>125</v>
      </c>
      <c r="J33">
        <f t="shared" si="3"/>
        <v>271.74</v>
      </c>
      <c r="K33">
        <f t="shared" si="4"/>
        <v>48.913200000000003</v>
      </c>
      <c r="L33">
        <f t="shared" si="5"/>
        <v>165.41</v>
      </c>
      <c r="M33">
        <f t="shared" si="6"/>
        <v>208.33</v>
      </c>
    </row>
    <row r="34" spans="1:13" ht="15" customHeight="1" x14ac:dyDescent="0.3">
      <c r="A34" s="16" t="s">
        <v>188</v>
      </c>
      <c r="B34" s="17" t="s">
        <v>195</v>
      </c>
      <c r="C34" s="18"/>
      <c r="D34" s="19" t="s">
        <v>118</v>
      </c>
      <c r="E34" s="1" t="s">
        <v>43</v>
      </c>
      <c r="F34" s="20" t="s">
        <v>194</v>
      </c>
      <c r="G34">
        <f t="shared" si="0"/>
        <v>125</v>
      </c>
      <c r="H34">
        <f t="shared" si="1"/>
        <v>125</v>
      </c>
      <c r="I34">
        <f t="shared" si="2"/>
        <v>125</v>
      </c>
      <c r="J34">
        <f t="shared" si="3"/>
        <v>271.74</v>
      </c>
      <c r="K34">
        <f t="shared" si="4"/>
        <v>48.913200000000003</v>
      </c>
      <c r="L34">
        <f t="shared" si="5"/>
        <v>165.41</v>
      </c>
      <c r="M34">
        <f t="shared" si="6"/>
        <v>208.33</v>
      </c>
    </row>
    <row r="35" spans="1:13" ht="15" customHeight="1" x14ac:dyDescent="0.3">
      <c r="A35" s="21" t="s">
        <v>188</v>
      </c>
      <c r="B35" s="22" t="s">
        <v>310</v>
      </c>
      <c r="C35" s="23"/>
      <c r="D35" s="24" t="s">
        <v>118</v>
      </c>
      <c r="E35" s="1" t="s">
        <v>43</v>
      </c>
      <c r="F35" s="20" t="s">
        <v>311</v>
      </c>
      <c r="G35">
        <f t="shared" si="0"/>
        <v>125</v>
      </c>
      <c r="H35">
        <f t="shared" si="1"/>
        <v>50</v>
      </c>
      <c r="I35">
        <f t="shared" si="2"/>
        <v>500</v>
      </c>
      <c r="J35">
        <f t="shared" si="3"/>
        <v>108.7</v>
      </c>
      <c r="K35">
        <f t="shared" si="4"/>
        <v>19.565999999999999</v>
      </c>
      <c r="L35">
        <f t="shared" si="5"/>
        <v>229.2</v>
      </c>
      <c r="M35">
        <f t="shared" si="6"/>
        <v>833.33</v>
      </c>
    </row>
    <row r="36" spans="1:13" ht="15" customHeight="1" x14ac:dyDescent="0.3">
      <c r="A36" s="16" t="s">
        <v>188</v>
      </c>
      <c r="B36" s="17" t="s">
        <v>624</v>
      </c>
      <c r="C36" s="18"/>
      <c r="D36" s="19" t="s">
        <v>118</v>
      </c>
      <c r="E36" s="1" t="s">
        <v>43</v>
      </c>
      <c r="F36" s="20" t="s">
        <v>363</v>
      </c>
      <c r="G36">
        <f t="shared" si="0"/>
        <v>500</v>
      </c>
      <c r="H36">
        <f t="shared" si="1"/>
        <v>250</v>
      </c>
      <c r="I36">
        <f t="shared" si="2"/>
        <v>375</v>
      </c>
      <c r="J36">
        <f t="shared" si="3"/>
        <v>543.48</v>
      </c>
      <c r="K36">
        <f t="shared" si="4"/>
        <v>97.826400000000007</v>
      </c>
      <c r="L36">
        <f t="shared" si="5"/>
        <v>874.29</v>
      </c>
      <c r="M36">
        <f t="shared" si="6"/>
        <v>625</v>
      </c>
    </row>
    <row r="37" spans="1:13" ht="15" customHeight="1" x14ac:dyDescent="0.3">
      <c r="A37" s="21" t="s">
        <v>188</v>
      </c>
      <c r="B37" s="22" t="s">
        <v>206</v>
      </c>
      <c r="C37" s="23"/>
      <c r="D37" s="24" t="s">
        <v>118</v>
      </c>
      <c r="E37" s="1" t="s">
        <v>43</v>
      </c>
      <c r="F37" s="20" t="s">
        <v>207</v>
      </c>
      <c r="G37">
        <f t="shared" si="0"/>
        <v>700</v>
      </c>
      <c r="H37">
        <f t="shared" si="1"/>
        <v>400</v>
      </c>
      <c r="I37">
        <f t="shared" si="2"/>
        <v>1500</v>
      </c>
      <c r="J37">
        <f t="shared" si="3"/>
        <v>869.57</v>
      </c>
      <c r="K37">
        <f t="shared" si="4"/>
        <v>156.52260000000001</v>
      </c>
      <c r="L37">
        <f t="shared" si="5"/>
        <v>1181.47</v>
      </c>
      <c r="M37">
        <f t="shared" si="6"/>
        <v>2500</v>
      </c>
    </row>
    <row r="38" spans="1:13" ht="15" customHeight="1" x14ac:dyDescent="0.3">
      <c r="A38" s="16" t="s">
        <v>188</v>
      </c>
      <c r="B38" s="17" t="s">
        <v>265</v>
      </c>
      <c r="C38" s="18"/>
      <c r="D38" s="19" t="s">
        <v>118</v>
      </c>
      <c r="E38" s="1" t="s">
        <v>43</v>
      </c>
      <c r="F38" s="20" t="s">
        <v>266</v>
      </c>
      <c r="G38">
        <f t="shared" si="0"/>
        <v>125</v>
      </c>
      <c r="H38">
        <f t="shared" si="1"/>
        <v>50</v>
      </c>
      <c r="I38">
        <f t="shared" si="2"/>
        <v>187.5</v>
      </c>
      <c r="J38">
        <f t="shared" si="3"/>
        <v>108.7</v>
      </c>
      <c r="K38">
        <f t="shared" si="4"/>
        <v>19.565999999999999</v>
      </c>
      <c r="L38">
        <f t="shared" si="5"/>
        <v>229.2</v>
      </c>
      <c r="M38">
        <f t="shared" si="6"/>
        <v>312.5</v>
      </c>
    </row>
    <row r="39" spans="1:13" ht="18" customHeight="1" x14ac:dyDescent="0.3">
      <c r="A39" s="25" t="s">
        <v>220</v>
      </c>
      <c r="B39" s="25"/>
      <c r="C39" s="25"/>
      <c r="G39" t="str">
        <f t="shared" ref="G39:G71" si="7">IF($F39="","",IFERROR(VALUE(TRIM(LEFT($F39,FIND(":",$F39)-1)))*1.25,"N/A"))</f>
        <v/>
      </c>
      <c r="H39" t="str">
        <f t="shared" ref="H39:H71" si="8">IF($F39="","",IFERROR(VALUE(TRIM(MID($F39,FIND(":",$F39)+1,FIND(":",$F39,FIND(":",$F39)+1)-FIND(":",$F39)-1)))*1.25,"N/A"))</f>
        <v/>
      </c>
      <c r="I39" t="str">
        <f t="shared" ref="I39:I71" si="9">IF($F39="","",IFERROR(VALUE(TRIM(LEFT(MID($F39,FIND(":",$F39,FIND(":",$F39)+1)+1,LEN($F39)),FIND(" ",MID($F39,FIND(":",$F39,FIND(":",$F39)+1)+1,LEN($F39))&amp;" ")-1)))*1.25,"N/A"))</f>
        <v/>
      </c>
      <c r="J39" t="str">
        <f t="shared" ref="J39:J71" si="10">IF(OR($F39="",$H39="N/A"),IF($F39="","","N/A"),ROUND($H39/0.46,2))</f>
        <v/>
      </c>
      <c r="K39" t="str">
        <f t="shared" ref="K39:K71" si="11">IF(OR($F39="",$J39="N/A"),IF($F39="","","N/A"),$J39*0.18)</f>
        <v/>
      </c>
      <c r="L39" t="str">
        <f t="shared" ref="L39:L71" si="12">IF(OR($F39="",$G39="N/A",$K39="N/A"),IF($F39="","","N/A"),ROUND(($G39-$K39)/0.46,2))</f>
        <v/>
      </c>
      <c r="M39" t="str">
        <f t="shared" ref="M39:M71" si="13">IF(OR($F39="",$I39="N/A"),IF($F39="","","N/A"),ROUND($I39/0.6,2))</f>
        <v/>
      </c>
    </row>
    <row r="40" spans="1:13" ht="15" customHeight="1" x14ac:dyDescent="0.3">
      <c r="A40" s="21" t="s">
        <v>221</v>
      </c>
      <c r="B40" s="22" t="s">
        <v>321</v>
      </c>
      <c r="C40" s="23"/>
      <c r="D40" s="24" t="s">
        <v>118</v>
      </c>
      <c r="E40" s="1" t="s">
        <v>43</v>
      </c>
      <c r="F40" s="20" t="s">
        <v>322</v>
      </c>
      <c r="G40">
        <f t="shared" si="7"/>
        <v>150</v>
      </c>
      <c r="H40">
        <f t="shared" si="8"/>
        <v>300</v>
      </c>
      <c r="I40">
        <f t="shared" si="9"/>
        <v>150</v>
      </c>
      <c r="J40">
        <f t="shared" si="10"/>
        <v>652.16999999999996</v>
      </c>
      <c r="K40">
        <f t="shared" si="11"/>
        <v>117.39059999999999</v>
      </c>
      <c r="L40">
        <f t="shared" si="12"/>
        <v>70.89</v>
      </c>
      <c r="M40">
        <f t="shared" si="13"/>
        <v>250</v>
      </c>
    </row>
    <row r="41" spans="1:13" ht="15" customHeight="1" x14ac:dyDescent="0.3">
      <c r="A41" s="16" t="s">
        <v>221</v>
      </c>
      <c r="B41" s="17" t="s">
        <v>222</v>
      </c>
      <c r="C41" s="18"/>
      <c r="D41" s="19" t="s">
        <v>118</v>
      </c>
      <c r="E41" s="1" t="s">
        <v>43</v>
      </c>
      <c r="F41" s="20" t="s">
        <v>223</v>
      </c>
      <c r="G41">
        <f t="shared" si="7"/>
        <v>187.5</v>
      </c>
      <c r="H41">
        <f t="shared" si="8"/>
        <v>125</v>
      </c>
      <c r="I41">
        <f t="shared" si="9"/>
        <v>62.5</v>
      </c>
      <c r="J41">
        <f t="shared" si="10"/>
        <v>271.74</v>
      </c>
      <c r="K41">
        <f t="shared" si="11"/>
        <v>48.913200000000003</v>
      </c>
      <c r="L41">
        <f t="shared" si="12"/>
        <v>301.27999999999997</v>
      </c>
      <c r="M41">
        <f t="shared" si="13"/>
        <v>104.17</v>
      </c>
    </row>
    <row r="42" spans="1:13" ht="15" customHeight="1" x14ac:dyDescent="0.3">
      <c r="A42" s="21" t="s">
        <v>221</v>
      </c>
      <c r="B42" s="22" t="s">
        <v>325</v>
      </c>
      <c r="C42" s="23"/>
      <c r="D42" s="24" t="s">
        <v>118</v>
      </c>
      <c r="E42" s="1" t="s">
        <v>43</v>
      </c>
      <c r="F42" s="20" t="s">
        <v>225</v>
      </c>
      <c r="G42">
        <f t="shared" si="7"/>
        <v>125</v>
      </c>
      <c r="H42">
        <f t="shared" si="8"/>
        <v>62.5</v>
      </c>
      <c r="I42">
        <f t="shared" si="9"/>
        <v>37.5</v>
      </c>
      <c r="J42">
        <f t="shared" si="10"/>
        <v>135.87</v>
      </c>
      <c r="K42">
        <f t="shared" si="11"/>
        <v>24.456600000000002</v>
      </c>
      <c r="L42">
        <f t="shared" si="12"/>
        <v>218.57</v>
      </c>
      <c r="M42">
        <f t="shared" si="13"/>
        <v>62.5</v>
      </c>
    </row>
    <row r="43" spans="1:13" ht="15" customHeight="1" x14ac:dyDescent="0.3">
      <c r="A43" s="16" t="s">
        <v>221</v>
      </c>
      <c r="B43" s="17" t="s">
        <v>326</v>
      </c>
      <c r="C43" s="18"/>
      <c r="D43" s="19" t="s">
        <v>118</v>
      </c>
      <c r="E43" s="1" t="s">
        <v>43</v>
      </c>
      <c r="F43" s="20" t="s">
        <v>227</v>
      </c>
      <c r="G43">
        <f t="shared" si="7"/>
        <v>50</v>
      </c>
      <c r="H43">
        <f t="shared" si="8"/>
        <v>62.5</v>
      </c>
      <c r="I43">
        <f t="shared" si="9"/>
        <v>37.5</v>
      </c>
      <c r="J43">
        <f t="shared" si="10"/>
        <v>135.87</v>
      </c>
      <c r="K43">
        <f t="shared" si="11"/>
        <v>24.456600000000002</v>
      </c>
      <c r="L43">
        <f t="shared" si="12"/>
        <v>55.53</v>
      </c>
      <c r="M43">
        <f t="shared" si="13"/>
        <v>62.5</v>
      </c>
    </row>
    <row r="44" spans="1:13" ht="15" customHeight="1" x14ac:dyDescent="0.3">
      <c r="A44" s="21" t="s">
        <v>221</v>
      </c>
      <c r="B44" s="22" t="s">
        <v>232</v>
      </c>
      <c r="C44" s="23"/>
      <c r="D44" s="24" t="s">
        <v>118</v>
      </c>
      <c r="E44" s="1" t="s">
        <v>43</v>
      </c>
      <c r="F44" s="20" t="s">
        <v>233</v>
      </c>
      <c r="G44">
        <f t="shared" si="7"/>
        <v>125</v>
      </c>
      <c r="H44">
        <f t="shared" si="8"/>
        <v>156.25</v>
      </c>
      <c r="I44">
        <f t="shared" si="9"/>
        <v>31.25</v>
      </c>
      <c r="J44">
        <f t="shared" si="10"/>
        <v>339.67</v>
      </c>
      <c r="K44">
        <f t="shared" si="11"/>
        <v>61.140599999999999</v>
      </c>
      <c r="L44">
        <f t="shared" si="12"/>
        <v>138.82</v>
      </c>
      <c r="M44">
        <f t="shared" si="13"/>
        <v>52.08</v>
      </c>
    </row>
    <row r="45" spans="1:13" ht="15" customHeight="1" x14ac:dyDescent="0.3">
      <c r="A45" s="16" t="s">
        <v>221</v>
      </c>
      <c r="B45" s="17" t="s">
        <v>234</v>
      </c>
      <c r="C45" s="18"/>
      <c r="D45" s="19" t="s">
        <v>118</v>
      </c>
      <c r="E45" s="1" t="s">
        <v>43</v>
      </c>
      <c r="F45" s="20" t="s">
        <v>235</v>
      </c>
      <c r="G45">
        <f t="shared" si="7"/>
        <v>125</v>
      </c>
      <c r="H45">
        <f t="shared" si="8"/>
        <v>125</v>
      </c>
      <c r="I45">
        <f t="shared" si="9"/>
        <v>62.5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104.17</v>
      </c>
    </row>
    <row r="46" spans="1:13" ht="15" customHeight="1" x14ac:dyDescent="0.3">
      <c r="A46" s="21" t="s">
        <v>221</v>
      </c>
      <c r="B46" s="22" t="s">
        <v>236</v>
      </c>
      <c r="C46" s="23"/>
      <c r="D46" s="24" t="s">
        <v>118</v>
      </c>
      <c r="E46" s="1" t="s">
        <v>43</v>
      </c>
      <c r="F46" s="20" t="s">
        <v>237</v>
      </c>
      <c r="G46">
        <f t="shared" si="7"/>
        <v>62.5</v>
      </c>
      <c r="H46">
        <f t="shared" si="8"/>
        <v>62.5</v>
      </c>
      <c r="I46">
        <f t="shared" si="9"/>
        <v>62.5</v>
      </c>
      <c r="J46">
        <f t="shared" si="10"/>
        <v>135.87</v>
      </c>
      <c r="K46">
        <f t="shared" si="11"/>
        <v>24.456600000000002</v>
      </c>
      <c r="L46">
        <f t="shared" si="12"/>
        <v>82.7</v>
      </c>
      <c r="M46">
        <f t="shared" si="13"/>
        <v>104.17</v>
      </c>
    </row>
    <row r="47" spans="1:13" ht="15" customHeight="1" x14ac:dyDescent="0.3">
      <c r="A47" s="16" t="s">
        <v>221</v>
      </c>
      <c r="B47" s="17" t="s">
        <v>240</v>
      </c>
      <c r="C47" s="18"/>
      <c r="D47" s="19" t="s">
        <v>118</v>
      </c>
      <c r="E47" s="1" t="s">
        <v>43</v>
      </c>
      <c r="F47" s="20" t="s">
        <v>241</v>
      </c>
      <c r="G47">
        <f t="shared" si="7"/>
        <v>7.5</v>
      </c>
      <c r="H47">
        <f t="shared" si="8"/>
        <v>15</v>
      </c>
      <c r="I47">
        <f t="shared" si="9"/>
        <v>15</v>
      </c>
      <c r="J47">
        <f t="shared" si="10"/>
        <v>32.61</v>
      </c>
      <c r="K47">
        <f t="shared" si="11"/>
        <v>5.8697999999999997</v>
      </c>
      <c r="L47">
        <f t="shared" si="12"/>
        <v>3.54</v>
      </c>
      <c r="M47">
        <f t="shared" si="13"/>
        <v>25</v>
      </c>
    </row>
    <row r="48" spans="1:13" ht="15" customHeight="1" x14ac:dyDescent="0.3">
      <c r="A48" s="21" t="s">
        <v>221</v>
      </c>
      <c r="B48" s="22" t="s">
        <v>244</v>
      </c>
      <c r="C48" s="23"/>
      <c r="D48" s="24" t="s">
        <v>118</v>
      </c>
      <c r="E48" s="1" t="s">
        <v>43</v>
      </c>
      <c r="F48" s="20" t="s">
        <v>241</v>
      </c>
      <c r="G48">
        <f t="shared" si="7"/>
        <v>7.5</v>
      </c>
      <c r="H48">
        <f t="shared" si="8"/>
        <v>15</v>
      </c>
      <c r="I48">
        <f t="shared" si="9"/>
        <v>15</v>
      </c>
      <c r="J48">
        <f t="shared" si="10"/>
        <v>32.61</v>
      </c>
      <c r="K48">
        <f t="shared" si="11"/>
        <v>5.8697999999999997</v>
      </c>
      <c r="L48">
        <f t="shared" si="12"/>
        <v>3.54</v>
      </c>
      <c r="M48">
        <f t="shared" si="13"/>
        <v>25</v>
      </c>
    </row>
    <row r="49" spans="1:13" ht="15" customHeight="1" x14ac:dyDescent="0.3">
      <c r="A49" s="16" t="s">
        <v>221</v>
      </c>
      <c r="B49" s="17" t="s">
        <v>228</v>
      </c>
      <c r="C49" s="18"/>
      <c r="D49" s="19" t="s">
        <v>118</v>
      </c>
      <c r="E49" s="1" t="s">
        <v>43</v>
      </c>
      <c r="F49" s="20" t="s">
        <v>229</v>
      </c>
      <c r="G49">
        <f t="shared" si="7"/>
        <v>150</v>
      </c>
      <c r="H49">
        <f t="shared" si="8"/>
        <v>75</v>
      </c>
      <c r="I49">
        <f t="shared" si="9"/>
        <v>37.5</v>
      </c>
      <c r="J49">
        <f t="shared" si="10"/>
        <v>163.04</v>
      </c>
      <c r="K49">
        <f t="shared" si="11"/>
        <v>29.347199999999997</v>
      </c>
      <c r="L49">
        <f t="shared" si="12"/>
        <v>262.29000000000002</v>
      </c>
      <c r="M49">
        <f t="shared" si="13"/>
        <v>62.5</v>
      </c>
    </row>
    <row r="50" spans="1:13" ht="15" customHeight="1" x14ac:dyDescent="0.3">
      <c r="A50" s="21" t="s">
        <v>221</v>
      </c>
      <c r="B50" s="22" t="s">
        <v>333</v>
      </c>
      <c r="C50" s="23"/>
      <c r="D50" s="24" t="s">
        <v>118</v>
      </c>
      <c r="E50" s="1" t="s">
        <v>43</v>
      </c>
      <c r="F50" s="20" t="s">
        <v>334</v>
      </c>
      <c r="G50">
        <f t="shared" si="7"/>
        <v>50</v>
      </c>
      <c r="H50">
        <f t="shared" si="8"/>
        <v>75</v>
      </c>
      <c r="I50">
        <f t="shared" si="9"/>
        <v>150</v>
      </c>
      <c r="J50">
        <f t="shared" si="10"/>
        <v>163.04</v>
      </c>
      <c r="K50">
        <f t="shared" si="11"/>
        <v>29.347199999999997</v>
      </c>
      <c r="L50">
        <f t="shared" si="12"/>
        <v>44.9</v>
      </c>
      <c r="M50">
        <f t="shared" si="13"/>
        <v>250</v>
      </c>
    </row>
    <row r="51" spans="1:13" ht="15" customHeight="1" x14ac:dyDescent="0.3">
      <c r="A51" s="16" t="s">
        <v>221</v>
      </c>
      <c r="B51" s="17" t="s">
        <v>335</v>
      </c>
      <c r="C51" s="18"/>
      <c r="D51" s="19" t="s">
        <v>118</v>
      </c>
      <c r="E51" s="1" t="s">
        <v>43</v>
      </c>
      <c r="F51" s="20" t="s">
        <v>336</v>
      </c>
      <c r="G51">
        <f t="shared" si="7"/>
        <v>112.5</v>
      </c>
      <c r="H51">
        <f t="shared" si="8"/>
        <v>75</v>
      </c>
      <c r="I51">
        <f t="shared" si="9"/>
        <v>300</v>
      </c>
      <c r="J51">
        <f t="shared" si="10"/>
        <v>163.04</v>
      </c>
      <c r="K51">
        <f t="shared" si="11"/>
        <v>29.347199999999997</v>
      </c>
      <c r="L51">
        <f t="shared" si="12"/>
        <v>180.77</v>
      </c>
      <c r="M51">
        <f t="shared" si="13"/>
        <v>500</v>
      </c>
    </row>
    <row r="52" spans="1:13" ht="15" customHeight="1" x14ac:dyDescent="0.3">
      <c r="A52" s="21" t="s">
        <v>221</v>
      </c>
      <c r="B52" s="22" t="s">
        <v>323</v>
      </c>
      <c r="C52" s="23"/>
      <c r="D52" s="24" t="s">
        <v>118</v>
      </c>
      <c r="E52" s="1" t="s">
        <v>43</v>
      </c>
      <c r="F52" s="20" t="s">
        <v>324</v>
      </c>
      <c r="G52">
        <f t="shared" si="7"/>
        <v>93.75</v>
      </c>
      <c r="H52">
        <f t="shared" si="8"/>
        <v>62.5</v>
      </c>
      <c r="I52">
        <f t="shared" si="9"/>
        <v>62.5</v>
      </c>
      <c r="J52">
        <f t="shared" si="10"/>
        <v>135.87</v>
      </c>
      <c r="K52">
        <f t="shared" si="11"/>
        <v>24.456600000000002</v>
      </c>
      <c r="L52">
        <f t="shared" si="12"/>
        <v>150.63999999999999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255</v>
      </c>
      <c r="C53" s="18"/>
      <c r="D53" s="19" t="s">
        <v>118</v>
      </c>
      <c r="E53" s="1" t="s">
        <v>43</v>
      </c>
      <c r="F53" s="20" t="s">
        <v>256</v>
      </c>
      <c r="G53">
        <f t="shared" si="7"/>
        <v>31.25</v>
      </c>
      <c r="H53">
        <f t="shared" si="8"/>
        <v>75</v>
      </c>
      <c r="I53">
        <f t="shared" si="9"/>
        <v>22.5</v>
      </c>
      <c r="J53">
        <f t="shared" si="10"/>
        <v>163.04</v>
      </c>
      <c r="K53">
        <f t="shared" si="11"/>
        <v>29.347199999999997</v>
      </c>
      <c r="L53">
        <f t="shared" si="12"/>
        <v>4.1399999999999997</v>
      </c>
      <c r="M53">
        <f t="shared" si="13"/>
        <v>37.5</v>
      </c>
    </row>
    <row r="54" spans="1:13" ht="15" customHeight="1" x14ac:dyDescent="0.3">
      <c r="A54" s="21" t="s">
        <v>221</v>
      </c>
      <c r="B54" s="22" t="s">
        <v>250</v>
      </c>
      <c r="C54" s="23"/>
      <c r="D54" s="24" t="s">
        <v>118</v>
      </c>
      <c r="E54" s="1" t="s">
        <v>43</v>
      </c>
      <c r="F54" s="20" t="s">
        <v>251</v>
      </c>
      <c r="G54">
        <f t="shared" si="7"/>
        <v>75</v>
      </c>
      <c r="H54">
        <f t="shared" si="8"/>
        <v>75</v>
      </c>
      <c r="I54">
        <f t="shared" si="9"/>
        <v>75</v>
      </c>
      <c r="J54">
        <f t="shared" si="10"/>
        <v>163.04</v>
      </c>
      <c r="K54">
        <f t="shared" si="11"/>
        <v>29.347199999999997</v>
      </c>
      <c r="L54">
        <f t="shared" si="12"/>
        <v>99.25</v>
      </c>
      <c r="M54">
        <f t="shared" si="13"/>
        <v>125</v>
      </c>
    </row>
    <row r="55" spans="1:13" ht="18" customHeight="1" x14ac:dyDescent="0.3">
      <c r="A55" s="25" t="s">
        <v>252</v>
      </c>
      <c r="B55" s="25"/>
      <c r="C55" s="25"/>
      <c r="G55" t="str">
        <f t="shared" si="7"/>
        <v/>
      </c>
      <c r="H55" t="str">
        <f t="shared" si="8"/>
        <v/>
      </c>
      <c r="I55" t="str">
        <f t="shared" si="9"/>
        <v/>
      </c>
      <c r="J55" t="str">
        <f t="shared" si="10"/>
        <v/>
      </c>
      <c r="K55" t="str">
        <f t="shared" si="11"/>
        <v/>
      </c>
      <c r="L55" t="str">
        <f t="shared" si="12"/>
        <v/>
      </c>
      <c r="M55" t="str">
        <f t="shared" si="13"/>
        <v/>
      </c>
    </row>
    <row r="56" spans="1:13" ht="15" customHeight="1" x14ac:dyDescent="0.3">
      <c r="A56" s="16" t="s">
        <v>253</v>
      </c>
      <c r="B56" s="17" t="s">
        <v>323</v>
      </c>
      <c r="C56" s="18"/>
      <c r="D56" s="19" t="s">
        <v>118</v>
      </c>
      <c r="E56" s="1" t="s">
        <v>43</v>
      </c>
      <c r="F56" s="20" t="s">
        <v>324</v>
      </c>
      <c r="G56">
        <f t="shared" si="7"/>
        <v>93.75</v>
      </c>
      <c r="H56">
        <f t="shared" si="8"/>
        <v>62.5</v>
      </c>
      <c r="I56">
        <f t="shared" si="9"/>
        <v>62.5</v>
      </c>
      <c r="J56">
        <f t="shared" si="10"/>
        <v>135.87</v>
      </c>
      <c r="K56">
        <f t="shared" si="11"/>
        <v>24.456600000000002</v>
      </c>
      <c r="L56">
        <f t="shared" si="12"/>
        <v>150.63999999999999</v>
      </c>
      <c r="M56">
        <f t="shared" si="13"/>
        <v>104.17</v>
      </c>
    </row>
    <row r="57" spans="1:13" ht="15" customHeight="1" x14ac:dyDescent="0.3">
      <c r="A57" s="21" t="s">
        <v>253</v>
      </c>
      <c r="B57" s="22" t="s">
        <v>255</v>
      </c>
      <c r="C57" s="23"/>
      <c r="D57" s="24" t="s">
        <v>118</v>
      </c>
      <c r="E57" s="1" t="s">
        <v>43</v>
      </c>
      <c r="F57" s="20" t="s">
        <v>256</v>
      </c>
      <c r="G57">
        <f t="shared" si="7"/>
        <v>31.25</v>
      </c>
      <c r="H57">
        <f t="shared" si="8"/>
        <v>75</v>
      </c>
      <c r="I57">
        <f t="shared" si="9"/>
        <v>22.5</v>
      </c>
      <c r="J57">
        <f t="shared" si="10"/>
        <v>163.04</v>
      </c>
      <c r="K57">
        <f t="shared" si="11"/>
        <v>29.347199999999997</v>
      </c>
      <c r="L57">
        <f t="shared" si="12"/>
        <v>4.1399999999999997</v>
      </c>
      <c r="M57">
        <f t="shared" si="13"/>
        <v>37.5</v>
      </c>
    </row>
    <row r="58" spans="1:13" ht="15" customHeight="1" x14ac:dyDescent="0.3">
      <c r="A58" s="16" t="s">
        <v>253</v>
      </c>
      <c r="B58" s="17" t="s">
        <v>228</v>
      </c>
      <c r="C58" s="18"/>
      <c r="D58" s="19" t="s">
        <v>118</v>
      </c>
      <c r="E58" s="1" t="s">
        <v>43</v>
      </c>
      <c r="F58" s="20" t="s">
        <v>229</v>
      </c>
      <c r="G58">
        <f t="shared" si="7"/>
        <v>150</v>
      </c>
      <c r="H58">
        <f t="shared" si="8"/>
        <v>75</v>
      </c>
      <c r="I58">
        <f t="shared" si="9"/>
        <v>37.5</v>
      </c>
      <c r="J58">
        <f t="shared" si="10"/>
        <v>163.04</v>
      </c>
      <c r="K58">
        <f t="shared" si="11"/>
        <v>29.347199999999997</v>
      </c>
      <c r="L58">
        <f t="shared" si="12"/>
        <v>262.29000000000002</v>
      </c>
      <c r="M58">
        <f t="shared" si="13"/>
        <v>62.5</v>
      </c>
    </row>
    <row r="59" spans="1:13" ht="15" customHeight="1" x14ac:dyDescent="0.3">
      <c r="A59" s="21" t="s">
        <v>253</v>
      </c>
      <c r="B59" s="22" t="s">
        <v>257</v>
      </c>
      <c r="C59" s="23"/>
      <c r="D59" s="24" t="s">
        <v>118</v>
      </c>
      <c r="E59" s="1" t="s">
        <v>43</v>
      </c>
      <c r="F59" s="20" t="s">
        <v>160</v>
      </c>
      <c r="G59">
        <f t="shared" si="7"/>
        <v>25</v>
      </c>
      <c r="H59">
        <f t="shared" si="8"/>
        <v>50</v>
      </c>
      <c r="I59">
        <f t="shared" si="9"/>
        <v>25</v>
      </c>
      <c r="J59">
        <f t="shared" si="10"/>
        <v>108.7</v>
      </c>
      <c r="K59">
        <f t="shared" si="11"/>
        <v>19.565999999999999</v>
      </c>
      <c r="L59">
        <f t="shared" si="12"/>
        <v>11.81</v>
      </c>
      <c r="M59">
        <f t="shared" si="13"/>
        <v>41.67</v>
      </c>
    </row>
    <row r="60" spans="1:13" ht="15" customHeight="1" x14ac:dyDescent="0.3">
      <c r="A60" s="16" t="s">
        <v>253</v>
      </c>
      <c r="B60" s="17" t="s">
        <v>259</v>
      </c>
      <c r="C60" s="18"/>
      <c r="D60" s="19" t="s">
        <v>118</v>
      </c>
      <c r="E60" s="1" t="s">
        <v>43</v>
      </c>
      <c r="F60" s="20" t="s">
        <v>260</v>
      </c>
      <c r="G60">
        <f t="shared" si="7"/>
        <v>125</v>
      </c>
      <c r="H60">
        <f t="shared" si="8"/>
        <v>50</v>
      </c>
      <c r="I60">
        <f t="shared" si="9"/>
        <v>175</v>
      </c>
      <c r="J60">
        <f t="shared" si="10"/>
        <v>108.7</v>
      </c>
      <c r="K60">
        <f t="shared" si="11"/>
        <v>19.565999999999999</v>
      </c>
      <c r="L60">
        <f t="shared" si="12"/>
        <v>229.2</v>
      </c>
      <c r="M60">
        <f t="shared" si="13"/>
        <v>291.67</v>
      </c>
    </row>
    <row r="61" spans="1:13" ht="15" customHeight="1" x14ac:dyDescent="0.3">
      <c r="A61" s="21" t="s">
        <v>253</v>
      </c>
      <c r="B61" s="22" t="s">
        <v>365</v>
      </c>
      <c r="C61" s="23"/>
      <c r="D61" s="24" t="s">
        <v>118</v>
      </c>
      <c r="E61" s="1" t="s">
        <v>43</v>
      </c>
      <c r="F61" s="20" t="s">
        <v>366</v>
      </c>
      <c r="G61">
        <f t="shared" si="7"/>
        <v>93.75</v>
      </c>
      <c r="H61">
        <f t="shared" si="8"/>
        <v>93.75</v>
      </c>
      <c r="I61">
        <f t="shared" si="9"/>
        <v>93.75</v>
      </c>
      <c r="J61">
        <f t="shared" si="10"/>
        <v>203.8</v>
      </c>
      <c r="K61">
        <f t="shared" si="11"/>
        <v>36.683999999999997</v>
      </c>
      <c r="L61">
        <f t="shared" si="12"/>
        <v>124.06</v>
      </c>
      <c r="M61">
        <f t="shared" si="13"/>
        <v>156.25</v>
      </c>
    </row>
    <row r="62" spans="1:13" ht="18" customHeight="1" x14ac:dyDescent="0.3">
      <c r="A62" s="25" t="s">
        <v>263</v>
      </c>
      <c r="B62" s="25"/>
      <c r="C62" s="25"/>
      <c r="G62" t="str">
        <f t="shared" si="7"/>
        <v/>
      </c>
      <c r="H62" t="str">
        <f t="shared" si="8"/>
        <v/>
      </c>
      <c r="I62" t="str">
        <f t="shared" si="9"/>
        <v/>
      </c>
      <c r="J62" t="str">
        <f t="shared" si="10"/>
        <v/>
      </c>
      <c r="K62" t="str">
        <f t="shared" si="11"/>
        <v/>
      </c>
      <c r="L62" t="str">
        <f t="shared" si="12"/>
        <v/>
      </c>
      <c r="M62" t="str">
        <f t="shared" si="13"/>
        <v/>
      </c>
    </row>
    <row r="63" spans="1:13" ht="15" customHeight="1" x14ac:dyDescent="0.3">
      <c r="A63" s="16" t="s">
        <v>264</v>
      </c>
      <c r="B63" s="17" t="s">
        <v>296</v>
      </c>
      <c r="C63" s="18"/>
      <c r="D63" s="19" t="s">
        <v>118</v>
      </c>
      <c r="E63" s="1" t="s">
        <v>43</v>
      </c>
      <c r="F63" s="20" t="s">
        <v>268</v>
      </c>
      <c r="G63">
        <f t="shared" si="7"/>
        <v>15</v>
      </c>
      <c r="H63">
        <f t="shared" si="8"/>
        <v>7.5</v>
      </c>
      <c r="I63">
        <f t="shared" si="9"/>
        <v>7.5</v>
      </c>
      <c r="J63">
        <f t="shared" si="10"/>
        <v>16.3</v>
      </c>
      <c r="K63">
        <f t="shared" si="11"/>
        <v>2.9340000000000002</v>
      </c>
      <c r="L63">
        <f t="shared" si="12"/>
        <v>26.23</v>
      </c>
      <c r="M63">
        <f t="shared" si="13"/>
        <v>12.5</v>
      </c>
    </row>
    <row r="64" spans="1:13" ht="15" customHeight="1" x14ac:dyDescent="0.3">
      <c r="A64" s="21" t="s">
        <v>264</v>
      </c>
      <c r="B64" s="22" t="s">
        <v>342</v>
      </c>
      <c r="C64" s="23"/>
      <c r="D64" s="24" t="s">
        <v>118</v>
      </c>
      <c r="E64" s="1" t="s">
        <v>43</v>
      </c>
      <c r="F64" s="20" t="s">
        <v>343</v>
      </c>
      <c r="G64">
        <f t="shared" si="7"/>
        <v>275</v>
      </c>
      <c r="H64">
        <f t="shared" si="8"/>
        <v>56.25</v>
      </c>
      <c r="I64">
        <f t="shared" si="9"/>
        <v>225</v>
      </c>
      <c r="J64">
        <f t="shared" si="10"/>
        <v>122.28</v>
      </c>
      <c r="K64">
        <f t="shared" si="11"/>
        <v>22.010400000000001</v>
      </c>
      <c r="L64">
        <f t="shared" si="12"/>
        <v>549.98</v>
      </c>
      <c r="M64">
        <f t="shared" si="13"/>
        <v>375</v>
      </c>
    </row>
    <row r="65" spans="1:13" ht="15" customHeight="1" x14ac:dyDescent="0.3">
      <c r="A65" s="16" t="s">
        <v>264</v>
      </c>
      <c r="B65" s="17" t="s">
        <v>206</v>
      </c>
      <c r="C65" s="18"/>
      <c r="D65" s="19" t="s">
        <v>118</v>
      </c>
      <c r="E65" s="1" t="s">
        <v>43</v>
      </c>
      <c r="F65" s="20" t="s">
        <v>207</v>
      </c>
      <c r="G65">
        <f t="shared" si="7"/>
        <v>700</v>
      </c>
      <c r="H65">
        <f t="shared" si="8"/>
        <v>400</v>
      </c>
      <c r="I65">
        <f t="shared" si="9"/>
        <v>1500</v>
      </c>
      <c r="J65">
        <f t="shared" si="10"/>
        <v>869.57</v>
      </c>
      <c r="K65">
        <f t="shared" si="11"/>
        <v>156.52260000000001</v>
      </c>
      <c r="L65">
        <f t="shared" si="12"/>
        <v>1181.47</v>
      </c>
      <c r="M65">
        <f t="shared" si="13"/>
        <v>2500</v>
      </c>
    </row>
    <row r="66" spans="1:13" ht="15" customHeight="1" x14ac:dyDescent="0.3">
      <c r="A66" s="21" t="s">
        <v>264</v>
      </c>
      <c r="B66" s="22" t="s">
        <v>265</v>
      </c>
      <c r="C66" s="23"/>
      <c r="D66" s="24" t="s">
        <v>118</v>
      </c>
      <c r="E66" s="1" t="s">
        <v>43</v>
      </c>
      <c r="F66" s="20" t="s">
        <v>266</v>
      </c>
      <c r="G66">
        <f t="shared" si="7"/>
        <v>125</v>
      </c>
      <c r="H66">
        <f t="shared" si="8"/>
        <v>50</v>
      </c>
      <c r="I66">
        <f t="shared" si="9"/>
        <v>187.5</v>
      </c>
      <c r="J66">
        <f t="shared" si="10"/>
        <v>108.7</v>
      </c>
      <c r="K66">
        <f t="shared" si="11"/>
        <v>19.565999999999999</v>
      </c>
      <c r="L66">
        <f t="shared" si="12"/>
        <v>229.2</v>
      </c>
      <c r="M66">
        <f t="shared" si="13"/>
        <v>312.5</v>
      </c>
    </row>
    <row r="67" spans="1:13" ht="18" customHeight="1" x14ac:dyDescent="0.3">
      <c r="A67" s="25" t="s">
        <v>269</v>
      </c>
      <c r="B67" s="25"/>
      <c r="C67" s="25"/>
      <c r="G67" t="str">
        <f t="shared" si="7"/>
        <v/>
      </c>
      <c r="H67" t="str">
        <f t="shared" si="8"/>
        <v/>
      </c>
      <c r="I67" t="str">
        <f t="shared" si="9"/>
        <v/>
      </c>
      <c r="J67" t="str">
        <f t="shared" si="10"/>
        <v/>
      </c>
      <c r="K67" t="str">
        <f t="shared" si="11"/>
        <v/>
      </c>
      <c r="L67" t="str">
        <f t="shared" si="12"/>
        <v/>
      </c>
      <c r="M67" t="str">
        <f t="shared" si="13"/>
        <v/>
      </c>
    </row>
    <row r="68" spans="1:13" ht="15" customHeight="1" x14ac:dyDescent="0.3">
      <c r="A68" s="16" t="s">
        <v>270</v>
      </c>
      <c r="B68" s="17" t="s">
        <v>271</v>
      </c>
      <c r="C68" s="18"/>
      <c r="D68" s="19" t="s">
        <v>118</v>
      </c>
      <c r="E68" s="1" t="s">
        <v>43</v>
      </c>
      <c r="F68" s="20" t="s">
        <v>241</v>
      </c>
      <c r="G68">
        <f t="shared" si="7"/>
        <v>7.5</v>
      </c>
      <c r="H68">
        <f t="shared" si="8"/>
        <v>15</v>
      </c>
      <c r="I68">
        <f t="shared" si="9"/>
        <v>15</v>
      </c>
      <c r="J68">
        <f t="shared" si="10"/>
        <v>32.61</v>
      </c>
      <c r="K68">
        <f t="shared" si="11"/>
        <v>5.8697999999999997</v>
      </c>
      <c r="L68">
        <f t="shared" si="12"/>
        <v>3.54</v>
      </c>
      <c r="M68">
        <f t="shared" si="13"/>
        <v>25</v>
      </c>
    </row>
    <row r="69" spans="1:13" ht="15" customHeight="1" x14ac:dyDescent="0.3">
      <c r="A69" s="21" t="s">
        <v>270</v>
      </c>
      <c r="B69" s="22" t="s">
        <v>272</v>
      </c>
      <c r="C69" s="23"/>
      <c r="D69" s="24" t="s">
        <v>118</v>
      </c>
      <c r="E69" s="1" t="s">
        <v>43</v>
      </c>
      <c r="F69" s="20" t="s">
        <v>273</v>
      </c>
      <c r="G69">
        <f t="shared" si="7"/>
        <v>112.5</v>
      </c>
      <c r="H69">
        <f t="shared" si="8"/>
        <v>112.5</v>
      </c>
      <c r="I69">
        <f t="shared" si="9"/>
        <v>93.75</v>
      </c>
      <c r="J69">
        <f t="shared" si="10"/>
        <v>244.57</v>
      </c>
      <c r="K69">
        <f t="shared" si="11"/>
        <v>44.022599999999997</v>
      </c>
      <c r="L69">
        <f t="shared" si="12"/>
        <v>148.86000000000001</v>
      </c>
      <c r="M69">
        <f t="shared" si="13"/>
        <v>156.25</v>
      </c>
    </row>
    <row r="70" spans="1:13" ht="15" customHeight="1" x14ac:dyDescent="0.3">
      <c r="A70" s="16" t="s">
        <v>270</v>
      </c>
      <c r="B70" s="17" t="s">
        <v>346</v>
      </c>
      <c r="C70" s="18"/>
      <c r="D70" s="19" t="s">
        <v>118</v>
      </c>
      <c r="E70" s="1" t="s">
        <v>43</v>
      </c>
      <c r="F70" s="20" t="s">
        <v>347</v>
      </c>
      <c r="G70">
        <f t="shared" si="7"/>
        <v>25</v>
      </c>
      <c r="H70">
        <f t="shared" si="8"/>
        <v>12.5</v>
      </c>
      <c r="I70">
        <f t="shared" si="9"/>
        <v>12.5</v>
      </c>
      <c r="J70">
        <f t="shared" si="10"/>
        <v>27.17</v>
      </c>
      <c r="K70">
        <f t="shared" si="11"/>
        <v>4.8906000000000001</v>
      </c>
      <c r="L70">
        <f t="shared" si="12"/>
        <v>43.72</v>
      </c>
      <c r="M70">
        <f t="shared" si="13"/>
        <v>20.83</v>
      </c>
    </row>
    <row r="71" spans="1:13" ht="15" customHeight="1" x14ac:dyDescent="0.3">
      <c r="A71" s="21" t="s">
        <v>270</v>
      </c>
      <c r="B71" s="22" t="s">
        <v>348</v>
      </c>
      <c r="C71" s="23"/>
      <c r="D71" s="24" t="s">
        <v>118</v>
      </c>
      <c r="E71" s="1" t="s">
        <v>43</v>
      </c>
      <c r="F71" s="20" t="s">
        <v>349</v>
      </c>
      <c r="G71">
        <f t="shared" si="7"/>
        <v>37.5</v>
      </c>
      <c r="H71">
        <f t="shared" si="8"/>
        <v>12.5</v>
      </c>
      <c r="I71">
        <f t="shared" si="9"/>
        <v>12.5</v>
      </c>
      <c r="J71">
        <f t="shared" si="10"/>
        <v>27.17</v>
      </c>
      <c r="K71">
        <f t="shared" si="11"/>
        <v>4.8906000000000001</v>
      </c>
      <c r="L71">
        <f t="shared" si="12"/>
        <v>70.89</v>
      </c>
      <c r="M71">
        <f t="shared" si="13"/>
        <v>20.83</v>
      </c>
    </row>
  </sheetData>
  <mergeCells count="13">
    <mergeCell ref="A1:C1"/>
    <mergeCell ref="A2:C2"/>
    <mergeCell ref="A3:C3"/>
    <mergeCell ref="A4:C4"/>
    <mergeCell ref="A7:C7"/>
    <mergeCell ref="A55:C55"/>
    <mergeCell ref="A62:C62"/>
    <mergeCell ref="A67:C67"/>
    <mergeCell ref="A12:C12"/>
    <mergeCell ref="A18:C18"/>
    <mergeCell ref="A23:C23"/>
    <mergeCell ref="A28:C28"/>
    <mergeCell ref="A39:C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E7D32"/>
  </sheetPr>
  <dimension ref="A1:M89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787</v>
      </c>
      <c r="B1" s="26"/>
      <c r="C1" s="26"/>
    </row>
    <row r="2" spans="1:13" ht="19.5" customHeight="1" x14ac:dyDescent="0.3">
      <c r="A2" s="27" t="s">
        <v>788</v>
      </c>
      <c r="B2" s="27"/>
      <c r="C2" s="27"/>
    </row>
    <row r="3" spans="1:13" ht="19.5" customHeight="1" x14ac:dyDescent="0.3">
      <c r="A3" s="27" t="s">
        <v>789</v>
      </c>
      <c r="B3" s="27"/>
      <c r="C3" s="27"/>
    </row>
    <row r="4" spans="1:13" ht="19.5" customHeight="1" x14ac:dyDescent="0.3">
      <c r="A4" s="27" t="s">
        <v>790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791</v>
      </c>
      <c r="C8" s="18"/>
      <c r="D8" s="19" t="s">
        <v>50</v>
      </c>
      <c r="E8" s="1" t="s">
        <v>49</v>
      </c>
      <c r="F8" s="20" t="s">
        <v>291</v>
      </c>
      <c r="G8">
        <f t="shared" si="0"/>
        <v>150</v>
      </c>
      <c r="H8">
        <f t="shared" si="1"/>
        <v>75</v>
      </c>
      <c r="I8">
        <f t="shared" si="2"/>
        <v>50</v>
      </c>
      <c r="J8">
        <f t="shared" si="3"/>
        <v>163.04</v>
      </c>
      <c r="K8">
        <f t="shared" si="4"/>
        <v>29.347199999999997</v>
      </c>
      <c r="L8">
        <f t="shared" si="5"/>
        <v>262.29000000000002</v>
      </c>
      <c r="M8">
        <f t="shared" si="6"/>
        <v>83.33</v>
      </c>
    </row>
    <row r="9" spans="1:13" ht="15" customHeight="1" x14ac:dyDescent="0.3">
      <c r="A9" s="21" t="s">
        <v>141</v>
      </c>
      <c r="B9" s="22" t="s">
        <v>142</v>
      </c>
      <c r="C9" s="23"/>
      <c r="D9" s="24" t="s">
        <v>50</v>
      </c>
      <c r="E9" s="1" t="s">
        <v>49</v>
      </c>
      <c r="F9" s="20" t="s">
        <v>143</v>
      </c>
      <c r="G9">
        <f t="shared" si="0"/>
        <v>187.5</v>
      </c>
      <c r="H9">
        <f t="shared" si="1"/>
        <v>62.5</v>
      </c>
      <c r="I9">
        <f t="shared" si="2"/>
        <v>62.5</v>
      </c>
      <c r="J9">
        <f t="shared" si="3"/>
        <v>135.87</v>
      </c>
      <c r="K9">
        <f t="shared" si="4"/>
        <v>24.456600000000002</v>
      </c>
      <c r="L9">
        <f t="shared" si="5"/>
        <v>354.44</v>
      </c>
      <c r="M9">
        <f t="shared" si="6"/>
        <v>104.17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50</v>
      </c>
      <c r="E10" s="1" t="s">
        <v>49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375</v>
      </c>
      <c r="C11" s="23"/>
      <c r="D11" s="24" t="s">
        <v>50</v>
      </c>
      <c r="E11" s="1" t="s">
        <v>49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376</v>
      </c>
      <c r="C12" s="18"/>
      <c r="D12" s="19" t="s">
        <v>50</v>
      </c>
      <c r="E12" s="1" t="s">
        <v>49</v>
      </c>
      <c r="F12" s="20" t="s">
        <v>147</v>
      </c>
      <c r="G12">
        <f t="shared" si="0"/>
        <v>100</v>
      </c>
      <c r="H12">
        <f t="shared" si="1"/>
        <v>50</v>
      </c>
      <c r="I12">
        <f t="shared" si="2"/>
        <v>50</v>
      </c>
      <c r="J12">
        <f t="shared" si="3"/>
        <v>108.7</v>
      </c>
      <c r="K12">
        <f t="shared" si="4"/>
        <v>19.565999999999999</v>
      </c>
      <c r="L12">
        <f t="shared" si="5"/>
        <v>174.86</v>
      </c>
      <c r="M12">
        <f t="shared" si="6"/>
        <v>83.33</v>
      </c>
    </row>
    <row r="13" spans="1:13" ht="15" customHeight="1" x14ac:dyDescent="0.3">
      <c r="A13" s="21" t="s">
        <v>141</v>
      </c>
      <c r="B13" s="22" t="s">
        <v>373</v>
      </c>
      <c r="C13" s="23"/>
      <c r="D13" s="24" t="s">
        <v>50</v>
      </c>
      <c r="E13" s="1" t="s">
        <v>49</v>
      </c>
      <c r="F13" s="20" t="s">
        <v>374</v>
      </c>
      <c r="G13">
        <f t="shared" si="0"/>
        <v>75</v>
      </c>
      <c r="H13">
        <f t="shared" si="1"/>
        <v>37.5</v>
      </c>
      <c r="I13">
        <f t="shared" si="2"/>
        <v>25</v>
      </c>
      <c r="J13">
        <f t="shared" si="3"/>
        <v>81.52</v>
      </c>
      <c r="K13">
        <f t="shared" si="4"/>
        <v>14.673599999999999</v>
      </c>
      <c r="L13">
        <f t="shared" si="5"/>
        <v>131.13999999999999</v>
      </c>
      <c r="M13">
        <f t="shared" si="6"/>
        <v>41.67</v>
      </c>
    </row>
    <row r="14" spans="1:13" ht="18" customHeight="1" x14ac:dyDescent="0.3">
      <c r="A14" s="25" t="s">
        <v>155</v>
      </c>
      <c r="B14" s="25"/>
      <c r="C14" s="25"/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  <c r="M14" t="str">
        <f t="shared" si="6"/>
        <v/>
      </c>
    </row>
    <row r="15" spans="1:13" ht="15" customHeight="1" x14ac:dyDescent="0.3">
      <c r="A15" s="16" t="s">
        <v>156</v>
      </c>
      <c r="B15" s="17" t="s">
        <v>536</v>
      </c>
      <c r="C15" s="18"/>
      <c r="D15" s="19" t="s">
        <v>50</v>
      </c>
      <c r="E15" s="1" t="s">
        <v>49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377</v>
      </c>
      <c r="C16" s="23"/>
      <c r="D16" s="24" t="s">
        <v>50</v>
      </c>
      <c r="E16" s="1" t="s">
        <v>49</v>
      </c>
      <c r="F16" s="20" t="s">
        <v>158</v>
      </c>
      <c r="G16">
        <f t="shared" si="0"/>
        <v>31.25</v>
      </c>
      <c r="H16">
        <f t="shared" si="1"/>
        <v>62.5</v>
      </c>
      <c r="I16">
        <f t="shared" si="2"/>
        <v>37.5</v>
      </c>
      <c r="J16">
        <f t="shared" si="3"/>
        <v>135.87</v>
      </c>
      <c r="K16">
        <f t="shared" si="4"/>
        <v>24.456600000000002</v>
      </c>
      <c r="L16">
        <f t="shared" si="5"/>
        <v>14.77</v>
      </c>
      <c r="M16">
        <f t="shared" si="6"/>
        <v>62.5</v>
      </c>
    </row>
    <row r="17" spans="1:13" ht="15" customHeight="1" x14ac:dyDescent="0.3">
      <c r="A17" s="16" t="s">
        <v>156</v>
      </c>
      <c r="B17" s="17" t="s">
        <v>166</v>
      </c>
      <c r="C17" s="18"/>
      <c r="D17" s="19" t="s">
        <v>50</v>
      </c>
      <c r="E17" s="1" t="s">
        <v>49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379</v>
      </c>
      <c r="C18" s="23"/>
      <c r="D18" s="24" t="s">
        <v>50</v>
      </c>
      <c r="E18" s="1" t="s">
        <v>49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380</v>
      </c>
      <c r="C19" s="18"/>
      <c r="D19" s="19" t="s">
        <v>50</v>
      </c>
      <c r="E19" s="1" t="s">
        <v>49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537</v>
      </c>
      <c r="C20" s="23"/>
      <c r="D20" s="24" t="s">
        <v>50</v>
      </c>
      <c r="E20" s="1" t="s">
        <v>49</v>
      </c>
      <c r="F20" s="20" t="s">
        <v>328</v>
      </c>
      <c r="G20">
        <f t="shared" si="0"/>
        <v>150</v>
      </c>
      <c r="H20">
        <f t="shared" si="1"/>
        <v>100</v>
      </c>
      <c r="I20">
        <f t="shared" si="2"/>
        <v>87.5</v>
      </c>
      <c r="J20">
        <f t="shared" si="3"/>
        <v>217.39</v>
      </c>
      <c r="K20">
        <f t="shared" si="4"/>
        <v>39.130199999999995</v>
      </c>
      <c r="L20">
        <f t="shared" si="5"/>
        <v>241.02</v>
      </c>
      <c r="M20">
        <f t="shared" si="6"/>
        <v>145.83000000000001</v>
      </c>
    </row>
    <row r="21" spans="1:13" ht="15" customHeight="1" x14ac:dyDescent="0.3">
      <c r="A21" s="16" t="s">
        <v>156</v>
      </c>
      <c r="B21" s="17" t="s">
        <v>165</v>
      </c>
      <c r="C21" s="18"/>
      <c r="D21" s="19" t="s">
        <v>50</v>
      </c>
      <c r="E21" s="1" t="s">
        <v>49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381</v>
      </c>
      <c r="C22" s="23"/>
      <c r="D22" s="24" t="s">
        <v>50</v>
      </c>
      <c r="E22" s="1" t="s">
        <v>49</v>
      </c>
      <c r="F22" s="20" t="s">
        <v>160</v>
      </c>
      <c r="G22">
        <f t="shared" si="0"/>
        <v>25</v>
      </c>
      <c r="H22">
        <f t="shared" si="1"/>
        <v>50</v>
      </c>
      <c r="I22">
        <f t="shared" si="2"/>
        <v>25</v>
      </c>
      <c r="J22">
        <f t="shared" si="3"/>
        <v>108.7</v>
      </c>
      <c r="K22">
        <f t="shared" si="4"/>
        <v>19.565999999999999</v>
      </c>
      <c r="L22">
        <f t="shared" si="5"/>
        <v>11.81</v>
      </c>
      <c r="M22">
        <f t="shared" si="6"/>
        <v>41.67</v>
      </c>
    </row>
    <row r="23" spans="1:13" ht="18" customHeight="1" x14ac:dyDescent="0.3">
      <c r="A23" s="25" t="s">
        <v>167</v>
      </c>
      <c r="B23" s="25"/>
      <c r="C23" s="25"/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5"/>
        <v/>
      </c>
      <c r="M23" t="str">
        <f t="shared" si="6"/>
        <v/>
      </c>
    </row>
    <row r="24" spans="1:13" ht="15" customHeight="1" x14ac:dyDescent="0.3">
      <c r="A24" s="16" t="s">
        <v>168</v>
      </c>
      <c r="B24" s="17" t="s">
        <v>358</v>
      </c>
      <c r="C24" s="18"/>
      <c r="D24" s="19" t="s">
        <v>50</v>
      </c>
      <c r="E24" s="1" t="s">
        <v>49</v>
      </c>
      <c r="F24" s="20" t="s">
        <v>147</v>
      </c>
      <c r="G24">
        <f t="shared" si="0"/>
        <v>100</v>
      </c>
      <c r="H24">
        <f t="shared" si="1"/>
        <v>50</v>
      </c>
      <c r="I24">
        <f t="shared" si="2"/>
        <v>50</v>
      </c>
      <c r="J24">
        <f t="shared" si="3"/>
        <v>108.7</v>
      </c>
      <c r="K24">
        <f t="shared" si="4"/>
        <v>19.565999999999999</v>
      </c>
      <c r="L24">
        <f t="shared" si="5"/>
        <v>174.86</v>
      </c>
      <c r="M24">
        <f t="shared" si="6"/>
        <v>83.33</v>
      </c>
    </row>
    <row r="25" spans="1:13" ht="15" customHeight="1" x14ac:dyDescent="0.3">
      <c r="A25" s="21" t="s">
        <v>168</v>
      </c>
      <c r="B25" s="22" t="s">
        <v>169</v>
      </c>
      <c r="C25" s="23"/>
      <c r="D25" s="24" t="s">
        <v>50</v>
      </c>
      <c r="E25" s="1" t="s">
        <v>49</v>
      </c>
      <c r="F25" s="20" t="s">
        <v>170</v>
      </c>
      <c r="G25">
        <f t="shared" si="0"/>
        <v>25</v>
      </c>
      <c r="H25">
        <f t="shared" si="1"/>
        <v>50</v>
      </c>
      <c r="I25">
        <f t="shared" si="2"/>
        <v>50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83.33</v>
      </c>
    </row>
    <row r="26" spans="1:13" ht="15" customHeight="1" x14ac:dyDescent="0.3">
      <c r="A26" s="16" t="s">
        <v>168</v>
      </c>
      <c r="B26" s="17" t="s">
        <v>294</v>
      </c>
      <c r="C26" s="18"/>
      <c r="D26" s="19" t="s">
        <v>50</v>
      </c>
      <c r="E26" s="1" t="s">
        <v>49</v>
      </c>
      <c r="F26" s="20" t="s">
        <v>149</v>
      </c>
      <c r="G26">
        <f t="shared" si="0"/>
        <v>50</v>
      </c>
      <c r="H26">
        <f t="shared" si="1"/>
        <v>25</v>
      </c>
      <c r="I26">
        <f t="shared" si="2"/>
        <v>25</v>
      </c>
      <c r="J26">
        <f t="shared" si="3"/>
        <v>54.35</v>
      </c>
      <c r="K26">
        <f t="shared" si="4"/>
        <v>9.7829999999999995</v>
      </c>
      <c r="L26">
        <f t="shared" si="5"/>
        <v>87.43</v>
      </c>
      <c r="M26">
        <f t="shared" si="6"/>
        <v>41.67</v>
      </c>
    </row>
    <row r="27" spans="1:13" ht="15" customHeight="1" x14ac:dyDescent="0.3">
      <c r="A27" s="21" t="s">
        <v>168</v>
      </c>
      <c r="B27" s="22" t="s">
        <v>295</v>
      </c>
      <c r="C27" s="23"/>
      <c r="D27" s="24" t="s">
        <v>50</v>
      </c>
      <c r="E27" s="1" t="s">
        <v>49</v>
      </c>
      <c r="F27" s="20" t="s">
        <v>149</v>
      </c>
      <c r="G27">
        <f t="shared" si="0"/>
        <v>50</v>
      </c>
      <c r="H27">
        <f t="shared" si="1"/>
        <v>25</v>
      </c>
      <c r="I27">
        <f t="shared" si="2"/>
        <v>25</v>
      </c>
      <c r="J27">
        <f t="shared" si="3"/>
        <v>54.35</v>
      </c>
      <c r="K27">
        <f t="shared" si="4"/>
        <v>9.7829999999999995</v>
      </c>
      <c r="L27">
        <f t="shared" si="5"/>
        <v>87.43</v>
      </c>
      <c r="M27">
        <f t="shared" si="6"/>
        <v>41.67</v>
      </c>
    </row>
    <row r="28" spans="1:13" ht="15" customHeight="1" x14ac:dyDescent="0.3">
      <c r="A28" s="16" t="s">
        <v>168</v>
      </c>
      <c r="B28" s="17" t="s">
        <v>176</v>
      </c>
      <c r="C28" s="18"/>
      <c r="D28" s="19" t="s">
        <v>50</v>
      </c>
      <c r="E28" s="1" t="s">
        <v>49</v>
      </c>
      <c r="F28" s="20" t="s">
        <v>177</v>
      </c>
      <c r="G28">
        <f t="shared" si="0"/>
        <v>25</v>
      </c>
      <c r="H28">
        <f t="shared" si="1"/>
        <v>75</v>
      </c>
      <c r="I28">
        <f t="shared" si="2"/>
        <v>50</v>
      </c>
      <c r="J28">
        <f t="shared" si="3"/>
        <v>163.04</v>
      </c>
      <c r="K28">
        <f t="shared" si="4"/>
        <v>29.347199999999997</v>
      </c>
      <c r="L28">
        <f t="shared" si="5"/>
        <v>-9.4499999999999993</v>
      </c>
      <c r="M28">
        <f t="shared" si="6"/>
        <v>83.33</v>
      </c>
    </row>
    <row r="29" spans="1:13" ht="15" customHeight="1" x14ac:dyDescent="0.3">
      <c r="A29" s="21" t="s">
        <v>168</v>
      </c>
      <c r="B29" s="22" t="s">
        <v>172</v>
      </c>
      <c r="C29" s="23"/>
      <c r="D29" s="24" t="s">
        <v>50</v>
      </c>
      <c r="E29" s="1" t="s">
        <v>49</v>
      </c>
      <c r="F29" s="20" t="s">
        <v>173</v>
      </c>
      <c r="G29">
        <f t="shared" si="0"/>
        <v>75</v>
      </c>
      <c r="H29">
        <f t="shared" si="1"/>
        <v>112.5</v>
      </c>
      <c r="I29">
        <f t="shared" si="2"/>
        <v>75</v>
      </c>
      <c r="J29">
        <f t="shared" si="3"/>
        <v>244.57</v>
      </c>
      <c r="K29">
        <f t="shared" si="4"/>
        <v>44.022599999999997</v>
      </c>
      <c r="L29">
        <f t="shared" si="5"/>
        <v>67.34</v>
      </c>
      <c r="M29">
        <f t="shared" si="6"/>
        <v>125</v>
      </c>
    </row>
    <row r="30" spans="1:13" ht="15" customHeight="1" x14ac:dyDescent="0.3">
      <c r="A30" s="16" t="s">
        <v>168</v>
      </c>
      <c r="B30" s="17" t="s">
        <v>171</v>
      </c>
      <c r="C30" s="18"/>
      <c r="D30" s="19" t="s">
        <v>50</v>
      </c>
      <c r="E30" s="1" t="s">
        <v>49</v>
      </c>
      <c r="F30" s="20" t="s">
        <v>147</v>
      </c>
      <c r="G30">
        <f t="shared" si="0"/>
        <v>100</v>
      </c>
      <c r="H30">
        <f t="shared" si="1"/>
        <v>50</v>
      </c>
      <c r="I30">
        <f t="shared" si="2"/>
        <v>50</v>
      </c>
      <c r="J30">
        <f t="shared" si="3"/>
        <v>108.7</v>
      </c>
      <c r="K30">
        <f t="shared" si="4"/>
        <v>19.565999999999999</v>
      </c>
      <c r="L30">
        <f t="shared" si="5"/>
        <v>174.86</v>
      </c>
      <c r="M30">
        <f t="shared" si="6"/>
        <v>83.33</v>
      </c>
    </row>
    <row r="31" spans="1:13" ht="18" customHeight="1" x14ac:dyDescent="0.3">
      <c r="A31" s="25" t="s">
        <v>180</v>
      </c>
      <c r="B31" s="25"/>
      <c r="C31" s="25"/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  <c r="L31" t="str">
        <f t="shared" si="5"/>
        <v/>
      </c>
      <c r="M31" t="str">
        <f t="shared" si="6"/>
        <v/>
      </c>
    </row>
    <row r="32" spans="1:13" ht="15" customHeight="1" x14ac:dyDescent="0.3">
      <c r="A32" s="21" t="s">
        <v>181</v>
      </c>
      <c r="B32" s="22" t="s">
        <v>792</v>
      </c>
      <c r="C32" s="23"/>
      <c r="D32" s="24" t="s">
        <v>50</v>
      </c>
      <c r="E32" s="1" t="s">
        <v>49</v>
      </c>
      <c r="F32" s="20" t="s">
        <v>183</v>
      </c>
      <c r="G32">
        <f t="shared" si="0"/>
        <v>350</v>
      </c>
      <c r="H32">
        <f t="shared" si="1"/>
        <v>112.5</v>
      </c>
      <c r="I32">
        <f t="shared" si="2"/>
        <v>112.5</v>
      </c>
      <c r="J32">
        <f t="shared" si="3"/>
        <v>244.57</v>
      </c>
      <c r="K32">
        <f t="shared" si="4"/>
        <v>44.022599999999997</v>
      </c>
      <c r="L32">
        <f t="shared" si="5"/>
        <v>665.17</v>
      </c>
      <c r="M32">
        <f t="shared" si="6"/>
        <v>187.5</v>
      </c>
    </row>
    <row r="33" spans="1:13" ht="15" customHeight="1" x14ac:dyDescent="0.3">
      <c r="A33" s="16" t="s">
        <v>181</v>
      </c>
      <c r="B33" s="17" t="s">
        <v>793</v>
      </c>
      <c r="C33" s="18"/>
      <c r="D33" s="19" t="s">
        <v>50</v>
      </c>
      <c r="E33" s="1" t="s">
        <v>49</v>
      </c>
      <c r="F33" s="20" t="s">
        <v>185</v>
      </c>
      <c r="G33">
        <f t="shared" si="0"/>
        <v>125</v>
      </c>
      <c r="H33">
        <f t="shared" si="1"/>
        <v>62.5</v>
      </c>
      <c r="I33">
        <f t="shared" si="2"/>
        <v>62.5</v>
      </c>
      <c r="J33">
        <f t="shared" si="3"/>
        <v>135.87</v>
      </c>
      <c r="K33">
        <f t="shared" si="4"/>
        <v>24.456600000000002</v>
      </c>
      <c r="L33">
        <f t="shared" si="5"/>
        <v>218.57</v>
      </c>
      <c r="M33">
        <f t="shared" si="6"/>
        <v>104.17</v>
      </c>
    </row>
    <row r="34" spans="1:13" ht="15" customHeight="1" x14ac:dyDescent="0.3">
      <c r="A34" s="21" t="s">
        <v>181</v>
      </c>
      <c r="B34" s="22" t="s">
        <v>794</v>
      </c>
      <c r="C34" s="23"/>
      <c r="D34" s="24" t="s">
        <v>50</v>
      </c>
      <c r="E34" s="1" t="s">
        <v>49</v>
      </c>
      <c r="F34" s="20" t="s">
        <v>795</v>
      </c>
      <c r="G34">
        <f t="shared" si="0"/>
        <v>187.5</v>
      </c>
      <c r="H34">
        <f t="shared" si="1"/>
        <v>75</v>
      </c>
      <c r="I34">
        <f t="shared" si="2"/>
        <v>75</v>
      </c>
      <c r="J34">
        <f t="shared" si="3"/>
        <v>163.04</v>
      </c>
      <c r="K34">
        <f t="shared" si="4"/>
        <v>29.347199999999997</v>
      </c>
      <c r="L34">
        <f t="shared" si="5"/>
        <v>343.81</v>
      </c>
      <c r="M34">
        <f t="shared" si="6"/>
        <v>125</v>
      </c>
    </row>
    <row r="35" spans="1:13" ht="15" customHeight="1" x14ac:dyDescent="0.3">
      <c r="A35" s="16" t="s">
        <v>181</v>
      </c>
      <c r="B35" s="17" t="s">
        <v>186</v>
      </c>
      <c r="C35" s="18"/>
      <c r="D35" s="19" t="s">
        <v>50</v>
      </c>
      <c r="E35" s="1" t="s">
        <v>49</v>
      </c>
      <c r="F35" s="20" t="s">
        <v>185</v>
      </c>
      <c r="G35">
        <f t="shared" si="0"/>
        <v>125</v>
      </c>
      <c r="H35">
        <f t="shared" si="1"/>
        <v>62.5</v>
      </c>
      <c r="I35">
        <f t="shared" si="2"/>
        <v>62.5</v>
      </c>
      <c r="J35">
        <f t="shared" si="3"/>
        <v>135.87</v>
      </c>
      <c r="K35">
        <f t="shared" si="4"/>
        <v>24.456600000000002</v>
      </c>
      <c r="L35">
        <f t="shared" si="5"/>
        <v>218.57</v>
      </c>
      <c r="M35">
        <f t="shared" si="6"/>
        <v>104.17</v>
      </c>
    </row>
    <row r="36" spans="1:13" ht="18" customHeight="1" x14ac:dyDescent="0.3">
      <c r="A36" s="25" t="s">
        <v>187</v>
      </c>
      <c r="B36" s="25"/>
      <c r="C36" s="25"/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5"/>
        <v/>
      </c>
      <c r="M36" t="str">
        <f t="shared" si="6"/>
        <v/>
      </c>
    </row>
    <row r="37" spans="1:13" ht="15" customHeight="1" x14ac:dyDescent="0.3">
      <c r="A37" s="21" t="s">
        <v>188</v>
      </c>
      <c r="B37" s="22" t="s">
        <v>796</v>
      </c>
      <c r="C37" s="23"/>
      <c r="D37" s="24" t="s">
        <v>50</v>
      </c>
      <c r="E37" s="1" t="s">
        <v>49</v>
      </c>
      <c r="F37" s="20" t="s">
        <v>190</v>
      </c>
      <c r="G37">
        <f t="shared" si="0"/>
        <v>125</v>
      </c>
      <c r="H37">
        <f t="shared" si="1"/>
        <v>125</v>
      </c>
      <c r="I37">
        <f t="shared" si="2"/>
        <v>187.5</v>
      </c>
      <c r="J37">
        <f t="shared" si="3"/>
        <v>271.74</v>
      </c>
      <c r="K37">
        <f t="shared" si="4"/>
        <v>48.913200000000003</v>
      </c>
      <c r="L37">
        <f t="shared" si="5"/>
        <v>165.41</v>
      </c>
      <c r="M37">
        <f t="shared" si="6"/>
        <v>312.5</v>
      </c>
    </row>
    <row r="38" spans="1:13" ht="15" customHeight="1" x14ac:dyDescent="0.3">
      <c r="A38" s="16" t="s">
        <v>188</v>
      </c>
      <c r="B38" s="17" t="s">
        <v>797</v>
      </c>
      <c r="C38" s="18"/>
      <c r="D38" s="19" t="s">
        <v>50</v>
      </c>
      <c r="E38" s="1" t="s">
        <v>49</v>
      </c>
      <c r="F38" s="20" t="s">
        <v>194</v>
      </c>
      <c r="G38">
        <f t="shared" si="0"/>
        <v>125</v>
      </c>
      <c r="H38">
        <f t="shared" si="1"/>
        <v>125</v>
      </c>
      <c r="I38">
        <f t="shared" si="2"/>
        <v>125</v>
      </c>
      <c r="J38">
        <f t="shared" si="3"/>
        <v>271.74</v>
      </c>
      <c r="K38">
        <f t="shared" si="4"/>
        <v>48.913200000000003</v>
      </c>
      <c r="L38">
        <f t="shared" si="5"/>
        <v>165.41</v>
      </c>
      <c r="M38">
        <f t="shared" si="6"/>
        <v>208.33</v>
      </c>
    </row>
    <row r="39" spans="1:13" ht="15" customHeight="1" x14ac:dyDescent="0.3">
      <c r="A39" s="21" t="s">
        <v>188</v>
      </c>
      <c r="B39" s="22" t="s">
        <v>798</v>
      </c>
      <c r="C39" s="23"/>
      <c r="D39" s="24" t="s">
        <v>50</v>
      </c>
      <c r="E39" s="1" t="s">
        <v>49</v>
      </c>
      <c r="F39" s="20" t="s">
        <v>452</v>
      </c>
      <c r="G39">
        <f t="shared" ref="G39:G70" si="7">IF($F39="","",IFERROR(VALUE(TRIM(LEFT($F39,FIND(":",$F39)-1)))*1.25,"N/A"))</f>
        <v>250</v>
      </c>
      <c r="H39">
        <f t="shared" ref="H39:H70" si="8">IF($F39="","",IFERROR(VALUE(TRIM(MID($F39,FIND(":",$F39)+1,FIND(":",$F39,FIND(":",$F39)+1)-FIND(":",$F39)-1)))*1.25,"N/A"))</f>
        <v>625</v>
      </c>
      <c r="I39">
        <f t="shared" ref="I39:I70" si="9">IF($F39="","",IFERROR(VALUE(TRIM(LEFT(MID($F39,FIND(":",$F39,FIND(":",$F39)+1)+1,LEN($F39)),FIND(" ",MID($F39,FIND(":",$F39,FIND(":",$F39)+1)+1,LEN($F39))&amp;" ")-1)))*1.25,"N/A"))</f>
        <v>250</v>
      </c>
      <c r="J39">
        <f t="shared" ref="J39:J70" si="10">IF(OR($F39="",$H39="N/A"),IF($F39="","","N/A"),ROUND($H39/0.46,2))</f>
        <v>1358.7</v>
      </c>
      <c r="K39">
        <f t="shared" ref="K39:K70" si="11">IF(OR($F39="",$J39="N/A"),IF($F39="","","N/A"),$J39*0.18)</f>
        <v>244.566</v>
      </c>
      <c r="L39">
        <f t="shared" ref="L39:L70" si="12">IF(OR($F39="",$G39="N/A",$K39="N/A"),IF($F39="","","N/A"),ROUND(($G39-$K39)/0.46,2))</f>
        <v>11.81</v>
      </c>
      <c r="M39">
        <f t="shared" ref="M39:M70" si="13">IF(OR($F39="",$I39="N/A"),IF($F39="","","N/A"),ROUND($I39/0.6,2))</f>
        <v>416.67</v>
      </c>
    </row>
    <row r="40" spans="1:13" ht="15" customHeight="1" x14ac:dyDescent="0.3">
      <c r="A40" s="16" t="s">
        <v>188</v>
      </c>
      <c r="B40" s="17" t="s">
        <v>191</v>
      </c>
      <c r="C40" s="18"/>
      <c r="D40" s="19" t="s">
        <v>50</v>
      </c>
      <c r="E40" s="1" t="s">
        <v>49</v>
      </c>
      <c r="F40" s="20" t="s">
        <v>192</v>
      </c>
      <c r="G40">
        <f t="shared" si="7"/>
        <v>137.5</v>
      </c>
      <c r="H40">
        <f t="shared" si="8"/>
        <v>43.75</v>
      </c>
      <c r="I40">
        <f t="shared" si="9"/>
        <v>412.5</v>
      </c>
      <c r="J40">
        <f t="shared" si="10"/>
        <v>95.11</v>
      </c>
      <c r="K40">
        <f t="shared" si="11"/>
        <v>17.119799999999998</v>
      </c>
      <c r="L40">
        <f t="shared" si="12"/>
        <v>261.7</v>
      </c>
      <c r="M40">
        <f t="shared" si="13"/>
        <v>687.5</v>
      </c>
    </row>
    <row r="41" spans="1:13" ht="15" customHeight="1" x14ac:dyDescent="0.3">
      <c r="A41" s="21" t="s">
        <v>188</v>
      </c>
      <c r="B41" s="22" t="s">
        <v>799</v>
      </c>
      <c r="C41" s="23"/>
      <c r="D41" s="24" t="s">
        <v>50</v>
      </c>
      <c r="E41" s="1" t="s">
        <v>49</v>
      </c>
      <c r="F41" s="20" t="s">
        <v>311</v>
      </c>
      <c r="G41">
        <f t="shared" si="7"/>
        <v>125</v>
      </c>
      <c r="H41">
        <f t="shared" si="8"/>
        <v>50</v>
      </c>
      <c r="I41">
        <f t="shared" si="9"/>
        <v>500</v>
      </c>
      <c r="J41">
        <f t="shared" si="10"/>
        <v>108.7</v>
      </c>
      <c r="K41">
        <f t="shared" si="11"/>
        <v>19.565999999999999</v>
      </c>
      <c r="L41">
        <f t="shared" si="12"/>
        <v>229.2</v>
      </c>
      <c r="M41">
        <f t="shared" si="13"/>
        <v>833.33</v>
      </c>
    </row>
    <row r="42" spans="1:13" ht="15" customHeight="1" x14ac:dyDescent="0.3">
      <c r="A42" s="16" t="s">
        <v>188</v>
      </c>
      <c r="B42" s="17" t="s">
        <v>193</v>
      </c>
      <c r="C42" s="18"/>
      <c r="D42" s="19" t="s">
        <v>50</v>
      </c>
      <c r="E42" s="1" t="s">
        <v>49</v>
      </c>
      <c r="F42" s="20" t="s">
        <v>194</v>
      </c>
      <c r="G42">
        <f t="shared" si="7"/>
        <v>125</v>
      </c>
      <c r="H42">
        <f t="shared" si="8"/>
        <v>125</v>
      </c>
      <c r="I42">
        <f t="shared" si="9"/>
        <v>125</v>
      </c>
      <c r="J42">
        <f t="shared" si="10"/>
        <v>271.74</v>
      </c>
      <c r="K42">
        <f t="shared" si="11"/>
        <v>48.913200000000003</v>
      </c>
      <c r="L42">
        <f t="shared" si="12"/>
        <v>165.41</v>
      </c>
      <c r="M42">
        <f t="shared" si="13"/>
        <v>208.33</v>
      </c>
    </row>
    <row r="43" spans="1:13" ht="15" customHeight="1" x14ac:dyDescent="0.3">
      <c r="A43" s="21" t="s">
        <v>188</v>
      </c>
      <c r="B43" s="22" t="s">
        <v>386</v>
      </c>
      <c r="C43" s="23"/>
      <c r="D43" s="24" t="s">
        <v>50</v>
      </c>
      <c r="E43" s="1" t="s">
        <v>49</v>
      </c>
      <c r="F43" s="20" t="s">
        <v>211</v>
      </c>
      <c r="G43">
        <f t="shared" si="7"/>
        <v>93.75</v>
      </c>
      <c r="H43">
        <f t="shared" si="8"/>
        <v>75</v>
      </c>
      <c r="I43">
        <f t="shared" si="9"/>
        <v>62.5</v>
      </c>
      <c r="J43">
        <f t="shared" si="10"/>
        <v>163.04</v>
      </c>
      <c r="K43">
        <f t="shared" si="11"/>
        <v>29.347199999999997</v>
      </c>
      <c r="L43">
        <f t="shared" si="12"/>
        <v>140.01</v>
      </c>
      <c r="M43">
        <f t="shared" si="13"/>
        <v>104.17</v>
      </c>
    </row>
    <row r="44" spans="1:13" ht="15" customHeight="1" x14ac:dyDescent="0.3">
      <c r="A44" s="16" t="s">
        <v>188</v>
      </c>
      <c r="B44" s="17" t="s">
        <v>800</v>
      </c>
      <c r="C44" s="18"/>
      <c r="D44" s="19" t="s">
        <v>50</v>
      </c>
      <c r="E44" s="1" t="s">
        <v>49</v>
      </c>
      <c r="F44" s="20" t="s">
        <v>388</v>
      </c>
      <c r="G44">
        <f t="shared" si="7"/>
        <v>625</v>
      </c>
      <c r="H44">
        <f t="shared" si="8"/>
        <v>250</v>
      </c>
      <c r="I44">
        <f t="shared" si="9"/>
        <v>625</v>
      </c>
      <c r="J44">
        <f t="shared" si="10"/>
        <v>543.48</v>
      </c>
      <c r="K44">
        <f t="shared" si="11"/>
        <v>97.826400000000007</v>
      </c>
      <c r="L44">
        <f t="shared" si="12"/>
        <v>1146.03</v>
      </c>
      <c r="M44">
        <f t="shared" si="13"/>
        <v>1041.67</v>
      </c>
    </row>
    <row r="45" spans="1:13" ht="15" customHeight="1" x14ac:dyDescent="0.3">
      <c r="A45" s="21" t="s">
        <v>188</v>
      </c>
      <c r="B45" s="22" t="s">
        <v>214</v>
      </c>
      <c r="C45" s="23"/>
      <c r="D45" s="24" t="s">
        <v>50</v>
      </c>
      <c r="E45" s="1" t="s">
        <v>49</v>
      </c>
      <c r="F45" s="20" t="s">
        <v>215</v>
      </c>
      <c r="G45">
        <f t="shared" si="7"/>
        <v>93.75</v>
      </c>
      <c r="H45">
        <f t="shared" si="8"/>
        <v>50</v>
      </c>
      <c r="I45">
        <f t="shared" si="9"/>
        <v>62.5</v>
      </c>
      <c r="J45">
        <f t="shared" si="10"/>
        <v>108.7</v>
      </c>
      <c r="K45">
        <f t="shared" si="11"/>
        <v>19.565999999999999</v>
      </c>
      <c r="L45">
        <f t="shared" si="12"/>
        <v>161.27000000000001</v>
      </c>
      <c r="M45">
        <f t="shared" si="13"/>
        <v>104.17</v>
      </c>
    </row>
    <row r="46" spans="1:13" ht="15" customHeight="1" x14ac:dyDescent="0.3">
      <c r="A46" s="16" t="s">
        <v>188</v>
      </c>
      <c r="B46" s="17" t="s">
        <v>801</v>
      </c>
      <c r="C46" s="18"/>
      <c r="D46" s="19" t="s">
        <v>50</v>
      </c>
      <c r="E46" s="1" t="s">
        <v>49</v>
      </c>
      <c r="F46" s="20" t="s">
        <v>211</v>
      </c>
      <c r="G46">
        <f t="shared" si="7"/>
        <v>93.75</v>
      </c>
      <c r="H46">
        <f t="shared" si="8"/>
        <v>75</v>
      </c>
      <c r="I46">
        <f t="shared" si="9"/>
        <v>62.5</v>
      </c>
      <c r="J46">
        <f t="shared" si="10"/>
        <v>163.04</v>
      </c>
      <c r="K46">
        <f t="shared" si="11"/>
        <v>29.347199999999997</v>
      </c>
      <c r="L46">
        <f t="shared" si="12"/>
        <v>140.01</v>
      </c>
      <c r="M46">
        <f t="shared" si="13"/>
        <v>104.17</v>
      </c>
    </row>
    <row r="47" spans="1:13" ht="15" customHeight="1" x14ac:dyDescent="0.3">
      <c r="A47" s="21" t="s">
        <v>188</v>
      </c>
      <c r="B47" s="22" t="s">
        <v>196</v>
      </c>
      <c r="C47" s="23"/>
      <c r="D47" s="24" t="s">
        <v>50</v>
      </c>
      <c r="E47" s="1" t="s">
        <v>49</v>
      </c>
      <c r="F47" s="20" t="s">
        <v>197</v>
      </c>
      <c r="G47">
        <f t="shared" si="7"/>
        <v>750</v>
      </c>
      <c r="H47">
        <f t="shared" si="8"/>
        <v>625</v>
      </c>
      <c r="I47">
        <f t="shared" si="9"/>
        <v>1500</v>
      </c>
      <c r="J47">
        <f t="shared" si="10"/>
        <v>1358.7</v>
      </c>
      <c r="K47">
        <f t="shared" si="11"/>
        <v>244.566</v>
      </c>
      <c r="L47">
        <f t="shared" si="12"/>
        <v>1098.77</v>
      </c>
      <c r="M47">
        <f t="shared" si="13"/>
        <v>2500</v>
      </c>
    </row>
    <row r="48" spans="1:13" ht="15" customHeight="1" x14ac:dyDescent="0.3">
      <c r="A48" s="16" t="s">
        <v>188</v>
      </c>
      <c r="B48" s="17" t="s">
        <v>802</v>
      </c>
      <c r="C48" s="18"/>
      <c r="D48" s="19" t="s">
        <v>50</v>
      </c>
      <c r="E48" s="1" t="s">
        <v>49</v>
      </c>
      <c r="F48" s="20" t="s">
        <v>199</v>
      </c>
      <c r="G48">
        <f t="shared" si="7"/>
        <v>750</v>
      </c>
      <c r="H48">
        <f t="shared" si="8"/>
        <v>250</v>
      </c>
      <c r="I48">
        <f t="shared" si="9"/>
        <v>375</v>
      </c>
      <c r="J48">
        <f t="shared" si="10"/>
        <v>543.48</v>
      </c>
      <c r="K48">
        <f t="shared" si="11"/>
        <v>97.826400000000007</v>
      </c>
      <c r="L48">
        <f t="shared" si="12"/>
        <v>1417.77</v>
      </c>
      <c r="M48">
        <f t="shared" si="13"/>
        <v>625</v>
      </c>
    </row>
    <row r="49" spans="1:13" ht="18" customHeight="1" x14ac:dyDescent="0.3">
      <c r="A49" s="25" t="s">
        <v>220</v>
      </c>
      <c r="B49" s="25"/>
      <c r="C49" s="25"/>
      <c r="G49" t="str">
        <f t="shared" si="7"/>
        <v/>
      </c>
      <c r="H49" t="str">
        <f t="shared" si="8"/>
        <v/>
      </c>
      <c r="I49" t="str">
        <f t="shared" si="9"/>
        <v/>
      </c>
      <c r="J49" t="str">
        <f t="shared" si="10"/>
        <v/>
      </c>
      <c r="K49" t="str">
        <f t="shared" si="11"/>
        <v/>
      </c>
      <c r="L49" t="str">
        <f t="shared" si="12"/>
        <v/>
      </c>
      <c r="M49" t="str">
        <f t="shared" si="13"/>
        <v/>
      </c>
    </row>
    <row r="50" spans="1:13" ht="15" customHeight="1" x14ac:dyDescent="0.3">
      <c r="A50" s="21" t="s">
        <v>221</v>
      </c>
      <c r="B50" s="22" t="s">
        <v>803</v>
      </c>
      <c r="C50" s="23"/>
      <c r="D50" s="24" t="s">
        <v>50</v>
      </c>
      <c r="E50" s="1" t="s">
        <v>49</v>
      </c>
      <c r="F50" s="20" t="s">
        <v>322</v>
      </c>
      <c r="G50">
        <f t="shared" si="7"/>
        <v>150</v>
      </c>
      <c r="H50">
        <f t="shared" si="8"/>
        <v>300</v>
      </c>
      <c r="I50">
        <f t="shared" si="9"/>
        <v>150</v>
      </c>
      <c r="J50">
        <f t="shared" si="10"/>
        <v>652.16999999999996</v>
      </c>
      <c r="K50">
        <f t="shared" si="11"/>
        <v>117.39059999999999</v>
      </c>
      <c r="L50">
        <f t="shared" si="12"/>
        <v>70.89</v>
      </c>
      <c r="M50">
        <f t="shared" si="13"/>
        <v>250</v>
      </c>
    </row>
    <row r="51" spans="1:13" ht="15" customHeight="1" x14ac:dyDescent="0.3">
      <c r="A51" s="16" t="s">
        <v>221</v>
      </c>
      <c r="B51" s="17" t="s">
        <v>222</v>
      </c>
      <c r="C51" s="18"/>
      <c r="D51" s="19" t="s">
        <v>50</v>
      </c>
      <c r="E51" s="1" t="s">
        <v>49</v>
      </c>
      <c r="F51" s="20" t="s">
        <v>223</v>
      </c>
      <c r="G51">
        <f t="shared" si="7"/>
        <v>187.5</v>
      </c>
      <c r="H51">
        <f t="shared" si="8"/>
        <v>125</v>
      </c>
      <c r="I51">
        <f t="shared" si="9"/>
        <v>62.5</v>
      </c>
      <c r="J51">
        <f t="shared" si="10"/>
        <v>271.74</v>
      </c>
      <c r="K51">
        <f t="shared" si="11"/>
        <v>48.913200000000003</v>
      </c>
      <c r="L51">
        <f t="shared" si="12"/>
        <v>301.27999999999997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230</v>
      </c>
      <c r="C52" s="23"/>
      <c r="D52" s="24" t="s">
        <v>50</v>
      </c>
      <c r="E52" s="1" t="s">
        <v>49</v>
      </c>
      <c r="F52" s="20" t="s">
        <v>231</v>
      </c>
      <c r="G52">
        <f t="shared" si="7"/>
        <v>125</v>
      </c>
      <c r="H52">
        <f t="shared" si="8"/>
        <v>187.5</v>
      </c>
      <c r="I52">
        <f t="shared" si="9"/>
        <v>93.75</v>
      </c>
      <c r="J52">
        <f t="shared" si="10"/>
        <v>407.61</v>
      </c>
      <c r="K52">
        <f t="shared" si="11"/>
        <v>73.369799999999998</v>
      </c>
      <c r="L52">
        <f t="shared" si="12"/>
        <v>112.24</v>
      </c>
      <c r="M52">
        <f t="shared" si="13"/>
        <v>156.25</v>
      </c>
    </row>
    <row r="53" spans="1:13" ht="15" customHeight="1" x14ac:dyDescent="0.3">
      <c r="A53" s="16" t="s">
        <v>221</v>
      </c>
      <c r="B53" s="17" t="s">
        <v>365</v>
      </c>
      <c r="C53" s="18"/>
      <c r="D53" s="19" t="s">
        <v>50</v>
      </c>
      <c r="E53" s="1" t="s">
        <v>49</v>
      </c>
      <c r="F53" s="20" t="s">
        <v>366</v>
      </c>
      <c r="G53">
        <f t="shared" si="7"/>
        <v>93.75</v>
      </c>
      <c r="H53">
        <f t="shared" si="8"/>
        <v>93.75</v>
      </c>
      <c r="I53">
        <f t="shared" si="9"/>
        <v>93.75</v>
      </c>
      <c r="J53">
        <f t="shared" si="10"/>
        <v>203.8</v>
      </c>
      <c r="K53">
        <f t="shared" si="11"/>
        <v>36.683999999999997</v>
      </c>
      <c r="L53">
        <f t="shared" si="12"/>
        <v>124.06</v>
      </c>
      <c r="M53">
        <f t="shared" si="13"/>
        <v>156.25</v>
      </c>
    </row>
    <row r="54" spans="1:13" ht="15" customHeight="1" x14ac:dyDescent="0.3">
      <c r="A54" s="21" t="s">
        <v>221</v>
      </c>
      <c r="B54" s="22" t="s">
        <v>234</v>
      </c>
      <c r="C54" s="23"/>
      <c r="D54" s="24" t="s">
        <v>50</v>
      </c>
      <c r="E54" s="1" t="s">
        <v>49</v>
      </c>
      <c r="F54" s="20" t="s">
        <v>235</v>
      </c>
      <c r="G54">
        <f t="shared" si="7"/>
        <v>125</v>
      </c>
      <c r="H54">
        <f t="shared" si="8"/>
        <v>125</v>
      </c>
      <c r="I54">
        <f t="shared" si="9"/>
        <v>62.5</v>
      </c>
      <c r="J54">
        <f t="shared" si="10"/>
        <v>271.74</v>
      </c>
      <c r="K54">
        <f t="shared" si="11"/>
        <v>48.913200000000003</v>
      </c>
      <c r="L54">
        <f t="shared" si="12"/>
        <v>165.41</v>
      </c>
      <c r="M54">
        <f t="shared" si="13"/>
        <v>104.17</v>
      </c>
    </row>
    <row r="55" spans="1:13" ht="15" customHeight="1" x14ac:dyDescent="0.3">
      <c r="A55" s="16" t="s">
        <v>221</v>
      </c>
      <c r="B55" s="17" t="s">
        <v>232</v>
      </c>
      <c r="C55" s="18"/>
      <c r="D55" s="19" t="s">
        <v>50</v>
      </c>
      <c r="E55" s="1" t="s">
        <v>49</v>
      </c>
      <c r="F55" s="20" t="s">
        <v>233</v>
      </c>
      <c r="G55">
        <f t="shared" si="7"/>
        <v>125</v>
      </c>
      <c r="H55">
        <f t="shared" si="8"/>
        <v>156.25</v>
      </c>
      <c r="I55">
        <f t="shared" si="9"/>
        <v>31.25</v>
      </c>
      <c r="J55">
        <f t="shared" si="10"/>
        <v>339.67</v>
      </c>
      <c r="K55">
        <f t="shared" si="11"/>
        <v>61.140599999999999</v>
      </c>
      <c r="L55">
        <f t="shared" si="12"/>
        <v>138.82</v>
      </c>
      <c r="M55">
        <f t="shared" si="13"/>
        <v>52.08</v>
      </c>
    </row>
    <row r="56" spans="1:13" ht="15" customHeight="1" x14ac:dyDescent="0.3">
      <c r="A56" s="21" t="s">
        <v>221</v>
      </c>
      <c r="B56" s="22" t="s">
        <v>327</v>
      </c>
      <c r="C56" s="23"/>
      <c r="D56" s="24" t="s">
        <v>50</v>
      </c>
      <c r="E56" s="1" t="s">
        <v>49</v>
      </c>
      <c r="F56" s="20" t="s">
        <v>328</v>
      </c>
      <c r="G56">
        <f t="shared" si="7"/>
        <v>150</v>
      </c>
      <c r="H56">
        <f t="shared" si="8"/>
        <v>100</v>
      </c>
      <c r="I56">
        <f t="shared" si="9"/>
        <v>87.5</v>
      </c>
      <c r="J56">
        <f t="shared" si="10"/>
        <v>217.39</v>
      </c>
      <c r="K56">
        <f t="shared" si="11"/>
        <v>39.130199999999995</v>
      </c>
      <c r="L56">
        <f t="shared" si="12"/>
        <v>241.02</v>
      </c>
      <c r="M56">
        <f t="shared" si="13"/>
        <v>145.83000000000001</v>
      </c>
    </row>
    <row r="57" spans="1:13" ht="15" customHeight="1" x14ac:dyDescent="0.3">
      <c r="A57" s="16" t="s">
        <v>221</v>
      </c>
      <c r="B57" s="17" t="s">
        <v>325</v>
      </c>
      <c r="C57" s="18"/>
      <c r="D57" s="19" t="s">
        <v>50</v>
      </c>
      <c r="E57" s="1" t="s">
        <v>49</v>
      </c>
      <c r="F57" s="20" t="s">
        <v>225</v>
      </c>
      <c r="G57">
        <f t="shared" si="7"/>
        <v>125</v>
      </c>
      <c r="H57">
        <f t="shared" si="8"/>
        <v>62.5</v>
      </c>
      <c r="I57">
        <f t="shared" si="9"/>
        <v>37.5</v>
      </c>
      <c r="J57">
        <f t="shared" si="10"/>
        <v>135.87</v>
      </c>
      <c r="K57">
        <f t="shared" si="11"/>
        <v>24.456600000000002</v>
      </c>
      <c r="L57">
        <f t="shared" si="12"/>
        <v>218.57</v>
      </c>
      <c r="M57">
        <f t="shared" si="13"/>
        <v>62.5</v>
      </c>
    </row>
    <row r="58" spans="1:13" ht="15" customHeight="1" x14ac:dyDescent="0.3">
      <c r="A58" s="21" t="s">
        <v>221</v>
      </c>
      <c r="B58" s="22" t="s">
        <v>326</v>
      </c>
      <c r="C58" s="23"/>
      <c r="D58" s="24" t="s">
        <v>50</v>
      </c>
      <c r="E58" s="1" t="s">
        <v>49</v>
      </c>
      <c r="F58" s="20" t="s">
        <v>227</v>
      </c>
      <c r="G58">
        <f t="shared" si="7"/>
        <v>50</v>
      </c>
      <c r="H58">
        <f t="shared" si="8"/>
        <v>62.5</v>
      </c>
      <c r="I58">
        <f t="shared" si="9"/>
        <v>37.5</v>
      </c>
      <c r="J58">
        <f t="shared" si="10"/>
        <v>135.87</v>
      </c>
      <c r="K58">
        <f t="shared" si="11"/>
        <v>24.456600000000002</v>
      </c>
      <c r="L58">
        <f t="shared" si="12"/>
        <v>55.53</v>
      </c>
      <c r="M58">
        <f t="shared" si="13"/>
        <v>62.5</v>
      </c>
    </row>
    <row r="59" spans="1:13" ht="15" customHeight="1" x14ac:dyDescent="0.3">
      <c r="A59" s="16" t="s">
        <v>221</v>
      </c>
      <c r="B59" s="17" t="s">
        <v>240</v>
      </c>
      <c r="C59" s="18"/>
      <c r="D59" s="19" t="s">
        <v>50</v>
      </c>
      <c r="E59" s="1" t="s">
        <v>49</v>
      </c>
      <c r="F59" s="20" t="s">
        <v>241</v>
      </c>
      <c r="G59">
        <f t="shared" si="7"/>
        <v>7.5</v>
      </c>
      <c r="H59">
        <f t="shared" si="8"/>
        <v>15</v>
      </c>
      <c r="I59">
        <f t="shared" si="9"/>
        <v>15</v>
      </c>
      <c r="J59">
        <f t="shared" si="10"/>
        <v>32.61</v>
      </c>
      <c r="K59">
        <f t="shared" si="11"/>
        <v>5.8697999999999997</v>
      </c>
      <c r="L59">
        <f t="shared" si="12"/>
        <v>3.54</v>
      </c>
      <c r="M59">
        <f t="shared" si="13"/>
        <v>25</v>
      </c>
    </row>
    <row r="60" spans="1:13" ht="15" customHeight="1" x14ac:dyDescent="0.3">
      <c r="A60" s="21" t="s">
        <v>221</v>
      </c>
      <c r="B60" s="22" t="s">
        <v>243</v>
      </c>
      <c r="C60" s="23"/>
      <c r="D60" s="24" t="s">
        <v>50</v>
      </c>
      <c r="E60" s="1" t="s">
        <v>49</v>
      </c>
      <c r="F60" s="20" t="s">
        <v>241</v>
      </c>
      <c r="G60">
        <f t="shared" si="7"/>
        <v>7.5</v>
      </c>
      <c r="H60">
        <f t="shared" si="8"/>
        <v>15</v>
      </c>
      <c r="I60">
        <f t="shared" si="9"/>
        <v>15</v>
      </c>
      <c r="J60">
        <f t="shared" si="10"/>
        <v>32.61</v>
      </c>
      <c r="K60">
        <f t="shared" si="11"/>
        <v>5.8697999999999997</v>
      </c>
      <c r="L60">
        <f t="shared" si="12"/>
        <v>3.54</v>
      </c>
      <c r="M60">
        <f t="shared" si="13"/>
        <v>25</v>
      </c>
    </row>
    <row r="61" spans="1:13" ht="15" customHeight="1" x14ac:dyDescent="0.3">
      <c r="A61" s="16" t="s">
        <v>221</v>
      </c>
      <c r="B61" s="17" t="s">
        <v>244</v>
      </c>
      <c r="C61" s="18"/>
      <c r="D61" s="19" t="s">
        <v>50</v>
      </c>
      <c r="E61" s="1" t="s">
        <v>49</v>
      </c>
      <c r="F61" s="20" t="s">
        <v>241</v>
      </c>
      <c r="G61">
        <f t="shared" si="7"/>
        <v>7.5</v>
      </c>
      <c r="H61">
        <f t="shared" si="8"/>
        <v>15</v>
      </c>
      <c r="I61">
        <f t="shared" si="9"/>
        <v>15</v>
      </c>
      <c r="J61">
        <f t="shared" si="10"/>
        <v>32.61</v>
      </c>
      <c r="K61">
        <f t="shared" si="11"/>
        <v>5.8697999999999997</v>
      </c>
      <c r="L61">
        <f t="shared" si="12"/>
        <v>3.54</v>
      </c>
      <c r="M61">
        <f t="shared" si="13"/>
        <v>25</v>
      </c>
    </row>
    <row r="62" spans="1:13" ht="15" customHeight="1" x14ac:dyDescent="0.3">
      <c r="A62" s="21" t="s">
        <v>221</v>
      </c>
      <c r="B62" s="22" t="s">
        <v>331</v>
      </c>
      <c r="C62" s="23"/>
      <c r="D62" s="24" t="s">
        <v>50</v>
      </c>
      <c r="E62" s="1" t="s">
        <v>49</v>
      </c>
      <c r="F62" s="20" t="s">
        <v>332</v>
      </c>
      <c r="G62">
        <f t="shared" si="7"/>
        <v>168.75</v>
      </c>
      <c r="H62">
        <f t="shared" si="8"/>
        <v>168.75</v>
      </c>
      <c r="I62">
        <f t="shared" si="9"/>
        <v>168.75</v>
      </c>
      <c r="J62">
        <f t="shared" si="10"/>
        <v>366.85</v>
      </c>
      <c r="K62">
        <f t="shared" si="11"/>
        <v>66.033000000000001</v>
      </c>
      <c r="L62">
        <f t="shared" si="12"/>
        <v>223.3</v>
      </c>
      <c r="M62">
        <f t="shared" si="13"/>
        <v>281.25</v>
      </c>
    </row>
    <row r="63" spans="1:13" ht="15" customHeight="1" x14ac:dyDescent="0.3">
      <c r="A63" s="16" t="s">
        <v>221</v>
      </c>
      <c r="B63" s="17" t="s">
        <v>329</v>
      </c>
      <c r="C63" s="18"/>
      <c r="D63" s="19" t="s">
        <v>50</v>
      </c>
      <c r="E63" s="1" t="s">
        <v>49</v>
      </c>
      <c r="F63" s="20" t="s">
        <v>330</v>
      </c>
      <c r="G63">
        <f t="shared" si="7"/>
        <v>62.5</v>
      </c>
      <c r="H63">
        <f t="shared" si="8"/>
        <v>125</v>
      </c>
      <c r="I63">
        <f t="shared" si="9"/>
        <v>62.5</v>
      </c>
      <c r="J63">
        <f t="shared" si="10"/>
        <v>271.74</v>
      </c>
      <c r="K63">
        <f t="shared" si="11"/>
        <v>48.913200000000003</v>
      </c>
      <c r="L63">
        <f t="shared" si="12"/>
        <v>29.54</v>
      </c>
      <c r="M63">
        <f t="shared" si="13"/>
        <v>104.17</v>
      </c>
    </row>
    <row r="64" spans="1:13" ht="15" customHeight="1" x14ac:dyDescent="0.3">
      <c r="A64" s="21" t="s">
        <v>221</v>
      </c>
      <c r="B64" s="22" t="s">
        <v>389</v>
      </c>
      <c r="C64" s="23"/>
      <c r="D64" s="24" t="s">
        <v>50</v>
      </c>
      <c r="E64" s="1" t="s">
        <v>49</v>
      </c>
      <c r="F64" s="20" t="s">
        <v>390</v>
      </c>
      <c r="G64">
        <f t="shared" si="7"/>
        <v>156.25</v>
      </c>
      <c r="H64">
        <f t="shared" si="8"/>
        <v>112.5</v>
      </c>
      <c r="I64">
        <f t="shared" si="9"/>
        <v>62.5</v>
      </c>
      <c r="J64">
        <f t="shared" si="10"/>
        <v>244.57</v>
      </c>
      <c r="K64">
        <f t="shared" si="11"/>
        <v>44.022599999999997</v>
      </c>
      <c r="L64">
        <f t="shared" si="12"/>
        <v>243.97</v>
      </c>
      <c r="M64">
        <f t="shared" si="13"/>
        <v>104.17</v>
      </c>
    </row>
    <row r="65" spans="1:13" ht="15" customHeight="1" x14ac:dyDescent="0.3">
      <c r="A65" s="16" t="s">
        <v>221</v>
      </c>
      <c r="B65" s="17" t="s">
        <v>804</v>
      </c>
      <c r="C65" s="18"/>
      <c r="D65" s="19" t="s">
        <v>50</v>
      </c>
      <c r="E65" s="1" t="s">
        <v>49</v>
      </c>
      <c r="F65" s="20" t="s">
        <v>441</v>
      </c>
      <c r="G65">
        <f t="shared" si="7"/>
        <v>62.5</v>
      </c>
      <c r="H65">
        <f t="shared" si="8"/>
        <v>31.25</v>
      </c>
      <c r="I65">
        <f t="shared" si="9"/>
        <v>50</v>
      </c>
      <c r="J65">
        <f t="shared" si="10"/>
        <v>67.930000000000007</v>
      </c>
      <c r="K65">
        <f t="shared" si="11"/>
        <v>12.227400000000001</v>
      </c>
      <c r="L65">
        <f t="shared" si="12"/>
        <v>109.29</v>
      </c>
      <c r="M65">
        <f t="shared" si="13"/>
        <v>83.33</v>
      </c>
    </row>
    <row r="66" spans="1:13" ht="15" customHeight="1" x14ac:dyDescent="0.3">
      <c r="A66" s="21" t="s">
        <v>221</v>
      </c>
      <c r="B66" s="22" t="s">
        <v>228</v>
      </c>
      <c r="C66" s="23"/>
      <c r="D66" s="24" t="s">
        <v>50</v>
      </c>
      <c r="E66" s="1" t="s">
        <v>49</v>
      </c>
      <c r="F66" s="20" t="s">
        <v>229</v>
      </c>
      <c r="G66">
        <f t="shared" si="7"/>
        <v>150</v>
      </c>
      <c r="H66">
        <f t="shared" si="8"/>
        <v>75</v>
      </c>
      <c r="I66">
        <f t="shared" si="9"/>
        <v>37.5</v>
      </c>
      <c r="J66">
        <f t="shared" si="10"/>
        <v>163.04</v>
      </c>
      <c r="K66">
        <f t="shared" si="11"/>
        <v>29.347199999999997</v>
      </c>
      <c r="L66">
        <f t="shared" si="12"/>
        <v>262.29000000000002</v>
      </c>
      <c r="M66">
        <f t="shared" si="13"/>
        <v>62.5</v>
      </c>
    </row>
    <row r="67" spans="1:13" ht="15" customHeight="1" x14ac:dyDescent="0.3">
      <c r="A67" s="16" t="s">
        <v>221</v>
      </c>
      <c r="B67" s="17" t="s">
        <v>323</v>
      </c>
      <c r="C67" s="18"/>
      <c r="D67" s="19" t="s">
        <v>50</v>
      </c>
      <c r="E67" s="1" t="s">
        <v>49</v>
      </c>
      <c r="F67" s="20" t="s">
        <v>324</v>
      </c>
      <c r="G67">
        <f t="shared" si="7"/>
        <v>93.75</v>
      </c>
      <c r="H67">
        <f t="shared" si="8"/>
        <v>62.5</v>
      </c>
      <c r="I67">
        <f t="shared" si="9"/>
        <v>62.5</v>
      </c>
      <c r="J67">
        <f t="shared" si="10"/>
        <v>135.87</v>
      </c>
      <c r="K67">
        <f t="shared" si="11"/>
        <v>24.456600000000002</v>
      </c>
      <c r="L67">
        <f t="shared" si="12"/>
        <v>150.63999999999999</v>
      </c>
      <c r="M67">
        <f t="shared" si="13"/>
        <v>104.17</v>
      </c>
    </row>
    <row r="68" spans="1:13" ht="15" customHeight="1" x14ac:dyDescent="0.3">
      <c r="A68" s="21" t="s">
        <v>221</v>
      </c>
      <c r="B68" s="22" t="s">
        <v>333</v>
      </c>
      <c r="C68" s="23"/>
      <c r="D68" s="24" t="s">
        <v>50</v>
      </c>
      <c r="E68" s="1" t="s">
        <v>49</v>
      </c>
      <c r="F68" s="20" t="s">
        <v>334</v>
      </c>
      <c r="G68">
        <f t="shared" si="7"/>
        <v>50</v>
      </c>
      <c r="H68">
        <f t="shared" si="8"/>
        <v>75</v>
      </c>
      <c r="I68">
        <f t="shared" si="9"/>
        <v>150</v>
      </c>
      <c r="J68">
        <f t="shared" si="10"/>
        <v>163.04</v>
      </c>
      <c r="K68">
        <f t="shared" si="11"/>
        <v>29.347199999999997</v>
      </c>
      <c r="L68">
        <f t="shared" si="12"/>
        <v>44.9</v>
      </c>
      <c r="M68">
        <f t="shared" si="13"/>
        <v>250</v>
      </c>
    </row>
    <row r="69" spans="1:13" ht="15" customHeight="1" x14ac:dyDescent="0.3">
      <c r="A69" s="16" t="s">
        <v>221</v>
      </c>
      <c r="B69" s="17" t="s">
        <v>805</v>
      </c>
      <c r="C69" s="18"/>
      <c r="D69" s="19" t="s">
        <v>50</v>
      </c>
      <c r="E69" s="1" t="s">
        <v>49</v>
      </c>
      <c r="F69" s="20" t="s">
        <v>334</v>
      </c>
      <c r="G69">
        <f t="shared" si="7"/>
        <v>50</v>
      </c>
      <c r="H69">
        <f t="shared" si="8"/>
        <v>75</v>
      </c>
      <c r="I69">
        <f t="shared" si="9"/>
        <v>150</v>
      </c>
      <c r="J69">
        <f t="shared" si="10"/>
        <v>163.04</v>
      </c>
      <c r="K69">
        <f t="shared" si="11"/>
        <v>29.347199999999997</v>
      </c>
      <c r="L69">
        <f t="shared" si="12"/>
        <v>44.9</v>
      </c>
      <c r="M69">
        <f t="shared" si="13"/>
        <v>250</v>
      </c>
    </row>
    <row r="70" spans="1:13" ht="18" customHeight="1" x14ac:dyDescent="0.3">
      <c r="A70" s="25" t="s">
        <v>252</v>
      </c>
      <c r="B70" s="25"/>
      <c r="C70" s="25"/>
      <c r="G70" t="str">
        <f t="shared" si="7"/>
        <v/>
      </c>
      <c r="H70" t="str">
        <f t="shared" si="8"/>
        <v/>
      </c>
      <c r="I70" t="str">
        <f t="shared" si="9"/>
        <v/>
      </c>
      <c r="J70" t="str">
        <f t="shared" si="10"/>
        <v/>
      </c>
      <c r="K70" t="str">
        <f t="shared" si="11"/>
        <v/>
      </c>
      <c r="L70" t="str">
        <f t="shared" si="12"/>
        <v/>
      </c>
      <c r="M70" t="str">
        <f t="shared" si="13"/>
        <v/>
      </c>
    </row>
    <row r="71" spans="1:13" ht="15" customHeight="1" x14ac:dyDescent="0.3">
      <c r="A71" s="21" t="s">
        <v>253</v>
      </c>
      <c r="B71" s="22" t="s">
        <v>806</v>
      </c>
      <c r="C71" s="23"/>
      <c r="D71" s="24" t="s">
        <v>50</v>
      </c>
      <c r="E71" s="1" t="s">
        <v>49</v>
      </c>
      <c r="F71" s="20" t="s">
        <v>795</v>
      </c>
      <c r="G71">
        <f t="shared" ref="G71:G89" si="14">IF($F71="","",IFERROR(VALUE(TRIM(LEFT($F71,FIND(":",$F71)-1)))*1.25,"N/A"))</f>
        <v>187.5</v>
      </c>
      <c r="H71">
        <f t="shared" ref="H71:H89" si="15">IF($F71="","",IFERROR(VALUE(TRIM(MID($F71,FIND(":",$F71)+1,FIND(":",$F71,FIND(":",$F71)+1)-FIND(":",$F71)-1)))*1.25,"N/A"))</f>
        <v>75</v>
      </c>
      <c r="I71">
        <f t="shared" ref="I71:I89" si="16">IF($F71="","",IFERROR(VALUE(TRIM(LEFT(MID($F71,FIND(":",$F71,FIND(":",$F71)+1)+1,LEN($F71)),FIND(" ",MID($F71,FIND(":",$F71,FIND(":",$F71)+1)+1,LEN($F71))&amp;" ")-1)))*1.25,"N/A"))</f>
        <v>75</v>
      </c>
      <c r="J71">
        <f t="shared" ref="J71:J89" si="17">IF(OR($F71="",$H71="N/A"),IF($F71="","","N/A"),ROUND($H71/0.46,2))</f>
        <v>163.04</v>
      </c>
      <c r="K71">
        <f t="shared" ref="K71:K89" si="18">IF(OR($F71="",$J71="N/A"),IF($F71="","","N/A"),$J71*0.18)</f>
        <v>29.347199999999997</v>
      </c>
      <c r="L71">
        <f t="shared" ref="L71:L89" si="19">IF(OR($F71="",$G71="N/A",$K71="N/A"),IF($F71="","","N/A"),ROUND(($G71-$K71)/0.46,2))</f>
        <v>343.81</v>
      </c>
      <c r="M71">
        <f t="shared" ref="M71:M89" si="20">IF(OR($F71="",$I71="N/A"),IF($F71="","","N/A"),ROUND($I71/0.6,2))</f>
        <v>125</v>
      </c>
    </row>
    <row r="72" spans="1:13" ht="15" customHeight="1" x14ac:dyDescent="0.3">
      <c r="A72" s="16" t="s">
        <v>253</v>
      </c>
      <c r="B72" s="17" t="s">
        <v>365</v>
      </c>
      <c r="C72" s="18"/>
      <c r="D72" s="19" t="s">
        <v>50</v>
      </c>
      <c r="E72" s="1" t="s">
        <v>49</v>
      </c>
      <c r="F72" s="20" t="s">
        <v>366</v>
      </c>
      <c r="G72">
        <f t="shared" si="14"/>
        <v>93.75</v>
      </c>
      <c r="H72">
        <f t="shared" si="15"/>
        <v>93.75</v>
      </c>
      <c r="I72">
        <f t="shared" si="16"/>
        <v>93.75</v>
      </c>
      <c r="J72">
        <f t="shared" si="17"/>
        <v>203.8</v>
      </c>
      <c r="K72">
        <f t="shared" si="18"/>
        <v>36.683999999999997</v>
      </c>
      <c r="L72">
        <f t="shared" si="19"/>
        <v>124.06</v>
      </c>
      <c r="M72">
        <f t="shared" si="20"/>
        <v>156.25</v>
      </c>
    </row>
    <row r="73" spans="1:13" ht="15" customHeight="1" x14ac:dyDescent="0.3">
      <c r="A73" s="21" t="s">
        <v>253</v>
      </c>
      <c r="B73" s="22" t="s">
        <v>230</v>
      </c>
      <c r="C73" s="23"/>
      <c r="D73" s="24" t="s">
        <v>50</v>
      </c>
      <c r="E73" s="1" t="s">
        <v>49</v>
      </c>
      <c r="F73" s="20" t="s">
        <v>231</v>
      </c>
      <c r="G73">
        <f t="shared" si="14"/>
        <v>125</v>
      </c>
      <c r="H73">
        <f t="shared" si="15"/>
        <v>187.5</v>
      </c>
      <c r="I73">
        <f t="shared" si="16"/>
        <v>93.75</v>
      </c>
      <c r="J73">
        <f t="shared" si="17"/>
        <v>407.61</v>
      </c>
      <c r="K73">
        <f t="shared" si="18"/>
        <v>73.369799999999998</v>
      </c>
      <c r="L73">
        <f t="shared" si="19"/>
        <v>112.24</v>
      </c>
      <c r="M73">
        <f t="shared" si="20"/>
        <v>156.25</v>
      </c>
    </row>
    <row r="74" spans="1:13" ht="15" customHeight="1" x14ac:dyDescent="0.3">
      <c r="A74" s="16" t="s">
        <v>253</v>
      </c>
      <c r="B74" s="17" t="s">
        <v>323</v>
      </c>
      <c r="C74" s="18"/>
      <c r="D74" s="19" t="s">
        <v>50</v>
      </c>
      <c r="E74" s="1" t="s">
        <v>49</v>
      </c>
      <c r="F74" s="20" t="s">
        <v>324</v>
      </c>
      <c r="G74">
        <f t="shared" si="14"/>
        <v>93.75</v>
      </c>
      <c r="H74">
        <f t="shared" si="15"/>
        <v>62.5</v>
      </c>
      <c r="I74">
        <f t="shared" si="16"/>
        <v>62.5</v>
      </c>
      <c r="J74">
        <f t="shared" si="17"/>
        <v>135.87</v>
      </c>
      <c r="K74">
        <f t="shared" si="18"/>
        <v>24.456600000000002</v>
      </c>
      <c r="L74">
        <f t="shared" si="19"/>
        <v>150.63999999999999</v>
      </c>
      <c r="M74">
        <f t="shared" si="20"/>
        <v>104.17</v>
      </c>
    </row>
    <row r="75" spans="1:13" ht="15" customHeight="1" x14ac:dyDescent="0.3">
      <c r="A75" s="21" t="s">
        <v>253</v>
      </c>
      <c r="B75" s="22" t="s">
        <v>257</v>
      </c>
      <c r="C75" s="23"/>
      <c r="D75" s="24" t="s">
        <v>50</v>
      </c>
      <c r="E75" s="1" t="s">
        <v>49</v>
      </c>
      <c r="F75" s="20" t="s">
        <v>160</v>
      </c>
      <c r="G75">
        <f t="shared" si="14"/>
        <v>25</v>
      </c>
      <c r="H75">
        <f t="shared" si="15"/>
        <v>50</v>
      </c>
      <c r="I75">
        <f t="shared" si="16"/>
        <v>25</v>
      </c>
      <c r="J75">
        <f t="shared" si="17"/>
        <v>108.7</v>
      </c>
      <c r="K75">
        <f t="shared" si="18"/>
        <v>19.565999999999999</v>
      </c>
      <c r="L75">
        <f t="shared" si="19"/>
        <v>11.81</v>
      </c>
      <c r="M75">
        <f t="shared" si="20"/>
        <v>41.67</v>
      </c>
    </row>
    <row r="76" spans="1:13" ht="15" customHeight="1" x14ac:dyDescent="0.3">
      <c r="A76" s="16" t="s">
        <v>253</v>
      </c>
      <c r="B76" s="17" t="s">
        <v>255</v>
      </c>
      <c r="C76" s="18"/>
      <c r="D76" s="19" t="s">
        <v>50</v>
      </c>
      <c r="E76" s="1" t="s">
        <v>49</v>
      </c>
      <c r="F76" s="20" t="s">
        <v>256</v>
      </c>
      <c r="G76">
        <f t="shared" si="14"/>
        <v>31.25</v>
      </c>
      <c r="H76">
        <f t="shared" si="15"/>
        <v>75</v>
      </c>
      <c r="I76">
        <f t="shared" si="16"/>
        <v>22.5</v>
      </c>
      <c r="J76">
        <f t="shared" si="17"/>
        <v>163.04</v>
      </c>
      <c r="K76">
        <f t="shared" si="18"/>
        <v>29.347199999999997</v>
      </c>
      <c r="L76">
        <f t="shared" si="19"/>
        <v>4.1399999999999997</v>
      </c>
      <c r="M76">
        <f t="shared" si="20"/>
        <v>37.5</v>
      </c>
    </row>
    <row r="77" spans="1:13" ht="15" customHeight="1" x14ac:dyDescent="0.3">
      <c r="A77" s="21" t="s">
        <v>253</v>
      </c>
      <c r="B77" s="22" t="s">
        <v>228</v>
      </c>
      <c r="C77" s="23"/>
      <c r="D77" s="24" t="s">
        <v>50</v>
      </c>
      <c r="E77" s="1" t="s">
        <v>49</v>
      </c>
      <c r="F77" s="20" t="s">
        <v>229</v>
      </c>
      <c r="G77">
        <f t="shared" si="14"/>
        <v>150</v>
      </c>
      <c r="H77">
        <f t="shared" si="15"/>
        <v>75</v>
      </c>
      <c r="I77">
        <f t="shared" si="16"/>
        <v>37.5</v>
      </c>
      <c r="J77">
        <f t="shared" si="17"/>
        <v>163.04</v>
      </c>
      <c r="K77">
        <f t="shared" si="18"/>
        <v>29.347199999999997</v>
      </c>
      <c r="L77">
        <f t="shared" si="19"/>
        <v>262.29000000000002</v>
      </c>
      <c r="M77">
        <f t="shared" si="20"/>
        <v>62.5</v>
      </c>
    </row>
    <row r="78" spans="1:13" ht="15" customHeight="1" x14ac:dyDescent="0.3">
      <c r="A78" s="16" t="s">
        <v>253</v>
      </c>
      <c r="B78" s="17" t="s">
        <v>440</v>
      </c>
      <c r="C78" s="18"/>
      <c r="D78" s="19" t="s">
        <v>50</v>
      </c>
      <c r="E78" s="1" t="s">
        <v>49</v>
      </c>
      <c r="F78" s="20" t="s">
        <v>441</v>
      </c>
      <c r="G78">
        <f t="shared" si="14"/>
        <v>62.5</v>
      </c>
      <c r="H78">
        <f t="shared" si="15"/>
        <v>31.25</v>
      </c>
      <c r="I78">
        <f t="shared" si="16"/>
        <v>50</v>
      </c>
      <c r="J78">
        <f t="shared" si="17"/>
        <v>67.930000000000007</v>
      </c>
      <c r="K78">
        <f t="shared" si="18"/>
        <v>12.227400000000001</v>
      </c>
      <c r="L78">
        <f t="shared" si="19"/>
        <v>109.29</v>
      </c>
      <c r="M78">
        <f t="shared" si="20"/>
        <v>83.33</v>
      </c>
    </row>
    <row r="79" spans="1:13" ht="15" customHeight="1" x14ac:dyDescent="0.3">
      <c r="A79" s="21" t="s">
        <v>253</v>
      </c>
      <c r="B79" s="22" t="s">
        <v>454</v>
      </c>
      <c r="C79" s="23"/>
      <c r="D79" s="24" t="s">
        <v>50</v>
      </c>
      <c r="E79" s="1" t="s">
        <v>49</v>
      </c>
      <c r="F79" s="20" t="s">
        <v>298</v>
      </c>
      <c r="G79">
        <f t="shared" si="14"/>
        <v>75</v>
      </c>
      <c r="H79">
        <f t="shared" si="15"/>
        <v>37.5</v>
      </c>
      <c r="I79">
        <f t="shared" si="16"/>
        <v>37.5</v>
      </c>
      <c r="J79">
        <f t="shared" si="17"/>
        <v>81.52</v>
      </c>
      <c r="K79">
        <f t="shared" si="18"/>
        <v>14.673599999999999</v>
      </c>
      <c r="L79">
        <f t="shared" si="19"/>
        <v>131.13999999999999</v>
      </c>
      <c r="M79">
        <f t="shared" si="20"/>
        <v>62.5</v>
      </c>
    </row>
    <row r="80" spans="1:13" ht="15" customHeight="1" x14ac:dyDescent="0.3">
      <c r="A80" s="16" t="s">
        <v>253</v>
      </c>
      <c r="B80" s="17" t="s">
        <v>439</v>
      </c>
      <c r="C80" s="18"/>
      <c r="D80" s="19" t="s">
        <v>50</v>
      </c>
      <c r="E80" s="1" t="s">
        <v>49</v>
      </c>
      <c r="F80" s="20" t="s">
        <v>149</v>
      </c>
      <c r="G80">
        <f t="shared" si="14"/>
        <v>50</v>
      </c>
      <c r="H80">
        <f t="shared" si="15"/>
        <v>25</v>
      </c>
      <c r="I80">
        <f t="shared" si="16"/>
        <v>25</v>
      </c>
      <c r="J80">
        <f t="shared" si="17"/>
        <v>54.35</v>
      </c>
      <c r="K80">
        <f t="shared" si="18"/>
        <v>9.7829999999999995</v>
      </c>
      <c r="L80">
        <f t="shared" si="19"/>
        <v>87.43</v>
      </c>
      <c r="M80">
        <f t="shared" si="20"/>
        <v>41.67</v>
      </c>
    </row>
    <row r="81" spans="1:13" ht="18" customHeight="1" x14ac:dyDescent="0.3">
      <c r="A81" s="25" t="s">
        <v>263</v>
      </c>
      <c r="B81" s="25"/>
      <c r="C81" s="25"/>
      <c r="G81" t="str">
        <f t="shared" si="14"/>
        <v/>
      </c>
      <c r="H81" t="str">
        <f t="shared" si="15"/>
        <v/>
      </c>
      <c r="I81" t="str">
        <f t="shared" si="16"/>
        <v/>
      </c>
      <c r="J81" t="str">
        <f t="shared" si="17"/>
        <v/>
      </c>
      <c r="K81" t="str">
        <f t="shared" si="18"/>
        <v/>
      </c>
      <c r="L81" t="str">
        <f t="shared" si="19"/>
        <v/>
      </c>
      <c r="M81" t="str">
        <f t="shared" si="20"/>
        <v/>
      </c>
    </row>
    <row r="82" spans="1:13" ht="15" customHeight="1" x14ac:dyDescent="0.3">
      <c r="A82" s="21" t="s">
        <v>264</v>
      </c>
      <c r="B82" s="22" t="s">
        <v>182</v>
      </c>
      <c r="C82" s="23"/>
      <c r="D82" s="24" t="s">
        <v>50</v>
      </c>
      <c r="E82" s="1" t="s">
        <v>49</v>
      </c>
      <c r="F82" s="20" t="s">
        <v>183</v>
      </c>
      <c r="G82">
        <f t="shared" si="14"/>
        <v>350</v>
      </c>
      <c r="H82">
        <f t="shared" si="15"/>
        <v>112.5</v>
      </c>
      <c r="I82">
        <f t="shared" si="16"/>
        <v>112.5</v>
      </c>
      <c r="J82">
        <f t="shared" si="17"/>
        <v>244.57</v>
      </c>
      <c r="K82">
        <f t="shared" si="18"/>
        <v>44.022599999999997</v>
      </c>
      <c r="L82">
        <f t="shared" si="19"/>
        <v>665.17</v>
      </c>
      <c r="M82">
        <f t="shared" si="20"/>
        <v>187.5</v>
      </c>
    </row>
    <row r="83" spans="1:13" ht="15" customHeight="1" x14ac:dyDescent="0.3">
      <c r="A83" s="16" t="s">
        <v>264</v>
      </c>
      <c r="B83" s="17" t="s">
        <v>807</v>
      </c>
      <c r="C83" s="18"/>
      <c r="D83" s="19" t="s">
        <v>50</v>
      </c>
      <c r="E83" s="1" t="s">
        <v>49</v>
      </c>
      <c r="F83" s="20" t="s">
        <v>456</v>
      </c>
      <c r="G83" t="str">
        <f t="shared" si="14"/>
        <v>N/A</v>
      </c>
      <c r="H83" t="str">
        <f t="shared" si="15"/>
        <v>N/A</v>
      </c>
      <c r="I83" t="str">
        <f t="shared" si="16"/>
        <v>N/A</v>
      </c>
      <c r="J83" t="str">
        <f t="shared" si="17"/>
        <v>N/A</v>
      </c>
      <c r="K83" t="str">
        <f t="shared" si="18"/>
        <v>N/A</v>
      </c>
      <c r="L83" t="str">
        <f t="shared" si="19"/>
        <v>N/A</v>
      </c>
      <c r="M83" t="str">
        <f t="shared" si="20"/>
        <v>N/A</v>
      </c>
    </row>
    <row r="84" spans="1:13" ht="18" customHeight="1" x14ac:dyDescent="0.3">
      <c r="A84" s="25" t="s">
        <v>269</v>
      </c>
      <c r="B84" s="25"/>
      <c r="C84" s="25"/>
      <c r="G84" t="str">
        <f t="shared" si="14"/>
        <v/>
      </c>
      <c r="H84" t="str">
        <f t="shared" si="15"/>
        <v/>
      </c>
      <c r="I84" t="str">
        <f t="shared" si="16"/>
        <v/>
      </c>
      <c r="J84" t="str">
        <f t="shared" si="17"/>
        <v/>
      </c>
      <c r="K84" t="str">
        <f t="shared" si="18"/>
        <v/>
      </c>
      <c r="L84" t="str">
        <f t="shared" si="19"/>
        <v/>
      </c>
      <c r="M84" t="str">
        <f t="shared" si="20"/>
        <v/>
      </c>
    </row>
    <row r="85" spans="1:13" ht="15" customHeight="1" x14ac:dyDescent="0.3">
      <c r="A85" s="21" t="s">
        <v>270</v>
      </c>
      <c r="B85" s="22" t="s">
        <v>808</v>
      </c>
      <c r="C85" s="23"/>
      <c r="D85" s="24" t="s">
        <v>50</v>
      </c>
      <c r="E85" s="1" t="s">
        <v>49</v>
      </c>
      <c r="F85" s="20" t="s">
        <v>241</v>
      </c>
      <c r="G85">
        <f t="shared" si="14"/>
        <v>7.5</v>
      </c>
      <c r="H85">
        <f t="shared" si="15"/>
        <v>15</v>
      </c>
      <c r="I85">
        <f t="shared" si="16"/>
        <v>15</v>
      </c>
      <c r="J85">
        <f t="shared" si="17"/>
        <v>32.61</v>
      </c>
      <c r="K85">
        <f t="shared" si="18"/>
        <v>5.8697999999999997</v>
      </c>
      <c r="L85">
        <f t="shared" si="19"/>
        <v>3.54</v>
      </c>
      <c r="M85">
        <f t="shared" si="20"/>
        <v>25</v>
      </c>
    </row>
    <row r="86" spans="1:13" ht="15" customHeight="1" x14ac:dyDescent="0.3">
      <c r="A86" s="16" t="s">
        <v>270</v>
      </c>
      <c r="B86" s="17" t="s">
        <v>272</v>
      </c>
      <c r="C86" s="18"/>
      <c r="D86" s="19" t="s">
        <v>50</v>
      </c>
      <c r="E86" s="1" t="s">
        <v>49</v>
      </c>
      <c r="F86" s="20" t="s">
        <v>273</v>
      </c>
      <c r="G86">
        <f t="shared" si="14"/>
        <v>112.5</v>
      </c>
      <c r="H86">
        <f t="shared" si="15"/>
        <v>112.5</v>
      </c>
      <c r="I86">
        <f t="shared" si="16"/>
        <v>93.75</v>
      </c>
      <c r="J86">
        <f t="shared" si="17"/>
        <v>244.57</v>
      </c>
      <c r="K86">
        <f t="shared" si="18"/>
        <v>44.022599999999997</v>
      </c>
      <c r="L86">
        <f t="shared" si="19"/>
        <v>148.86000000000001</v>
      </c>
      <c r="M86">
        <f t="shared" si="20"/>
        <v>156.25</v>
      </c>
    </row>
    <row r="87" spans="1:13" ht="15" customHeight="1" x14ac:dyDescent="0.3">
      <c r="A87" s="21" t="s">
        <v>270</v>
      </c>
      <c r="B87" s="22" t="s">
        <v>278</v>
      </c>
      <c r="C87" s="23"/>
      <c r="D87" s="24" t="s">
        <v>50</v>
      </c>
      <c r="E87" s="1" t="s">
        <v>49</v>
      </c>
      <c r="F87" s="20" t="s">
        <v>279</v>
      </c>
      <c r="G87">
        <f t="shared" si="14"/>
        <v>250</v>
      </c>
      <c r="H87">
        <f t="shared" si="15"/>
        <v>250</v>
      </c>
      <c r="I87">
        <f t="shared" si="16"/>
        <v>250</v>
      </c>
      <c r="J87">
        <f t="shared" si="17"/>
        <v>543.48</v>
      </c>
      <c r="K87">
        <f t="shared" si="18"/>
        <v>97.826400000000007</v>
      </c>
      <c r="L87">
        <f t="shared" si="19"/>
        <v>330.81</v>
      </c>
      <c r="M87">
        <f t="shared" si="20"/>
        <v>416.67</v>
      </c>
    </row>
    <row r="88" spans="1:13" ht="15" customHeight="1" x14ac:dyDescent="0.3">
      <c r="A88" s="16" t="s">
        <v>270</v>
      </c>
      <c r="B88" s="17" t="s">
        <v>445</v>
      </c>
      <c r="C88" s="18"/>
      <c r="D88" s="19" t="s">
        <v>50</v>
      </c>
      <c r="E88" s="1" t="s">
        <v>49</v>
      </c>
      <c r="F88" s="20" t="s">
        <v>446</v>
      </c>
      <c r="G88">
        <f t="shared" si="14"/>
        <v>150</v>
      </c>
      <c r="H88">
        <f t="shared" si="15"/>
        <v>187.5</v>
      </c>
      <c r="I88">
        <f t="shared" si="16"/>
        <v>187.5</v>
      </c>
      <c r="J88">
        <f t="shared" si="17"/>
        <v>407.61</v>
      </c>
      <c r="K88">
        <f t="shared" si="18"/>
        <v>73.369799999999998</v>
      </c>
      <c r="L88">
        <f t="shared" si="19"/>
        <v>166.59</v>
      </c>
      <c r="M88">
        <f t="shared" si="20"/>
        <v>312.5</v>
      </c>
    </row>
    <row r="89" spans="1:13" ht="15" customHeight="1" x14ac:dyDescent="0.3">
      <c r="A89" s="21" t="s">
        <v>270</v>
      </c>
      <c r="B89" s="22" t="s">
        <v>276</v>
      </c>
      <c r="C89" s="23"/>
      <c r="D89" s="24" t="s">
        <v>50</v>
      </c>
      <c r="E89" s="1" t="s">
        <v>49</v>
      </c>
      <c r="F89" s="20" t="s">
        <v>277</v>
      </c>
      <c r="G89">
        <f t="shared" si="14"/>
        <v>156.25</v>
      </c>
      <c r="H89">
        <f t="shared" si="15"/>
        <v>150</v>
      </c>
      <c r="I89">
        <f t="shared" si="16"/>
        <v>31.25</v>
      </c>
      <c r="J89">
        <f t="shared" si="17"/>
        <v>326.08999999999997</v>
      </c>
      <c r="K89">
        <f t="shared" si="18"/>
        <v>58.69619999999999</v>
      </c>
      <c r="L89">
        <f t="shared" si="19"/>
        <v>212.07</v>
      </c>
      <c r="M89">
        <f t="shared" si="20"/>
        <v>52.08</v>
      </c>
    </row>
  </sheetData>
  <mergeCells count="13">
    <mergeCell ref="A1:C1"/>
    <mergeCell ref="A2:C2"/>
    <mergeCell ref="A3:C3"/>
    <mergeCell ref="A4:C4"/>
    <mergeCell ref="A7:C7"/>
    <mergeCell ref="A70:C70"/>
    <mergeCell ref="A81:C81"/>
    <mergeCell ref="A84:C84"/>
    <mergeCell ref="A14:C14"/>
    <mergeCell ref="A23:C23"/>
    <mergeCell ref="A31:C31"/>
    <mergeCell ref="A36:C36"/>
    <mergeCell ref="A49:C4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388E3C"/>
  </sheetPr>
  <dimension ref="A1:M84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809</v>
      </c>
      <c r="B1" s="26"/>
      <c r="C1" s="26"/>
    </row>
    <row r="2" spans="1:13" ht="19.5" customHeight="1" x14ac:dyDescent="0.3">
      <c r="A2" s="27" t="s">
        <v>810</v>
      </c>
      <c r="B2" s="27"/>
      <c r="C2" s="27"/>
    </row>
    <row r="3" spans="1:13" ht="19.5" customHeight="1" x14ac:dyDescent="0.3">
      <c r="A3" s="27" t="s">
        <v>811</v>
      </c>
      <c r="B3" s="27"/>
      <c r="C3" s="27"/>
    </row>
    <row r="4" spans="1:13" ht="19.5" customHeight="1" x14ac:dyDescent="0.3">
      <c r="A4" s="27" t="s">
        <v>812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813</v>
      </c>
      <c r="C8" s="18"/>
      <c r="D8" s="19" t="s">
        <v>121</v>
      </c>
      <c r="E8" s="1" t="s">
        <v>41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121</v>
      </c>
      <c r="E9" s="1" t="s">
        <v>41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121</v>
      </c>
      <c r="E10" s="1" t="s">
        <v>41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814</v>
      </c>
      <c r="C11" s="23"/>
      <c r="D11" s="24" t="s">
        <v>121</v>
      </c>
      <c r="E11" s="1" t="s">
        <v>41</v>
      </c>
      <c r="F11" s="20" t="s">
        <v>149</v>
      </c>
      <c r="G11">
        <f t="shared" si="0"/>
        <v>50</v>
      </c>
      <c r="H11">
        <f t="shared" si="1"/>
        <v>25</v>
      </c>
      <c r="I11">
        <f t="shared" si="2"/>
        <v>25</v>
      </c>
      <c r="J11">
        <f t="shared" si="3"/>
        <v>54.35</v>
      </c>
      <c r="K11">
        <f t="shared" si="4"/>
        <v>9.7829999999999995</v>
      </c>
      <c r="L11">
        <f t="shared" si="5"/>
        <v>87.43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815</v>
      </c>
      <c r="C12" s="18"/>
      <c r="D12" s="19" t="s">
        <v>121</v>
      </c>
      <c r="E12" s="1" t="s">
        <v>41</v>
      </c>
      <c r="F12" s="20" t="s">
        <v>149</v>
      </c>
      <c r="G12">
        <f t="shared" si="0"/>
        <v>50</v>
      </c>
      <c r="H12">
        <f t="shared" si="1"/>
        <v>25</v>
      </c>
      <c r="I12">
        <f t="shared" si="2"/>
        <v>25</v>
      </c>
      <c r="J12">
        <f t="shared" si="3"/>
        <v>54.35</v>
      </c>
      <c r="K12">
        <f t="shared" si="4"/>
        <v>9.7829999999999995</v>
      </c>
      <c r="L12">
        <f t="shared" si="5"/>
        <v>87.43</v>
      </c>
      <c r="M12">
        <f t="shared" si="6"/>
        <v>41.67</v>
      </c>
    </row>
    <row r="13" spans="1:13" ht="15" customHeight="1" x14ac:dyDescent="0.3">
      <c r="A13" s="21" t="s">
        <v>141</v>
      </c>
      <c r="B13" s="22" t="s">
        <v>816</v>
      </c>
      <c r="C13" s="23"/>
      <c r="D13" s="24" t="s">
        <v>121</v>
      </c>
      <c r="E13" s="1" t="s">
        <v>41</v>
      </c>
      <c r="F13" s="20" t="s">
        <v>288</v>
      </c>
      <c r="G13">
        <f t="shared" si="0"/>
        <v>50</v>
      </c>
      <c r="H13">
        <f t="shared" si="1"/>
        <v>25</v>
      </c>
      <c r="I13">
        <f t="shared" si="2"/>
        <v>25</v>
      </c>
      <c r="J13">
        <f t="shared" si="3"/>
        <v>54.35</v>
      </c>
      <c r="K13">
        <f t="shared" si="4"/>
        <v>9.7829999999999995</v>
      </c>
      <c r="L13">
        <f t="shared" si="5"/>
        <v>87.43</v>
      </c>
      <c r="M13">
        <f t="shared" si="6"/>
        <v>41.67</v>
      </c>
    </row>
    <row r="14" spans="1:13" ht="15" customHeight="1" x14ac:dyDescent="0.3">
      <c r="A14" s="16" t="s">
        <v>141</v>
      </c>
      <c r="B14" s="17" t="s">
        <v>817</v>
      </c>
      <c r="C14" s="18"/>
      <c r="D14" s="19" t="s">
        <v>121</v>
      </c>
      <c r="E14" s="1" t="s">
        <v>41</v>
      </c>
      <c r="F14" s="20" t="s">
        <v>149</v>
      </c>
      <c r="G14">
        <f t="shared" si="0"/>
        <v>50</v>
      </c>
      <c r="H14">
        <f t="shared" si="1"/>
        <v>25</v>
      </c>
      <c r="I14">
        <f t="shared" si="2"/>
        <v>25</v>
      </c>
      <c r="J14">
        <f t="shared" si="3"/>
        <v>54.35</v>
      </c>
      <c r="K14">
        <f t="shared" si="4"/>
        <v>9.7829999999999995</v>
      </c>
      <c r="L14">
        <f t="shared" si="5"/>
        <v>87.43</v>
      </c>
      <c r="M14">
        <f t="shared" si="6"/>
        <v>41.67</v>
      </c>
    </row>
    <row r="15" spans="1:13" ht="15" customHeight="1" x14ac:dyDescent="0.3">
      <c r="A15" s="21" t="s">
        <v>141</v>
      </c>
      <c r="B15" s="22" t="s">
        <v>373</v>
      </c>
      <c r="C15" s="23"/>
      <c r="D15" s="24" t="s">
        <v>121</v>
      </c>
      <c r="E15" s="1" t="s">
        <v>41</v>
      </c>
      <c r="F15" s="20" t="s">
        <v>374</v>
      </c>
      <c r="G15">
        <f t="shared" si="0"/>
        <v>75</v>
      </c>
      <c r="H15">
        <f t="shared" si="1"/>
        <v>37.5</v>
      </c>
      <c r="I15">
        <f t="shared" si="2"/>
        <v>25</v>
      </c>
      <c r="J15">
        <f t="shared" si="3"/>
        <v>81.52</v>
      </c>
      <c r="K15">
        <f t="shared" si="4"/>
        <v>14.673599999999999</v>
      </c>
      <c r="L15">
        <f t="shared" si="5"/>
        <v>131.13999999999999</v>
      </c>
      <c r="M15">
        <f t="shared" si="6"/>
        <v>41.67</v>
      </c>
    </row>
    <row r="16" spans="1:13" ht="15" customHeight="1" x14ac:dyDescent="0.3">
      <c r="A16" s="16" t="s">
        <v>141</v>
      </c>
      <c r="B16" s="17" t="s">
        <v>462</v>
      </c>
      <c r="C16" s="18"/>
      <c r="D16" s="19" t="s">
        <v>121</v>
      </c>
      <c r="E16" s="1" t="s">
        <v>41</v>
      </c>
      <c r="F16" s="20" t="s">
        <v>463</v>
      </c>
      <c r="G16">
        <f t="shared" si="0"/>
        <v>106.25</v>
      </c>
      <c r="H16">
        <f t="shared" si="1"/>
        <v>43.75</v>
      </c>
      <c r="I16">
        <f t="shared" si="2"/>
        <v>50</v>
      </c>
      <c r="J16">
        <f t="shared" si="3"/>
        <v>95.11</v>
      </c>
      <c r="K16">
        <f t="shared" si="4"/>
        <v>17.119799999999998</v>
      </c>
      <c r="L16">
        <f t="shared" si="5"/>
        <v>193.76</v>
      </c>
      <c r="M16">
        <f t="shared" si="6"/>
        <v>83.33</v>
      </c>
    </row>
    <row r="17" spans="1:13" ht="18" customHeight="1" x14ac:dyDescent="0.3">
      <c r="A17" s="25" t="s">
        <v>155</v>
      </c>
      <c r="B17" s="25"/>
      <c r="C17" s="25"/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 t="shared" si="4"/>
        <v/>
      </c>
      <c r="L17" t="str">
        <f t="shared" si="5"/>
        <v/>
      </c>
      <c r="M17" t="str">
        <f t="shared" si="6"/>
        <v/>
      </c>
    </row>
    <row r="18" spans="1:13" ht="15" customHeight="1" x14ac:dyDescent="0.3">
      <c r="A18" s="21" t="s">
        <v>156</v>
      </c>
      <c r="B18" s="22" t="s">
        <v>501</v>
      </c>
      <c r="C18" s="23"/>
      <c r="D18" s="24" t="s">
        <v>121</v>
      </c>
      <c r="E18" s="1" t="s">
        <v>41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166</v>
      </c>
      <c r="C19" s="18"/>
      <c r="D19" s="19" t="s">
        <v>121</v>
      </c>
      <c r="E19" s="1" t="s">
        <v>41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292</v>
      </c>
      <c r="C20" s="23"/>
      <c r="D20" s="24" t="s">
        <v>121</v>
      </c>
      <c r="E20" s="1" t="s">
        <v>41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5" customHeight="1" x14ac:dyDescent="0.3">
      <c r="A21" s="16" t="s">
        <v>156</v>
      </c>
      <c r="B21" s="17" t="s">
        <v>293</v>
      </c>
      <c r="C21" s="18"/>
      <c r="D21" s="19" t="s">
        <v>121</v>
      </c>
      <c r="E21" s="1" t="s">
        <v>41</v>
      </c>
      <c r="F21" s="20" t="s">
        <v>160</v>
      </c>
      <c r="G21">
        <f t="shared" si="0"/>
        <v>25</v>
      </c>
      <c r="H21">
        <f t="shared" si="1"/>
        <v>50</v>
      </c>
      <c r="I21">
        <f t="shared" si="2"/>
        <v>25</v>
      </c>
      <c r="J21">
        <f t="shared" si="3"/>
        <v>108.7</v>
      </c>
      <c r="K21">
        <f t="shared" si="4"/>
        <v>19.565999999999999</v>
      </c>
      <c r="L21">
        <f t="shared" si="5"/>
        <v>11.81</v>
      </c>
      <c r="M21">
        <f t="shared" si="6"/>
        <v>41.67</v>
      </c>
    </row>
    <row r="22" spans="1:13" ht="15" customHeight="1" x14ac:dyDescent="0.3">
      <c r="A22" s="21" t="s">
        <v>156</v>
      </c>
      <c r="B22" s="22" t="s">
        <v>163</v>
      </c>
      <c r="C22" s="23"/>
      <c r="D22" s="24" t="s">
        <v>121</v>
      </c>
      <c r="E22" s="1" t="s">
        <v>41</v>
      </c>
      <c r="F22" s="20" t="s">
        <v>164</v>
      </c>
      <c r="G22">
        <f t="shared" si="0"/>
        <v>12.5</v>
      </c>
      <c r="H22">
        <f t="shared" si="1"/>
        <v>25</v>
      </c>
      <c r="I22">
        <f t="shared" si="2"/>
        <v>12.5</v>
      </c>
      <c r="J22">
        <f t="shared" si="3"/>
        <v>54.35</v>
      </c>
      <c r="K22">
        <f t="shared" si="4"/>
        <v>9.7829999999999995</v>
      </c>
      <c r="L22">
        <f t="shared" si="5"/>
        <v>5.91</v>
      </c>
      <c r="M22">
        <f t="shared" si="6"/>
        <v>20.83</v>
      </c>
    </row>
    <row r="23" spans="1:13" ht="15" customHeight="1" x14ac:dyDescent="0.3">
      <c r="A23" s="16" t="s">
        <v>156</v>
      </c>
      <c r="B23" s="17" t="s">
        <v>818</v>
      </c>
      <c r="C23" s="18"/>
      <c r="D23" s="19" t="s">
        <v>121</v>
      </c>
      <c r="E23" s="1" t="s">
        <v>41</v>
      </c>
      <c r="F23" s="20" t="s">
        <v>164</v>
      </c>
      <c r="G23">
        <f t="shared" si="0"/>
        <v>12.5</v>
      </c>
      <c r="H23">
        <f t="shared" si="1"/>
        <v>25</v>
      </c>
      <c r="I23">
        <f t="shared" si="2"/>
        <v>12.5</v>
      </c>
      <c r="J23">
        <f t="shared" si="3"/>
        <v>54.35</v>
      </c>
      <c r="K23">
        <f t="shared" si="4"/>
        <v>9.7829999999999995</v>
      </c>
      <c r="L23">
        <f t="shared" si="5"/>
        <v>5.91</v>
      </c>
      <c r="M23">
        <f t="shared" si="6"/>
        <v>20.83</v>
      </c>
    </row>
    <row r="24" spans="1:13" ht="15" customHeight="1" x14ac:dyDescent="0.3">
      <c r="A24" s="21" t="s">
        <v>156</v>
      </c>
      <c r="B24" s="22" t="s">
        <v>327</v>
      </c>
      <c r="C24" s="23"/>
      <c r="D24" s="24" t="s">
        <v>121</v>
      </c>
      <c r="E24" s="1" t="s">
        <v>41</v>
      </c>
      <c r="F24" s="20" t="s">
        <v>328</v>
      </c>
      <c r="G24">
        <f t="shared" si="0"/>
        <v>150</v>
      </c>
      <c r="H24">
        <f t="shared" si="1"/>
        <v>100</v>
      </c>
      <c r="I24">
        <f t="shared" si="2"/>
        <v>87.5</v>
      </c>
      <c r="J24">
        <f t="shared" si="3"/>
        <v>217.39</v>
      </c>
      <c r="K24">
        <f t="shared" si="4"/>
        <v>39.130199999999995</v>
      </c>
      <c r="L24">
        <f t="shared" si="5"/>
        <v>241.02</v>
      </c>
      <c r="M24">
        <f t="shared" si="6"/>
        <v>145.83000000000001</v>
      </c>
    </row>
    <row r="25" spans="1:13" ht="15" customHeight="1" x14ac:dyDescent="0.3">
      <c r="A25" s="16" t="s">
        <v>156</v>
      </c>
      <c r="B25" s="17" t="s">
        <v>819</v>
      </c>
      <c r="C25" s="18"/>
      <c r="D25" s="19" t="s">
        <v>121</v>
      </c>
      <c r="E25" s="1" t="s">
        <v>41</v>
      </c>
      <c r="F25" s="20" t="s">
        <v>160</v>
      </c>
      <c r="G25">
        <f t="shared" si="0"/>
        <v>25</v>
      </c>
      <c r="H25">
        <f t="shared" si="1"/>
        <v>50</v>
      </c>
      <c r="I25">
        <f t="shared" si="2"/>
        <v>25</v>
      </c>
      <c r="J25">
        <f t="shared" si="3"/>
        <v>108.7</v>
      </c>
      <c r="K25">
        <f t="shared" si="4"/>
        <v>19.565999999999999</v>
      </c>
      <c r="L25">
        <f t="shared" si="5"/>
        <v>11.81</v>
      </c>
      <c r="M25">
        <f t="shared" si="6"/>
        <v>41.67</v>
      </c>
    </row>
    <row r="26" spans="1:13" ht="18" customHeight="1" x14ac:dyDescent="0.3">
      <c r="A26" s="25" t="s">
        <v>167</v>
      </c>
      <c r="B26" s="25"/>
      <c r="C26" s="25"/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  <c r="L26" t="str">
        <f t="shared" si="5"/>
        <v/>
      </c>
      <c r="M26" t="str">
        <f t="shared" si="6"/>
        <v/>
      </c>
    </row>
    <row r="27" spans="1:13" ht="15" customHeight="1" x14ac:dyDescent="0.3">
      <c r="A27" s="21" t="s">
        <v>168</v>
      </c>
      <c r="B27" s="22" t="s">
        <v>175</v>
      </c>
      <c r="C27" s="23"/>
      <c r="D27" s="24" t="s">
        <v>121</v>
      </c>
      <c r="E27" s="1" t="s">
        <v>41</v>
      </c>
      <c r="F27" s="20" t="s">
        <v>147</v>
      </c>
      <c r="G27">
        <f t="shared" si="0"/>
        <v>100</v>
      </c>
      <c r="H27">
        <f t="shared" si="1"/>
        <v>50</v>
      </c>
      <c r="I27">
        <f t="shared" si="2"/>
        <v>50</v>
      </c>
      <c r="J27">
        <f t="shared" si="3"/>
        <v>108.7</v>
      </c>
      <c r="K27">
        <f t="shared" si="4"/>
        <v>19.565999999999999</v>
      </c>
      <c r="L27">
        <f t="shared" si="5"/>
        <v>174.86</v>
      </c>
      <c r="M27">
        <f t="shared" si="6"/>
        <v>83.33</v>
      </c>
    </row>
    <row r="28" spans="1:13" ht="15" customHeight="1" x14ac:dyDescent="0.3">
      <c r="A28" s="16" t="s">
        <v>168</v>
      </c>
      <c r="B28" s="17" t="s">
        <v>295</v>
      </c>
      <c r="C28" s="18"/>
      <c r="D28" s="19" t="s">
        <v>121</v>
      </c>
      <c r="E28" s="1" t="s">
        <v>41</v>
      </c>
      <c r="F28" s="20" t="s">
        <v>149</v>
      </c>
      <c r="G28">
        <f t="shared" si="0"/>
        <v>50</v>
      </c>
      <c r="H28">
        <f t="shared" si="1"/>
        <v>25</v>
      </c>
      <c r="I28">
        <f t="shared" si="2"/>
        <v>25</v>
      </c>
      <c r="J28">
        <f t="shared" si="3"/>
        <v>54.35</v>
      </c>
      <c r="K28">
        <f t="shared" si="4"/>
        <v>9.7829999999999995</v>
      </c>
      <c r="L28">
        <f t="shared" si="5"/>
        <v>87.43</v>
      </c>
      <c r="M28">
        <f t="shared" si="6"/>
        <v>41.67</v>
      </c>
    </row>
    <row r="29" spans="1:13" ht="15" customHeight="1" x14ac:dyDescent="0.3">
      <c r="A29" s="21" t="s">
        <v>168</v>
      </c>
      <c r="B29" s="22" t="s">
        <v>294</v>
      </c>
      <c r="C29" s="23"/>
      <c r="D29" s="24" t="s">
        <v>121</v>
      </c>
      <c r="E29" s="1" t="s">
        <v>41</v>
      </c>
      <c r="F29" s="20" t="s">
        <v>149</v>
      </c>
      <c r="G29">
        <f t="shared" si="0"/>
        <v>50</v>
      </c>
      <c r="H29">
        <f t="shared" si="1"/>
        <v>25</v>
      </c>
      <c r="I29">
        <f t="shared" si="2"/>
        <v>25</v>
      </c>
      <c r="J29">
        <f t="shared" si="3"/>
        <v>54.35</v>
      </c>
      <c r="K29">
        <f t="shared" si="4"/>
        <v>9.7829999999999995</v>
      </c>
      <c r="L29">
        <f t="shared" si="5"/>
        <v>87.43</v>
      </c>
      <c r="M29">
        <f t="shared" si="6"/>
        <v>41.67</v>
      </c>
    </row>
    <row r="30" spans="1:13" ht="15" customHeight="1" x14ac:dyDescent="0.3">
      <c r="A30" s="16" t="s">
        <v>168</v>
      </c>
      <c r="B30" s="17" t="s">
        <v>172</v>
      </c>
      <c r="C30" s="18"/>
      <c r="D30" s="19" t="s">
        <v>121</v>
      </c>
      <c r="E30" s="1" t="s">
        <v>41</v>
      </c>
      <c r="F30" s="20" t="s">
        <v>173</v>
      </c>
      <c r="G30">
        <f t="shared" si="0"/>
        <v>75</v>
      </c>
      <c r="H30">
        <f t="shared" si="1"/>
        <v>112.5</v>
      </c>
      <c r="I30">
        <f t="shared" si="2"/>
        <v>75</v>
      </c>
      <c r="J30">
        <f t="shared" si="3"/>
        <v>244.57</v>
      </c>
      <c r="K30">
        <f t="shared" si="4"/>
        <v>44.022599999999997</v>
      </c>
      <c r="L30">
        <f t="shared" si="5"/>
        <v>67.34</v>
      </c>
      <c r="M30">
        <f t="shared" si="6"/>
        <v>125</v>
      </c>
    </row>
    <row r="31" spans="1:13" ht="15" customHeight="1" x14ac:dyDescent="0.3">
      <c r="A31" s="21" t="s">
        <v>168</v>
      </c>
      <c r="B31" s="22" t="s">
        <v>751</v>
      </c>
      <c r="C31" s="23"/>
      <c r="D31" s="24" t="s">
        <v>121</v>
      </c>
      <c r="E31" s="1" t="s">
        <v>41</v>
      </c>
      <c r="F31" s="20" t="s">
        <v>177</v>
      </c>
      <c r="G31">
        <f t="shared" si="0"/>
        <v>25</v>
      </c>
      <c r="H31">
        <f t="shared" si="1"/>
        <v>75</v>
      </c>
      <c r="I31">
        <f t="shared" si="2"/>
        <v>50</v>
      </c>
      <c r="J31">
        <f t="shared" si="3"/>
        <v>163.04</v>
      </c>
      <c r="K31">
        <f t="shared" si="4"/>
        <v>29.347199999999997</v>
      </c>
      <c r="L31">
        <f t="shared" si="5"/>
        <v>-9.4499999999999993</v>
      </c>
      <c r="M31">
        <f t="shared" si="6"/>
        <v>83.33</v>
      </c>
    </row>
    <row r="32" spans="1:13" ht="18" customHeight="1" x14ac:dyDescent="0.3">
      <c r="A32" s="25" t="s">
        <v>180</v>
      </c>
      <c r="B32" s="25"/>
      <c r="C32" s="25"/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  <c r="L32" t="str">
        <f t="shared" si="5"/>
        <v/>
      </c>
      <c r="M32" t="str">
        <f t="shared" si="6"/>
        <v/>
      </c>
    </row>
    <row r="33" spans="1:13" ht="15" customHeight="1" x14ac:dyDescent="0.3">
      <c r="A33" s="16" t="s">
        <v>181</v>
      </c>
      <c r="B33" s="17" t="s">
        <v>820</v>
      </c>
      <c r="C33" s="18"/>
      <c r="D33" s="19" t="s">
        <v>121</v>
      </c>
      <c r="E33" s="1" t="s">
        <v>41</v>
      </c>
      <c r="F33" s="20" t="s">
        <v>183</v>
      </c>
      <c r="G33">
        <f t="shared" si="0"/>
        <v>350</v>
      </c>
      <c r="H33">
        <f t="shared" si="1"/>
        <v>112.5</v>
      </c>
      <c r="I33">
        <f t="shared" si="2"/>
        <v>112.5</v>
      </c>
      <c r="J33">
        <f t="shared" si="3"/>
        <v>244.57</v>
      </c>
      <c r="K33">
        <f t="shared" si="4"/>
        <v>44.022599999999997</v>
      </c>
      <c r="L33">
        <f t="shared" si="5"/>
        <v>665.17</v>
      </c>
      <c r="M33">
        <f t="shared" si="6"/>
        <v>187.5</v>
      </c>
    </row>
    <row r="34" spans="1:13" ht="15" customHeight="1" x14ac:dyDescent="0.3">
      <c r="A34" s="21" t="s">
        <v>181</v>
      </c>
      <c r="B34" s="22" t="s">
        <v>524</v>
      </c>
      <c r="C34" s="23"/>
      <c r="D34" s="24" t="s">
        <v>121</v>
      </c>
      <c r="E34" s="1" t="s">
        <v>41</v>
      </c>
      <c r="F34" s="20" t="s">
        <v>525</v>
      </c>
      <c r="G34" t="str">
        <f t="shared" si="0"/>
        <v>N/A</v>
      </c>
      <c r="H34" t="str">
        <f t="shared" si="1"/>
        <v>N/A</v>
      </c>
      <c r="I34" t="str">
        <f t="shared" si="2"/>
        <v>N/A</v>
      </c>
      <c r="J34" t="str">
        <f t="shared" si="3"/>
        <v>N/A</v>
      </c>
      <c r="K34" t="str">
        <f t="shared" si="4"/>
        <v>N/A</v>
      </c>
      <c r="L34" t="str">
        <f t="shared" si="5"/>
        <v>N/A</v>
      </c>
      <c r="M34" t="str">
        <f t="shared" si="6"/>
        <v>N/A</v>
      </c>
    </row>
    <row r="35" spans="1:13" ht="18" customHeight="1" x14ac:dyDescent="0.3">
      <c r="A35" s="25" t="s">
        <v>187</v>
      </c>
      <c r="B35" s="25"/>
      <c r="C35" s="25"/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  <c r="L35" t="str">
        <f t="shared" si="5"/>
        <v/>
      </c>
      <c r="M35" t="str">
        <f t="shared" si="6"/>
        <v/>
      </c>
    </row>
    <row r="36" spans="1:13" ht="15" customHeight="1" x14ac:dyDescent="0.3">
      <c r="A36" s="16" t="s">
        <v>188</v>
      </c>
      <c r="B36" s="17" t="s">
        <v>821</v>
      </c>
      <c r="C36" s="18"/>
      <c r="D36" s="19" t="s">
        <v>121</v>
      </c>
      <c r="E36" s="1" t="s">
        <v>41</v>
      </c>
      <c r="F36" s="20" t="s">
        <v>302</v>
      </c>
      <c r="G36">
        <f t="shared" si="0"/>
        <v>625</v>
      </c>
      <c r="H36">
        <f t="shared" si="1"/>
        <v>1250</v>
      </c>
      <c r="I36">
        <f t="shared" si="2"/>
        <v>1250</v>
      </c>
      <c r="J36">
        <f t="shared" si="3"/>
        <v>2717.39</v>
      </c>
      <c r="K36">
        <f t="shared" si="4"/>
        <v>489.13019999999995</v>
      </c>
      <c r="L36">
        <f t="shared" si="5"/>
        <v>295.37</v>
      </c>
      <c r="M36">
        <f t="shared" si="6"/>
        <v>2083.33</v>
      </c>
    </row>
    <row r="37" spans="1:13" ht="15" customHeight="1" x14ac:dyDescent="0.3">
      <c r="A37" s="21" t="s">
        <v>188</v>
      </c>
      <c r="B37" s="22" t="s">
        <v>309</v>
      </c>
      <c r="C37" s="23"/>
      <c r="D37" s="24" t="s">
        <v>121</v>
      </c>
      <c r="E37" s="1" t="s">
        <v>41</v>
      </c>
      <c r="F37" s="20" t="s">
        <v>302</v>
      </c>
      <c r="G37">
        <f t="shared" si="0"/>
        <v>625</v>
      </c>
      <c r="H37">
        <f t="shared" si="1"/>
        <v>1250</v>
      </c>
      <c r="I37">
        <f t="shared" si="2"/>
        <v>1250</v>
      </c>
      <c r="J37">
        <f t="shared" si="3"/>
        <v>2717.39</v>
      </c>
      <c r="K37">
        <f t="shared" si="4"/>
        <v>489.13019999999995</v>
      </c>
      <c r="L37">
        <f t="shared" si="5"/>
        <v>295.37</v>
      </c>
      <c r="M37">
        <f t="shared" si="6"/>
        <v>2083.33</v>
      </c>
    </row>
    <row r="38" spans="1:13" ht="15" customHeight="1" x14ac:dyDescent="0.3">
      <c r="A38" s="16" t="s">
        <v>188</v>
      </c>
      <c r="B38" s="17" t="s">
        <v>308</v>
      </c>
      <c r="C38" s="18"/>
      <c r="D38" s="19" t="s">
        <v>121</v>
      </c>
      <c r="E38" s="1" t="s">
        <v>41</v>
      </c>
      <c r="F38" s="20" t="s">
        <v>302</v>
      </c>
      <c r="G38">
        <f t="shared" si="0"/>
        <v>625</v>
      </c>
      <c r="H38">
        <f t="shared" si="1"/>
        <v>1250</v>
      </c>
      <c r="I38">
        <f t="shared" si="2"/>
        <v>1250</v>
      </c>
      <c r="J38">
        <f t="shared" si="3"/>
        <v>2717.39</v>
      </c>
      <c r="K38">
        <f t="shared" si="4"/>
        <v>489.13019999999995</v>
      </c>
      <c r="L38">
        <f t="shared" si="5"/>
        <v>295.37</v>
      </c>
      <c r="M38">
        <f t="shared" si="6"/>
        <v>2083.33</v>
      </c>
    </row>
    <row r="39" spans="1:13" ht="15" customHeight="1" x14ac:dyDescent="0.3">
      <c r="A39" s="21" t="s">
        <v>188</v>
      </c>
      <c r="B39" s="22" t="s">
        <v>307</v>
      </c>
      <c r="C39" s="23"/>
      <c r="D39" s="24" t="s">
        <v>121</v>
      </c>
      <c r="E39" s="1" t="s">
        <v>41</v>
      </c>
      <c r="F39" s="20" t="s">
        <v>302</v>
      </c>
      <c r="G39">
        <f t="shared" ref="G39:G70" si="7">IF($F39="","",IFERROR(VALUE(TRIM(LEFT($F39,FIND(":",$F39)-1)))*1.25,"N/A"))</f>
        <v>625</v>
      </c>
      <c r="H39">
        <f t="shared" ref="H39:H70" si="8">IF($F39="","",IFERROR(VALUE(TRIM(MID($F39,FIND(":",$F39)+1,FIND(":",$F39,FIND(":",$F39)+1)-FIND(":",$F39)-1)))*1.25,"N/A"))</f>
        <v>1250</v>
      </c>
      <c r="I39">
        <f t="shared" ref="I39:I70" si="9">IF($F39="","",IFERROR(VALUE(TRIM(LEFT(MID($F39,FIND(":",$F39,FIND(":",$F39)+1)+1,LEN($F39)),FIND(" ",MID($F39,FIND(":",$F39,FIND(":",$F39)+1)+1,LEN($F39))&amp;" ")-1)))*1.25,"N/A"))</f>
        <v>1250</v>
      </c>
      <c r="J39">
        <f t="shared" ref="J39:J70" si="10">IF(OR($F39="",$H39="N/A"),IF($F39="","","N/A"),ROUND($H39/0.46,2))</f>
        <v>2717.39</v>
      </c>
      <c r="K39">
        <f t="shared" ref="K39:K70" si="11">IF(OR($F39="",$J39="N/A"),IF($F39="","","N/A"),$J39*0.18)</f>
        <v>489.13019999999995</v>
      </c>
      <c r="L39">
        <f t="shared" ref="L39:L70" si="12">IF(OR($F39="",$G39="N/A",$K39="N/A"),IF($F39="","","N/A"),ROUND(($G39-$K39)/0.46,2))</f>
        <v>295.37</v>
      </c>
      <c r="M39">
        <f t="shared" ref="M39:M70" si="13">IF(OR($F39="",$I39="N/A"),IF($F39="","","N/A"),ROUND($I39/0.6,2))</f>
        <v>2083.33</v>
      </c>
    </row>
    <row r="40" spans="1:13" ht="15" customHeight="1" x14ac:dyDescent="0.3">
      <c r="A40" s="16" t="s">
        <v>188</v>
      </c>
      <c r="B40" s="17" t="s">
        <v>474</v>
      </c>
      <c r="C40" s="18"/>
      <c r="D40" s="19" t="s">
        <v>121</v>
      </c>
      <c r="E40" s="1" t="s">
        <v>41</v>
      </c>
      <c r="F40" s="20" t="s">
        <v>475</v>
      </c>
      <c r="G40">
        <f t="shared" si="7"/>
        <v>625</v>
      </c>
      <c r="H40">
        <f t="shared" si="8"/>
        <v>312.5</v>
      </c>
      <c r="I40">
        <f t="shared" si="9"/>
        <v>250</v>
      </c>
      <c r="J40">
        <f t="shared" si="10"/>
        <v>679.35</v>
      </c>
      <c r="K40">
        <f t="shared" si="11"/>
        <v>122.283</v>
      </c>
      <c r="L40">
        <f t="shared" si="12"/>
        <v>1092.8599999999999</v>
      </c>
      <c r="M40">
        <f t="shared" si="13"/>
        <v>416.67</v>
      </c>
    </row>
    <row r="41" spans="1:13" ht="15" customHeight="1" x14ac:dyDescent="0.3">
      <c r="A41" s="21" t="s">
        <v>188</v>
      </c>
      <c r="B41" s="22" t="s">
        <v>318</v>
      </c>
      <c r="C41" s="23"/>
      <c r="D41" s="24" t="s">
        <v>121</v>
      </c>
      <c r="E41" s="1" t="s">
        <v>41</v>
      </c>
      <c r="F41" s="20" t="s">
        <v>319</v>
      </c>
      <c r="G41">
        <f t="shared" si="7"/>
        <v>112.5</v>
      </c>
      <c r="H41">
        <f t="shared" si="8"/>
        <v>75</v>
      </c>
      <c r="I41">
        <f t="shared" si="9"/>
        <v>100</v>
      </c>
      <c r="J41">
        <f t="shared" si="10"/>
        <v>163.04</v>
      </c>
      <c r="K41">
        <f t="shared" si="11"/>
        <v>29.347199999999997</v>
      </c>
      <c r="L41">
        <f t="shared" si="12"/>
        <v>180.77</v>
      </c>
      <c r="M41">
        <f t="shared" si="13"/>
        <v>166.67</v>
      </c>
    </row>
    <row r="42" spans="1:13" ht="15" customHeight="1" x14ac:dyDescent="0.3">
      <c r="A42" s="16" t="s">
        <v>188</v>
      </c>
      <c r="B42" s="17" t="s">
        <v>478</v>
      </c>
      <c r="C42" s="18"/>
      <c r="D42" s="19" t="s">
        <v>121</v>
      </c>
      <c r="E42" s="1" t="s">
        <v>41</v>
      </c>
      <c r="F42" s="20" t="s">
        <v>479</v>
      </c>
      <c r="G42">
        <f t="shared" si="7"/>
        <v>412.5</v>
      </c>
      <c r="H42">
        <f t="shared" si="8"/>
        <v>56.25</v>
      </c>
      <c r="I42">
        <f t="shared" si="9"/>
        <v>568.75</v>
      </c>
      <c r="J42">
        <f t="shared" si="10"/>
        <v>122.28</v>
      </c>
      <c r="K42">
        <f t="shared" si="11"/>
        <v>22.010400000000001</v>
      </c>
      <c r="L42">
        <f t="shared" si="12"/>
        <v>848.89</v>
      </c>
      <c r="M42">
        <f t="shared" si="13"/>
        <v>947.92</v>
      </c>
    </row>
    <row r="43" spans="1:13" ht="15" customHeight="1" x14ac:dyDescent="0.3">
      <c r="A43" s="21" t="s">
        <v>188</v>
      </c>
      <c r="B43" s="22" t="s">
        <v>476</v>
      </c>
      <c r="C43" s="23"/>
      <c r="D43" s="24" t="s">
        <v>121</v>
      </c>
      <c r="E43" s="1" t="s">
        <v>41</v>
      </c>
      <c r="F43" s="20" t="s">
        <v>477</v>
      </c>
      <c r="G43">
        <f t="shared" si="7"/>
        <v>100</v>
      </c>
      <c r="H43">
        <f t="shared" si="8"/>
        <v>50</v>
      </c>
      <c r="I43">
        <f t="shared" si="9"/>
        <v>100</v>
      </c>
      <c r="J43">
        <f t="shared" si="10"/>
        <v>108.7</v>
      </c>
      <c r="K43">
        <f t="shared" si="11"/>
        <v>19.565999999999999</v>
      </c>
      <c r="L43">
        <f t="shared" si="12"/>
        <v>174.86</v>
      </c>
      <c r="M43">
        <f t="shared" si="13"/>
        <v>166.67</v>
      </c>
    </row>
    <row r="44" spans="1:13" ht="15" customHeight="1" x14ac:dyDescent="0.3">
      <c r="A44" s="16" t="s">
        <v>188</v>
      </c>
      <c r="B44" s="17" t="s">
        <v>822</v>
      </c>
      <c r="C44" s="18"/>
      <c r="D44" s="19" t="s">
        <v>121</v>
      </c>
      <c r="E44" s="1" t="s">
        <v>41</v>
      </c>
      <c r="F44" s="20" t="s">
        <v>311</v>
      </c>
      <c r="G44">
        <f t="shared" si="7"/>
        <v>125</v>
      </c>
      <c r="H44">
        <f t="shared" si="8"/>
        <v>50</v>
      </c>
      <c r="I44">
        <f t="shared" si="9"/>
        <v>500</v>
      </c>
      <c r="J44">
        <f t="shared" si="10"/>
        <v>108.7</v>
      </c>
      <c r="K44">
        <f t="shared" si="11"/>
        <v>19.565999999999999</v>
      </c>
      <c r="L44">
        <f t="shared" si="12"/>
        <v>229.2</v>
      </c>
      <c r="M44">
        <f t="shared" si="13"/>
        <v>833.33</v>
      </c>
    </row>
    <row r="45" spans="1:13" ht="15" customHeight="1" x14ac:dyDescent="0.3">
      <c r="A45" s="21" t="s">
        <v>188</v>
      </c>
      <c r="B45" s="22" t="s">
        <v>823</v>
      </c>
      <c r="C45" s="23"/>
      <c r="D45" s="24" t="s">
        <v>121</v>
      </c>
      <c r="E45" s="1" t="s">
        <v>41</v>
      </c>
      <c r="F45" s="20" t="s">
        <v>190</v>
      </c>
      <c r="G45">
        <f t="shared" si="7"/>
        <v>125</v>
      </c>
      <c r="H45">
        <f t="shared" si="8"/>
        <v>125</v>
      </c>
      <c r="I45">
        <f t="shared" si="9"/>
        <v>187.5</v>
      </c>
      <c r="J45">
        <f t="shared" si="10"/>
        <v>271.74</v>
      </c>
      <c r="K45">
        <f t="shared" si="11"/>
        <v>48.913200000000003</v>
      </c>
      <c r="L45">
        <f t="shared" si="12"/>
        <v>165.41</v>
      </c>
      <c r="M45">
        <f t="shared" si="13"/>
        <v>312.5</v>
      </c>
    </row>
    <row r="46" spans="1:13" ht="15" customHeight="1" x14ac:dyDescent="0.3">
      <c r="A46" s="16" t="s">
        <v>188</v>
      </c>
      <c r="B46" s="17" t="s">
        <v>482</v>
      </c>
      <c r="C46" s="18"/>
      <c r="D46" s="19" t="s">
        <v>121</v>
      </c>
      <c r="E46" s="1" t="s">
        <v>41</v>
      </c>
      <c r="F46" s="20" t="s">
        <v>483</v>
      </c>
      <c r="G46">
        <f t="shared" si="7"/>
        <v>10</v>
      </c>
      <c r="H46">
        <f t="shared" si="8"/>
        <v>10</v>
      </c>
      <c r="I46">
        <f t="shared" si="9"/>
        <v>10</v>
      </c>
      <c r="J46">
        <f t="shared" si="10"/>
        <v>21.74</v>
      </c>
      <c r="K46">
        <f t="shared" si="11"/>
        <v>3.9131999999999998</v>
      </c>
      <c r="L46">
        <f t="shared" si="12"/>
        <v>13.23</v>
      </c>
      <c r="M46">
        <f t="shared" si="13"/>
        <v>16.670000000000002</v>
      </c>
    </row>
    <row r="47" spans="1:13" ht="15" customHeight="1" x14ac:dyDescent="0.3">
      <c r="A47" s="21" t="s">
        <v>188</v>
      </c>
      <c r="B47" s="22" t="s">
        <v>824</v>
      </c>
      <c r="C47" s="23"/>
      <c r="D47" s="24" t="s">
        <v>121</v>
      </c>
      <c r="E47" s="1" t="s">
        <v>41</v>
      </c>
      <c r="F47" s="20" t="s">
        <v>304</v>
      </c>
      <c r="G47">
        <f t="shared" si="7"/>
        <v>1093.75</v>
      </c>
      <c r="H47">
        <f t="shared" si="8"/>
        <v>687.5</v>
      </c>
      <c r="I47">
        <f t="shared" si="9"/>
        <v>1062.5</v>
      </c>
      <c r="J47">
        <f t="shared" si="10"/>
        <v>1494.57</v>
      </c>
      <c r="K47">
        <f t="shared" si="11"/>
        <v>269.02259999999995</v>
      </c>
      <c r="L47">
        <f t="shared" si="12"/>
        <v>1792.89</v>
      </c>
      <c r="M47">
        <f t="shared" si="13"/>
        <v>1770.83</v>
      </c>
    </row>
    <row r="48" spans="1:13" ht="15" customHeight="1" x14ac:dyDescent="0.3">
      <c r="A48" s="16" t="s">
        <v>188</v>
      </c>
      <c r="B48" s="17" t="s">
        <v>195</v>
      </c>
      <c r="C48" s="18"/>
      <c r="D48" s="19" t="s">
        <v>121</v>
      </c>
      <c r="E48" s="1" t="s">
        <v>41</v>
      </c>
      <c r="F48" s="20" t="s">
        <v>194</v>
      </c>
      <c r="G48">
        <f t="shared" si="7"/>
        <v>125</v>
      </c>
      <c r="H48">
        <f t="shared" si="8"/>
        <v>125</v>
      </c>
      <c r="I48">
        <f t="shared" si="9"/>
        <v>125</v>
      </c>
      <c r="J48">
        <f t="shared" si="10"/>
        <v>271.74</v>
      </c>
      <c r="K48">
        <f t="shared" si="11"/>
        <v>48.913200000000003</v>
      </c>
      <c r="L48">
        <f t="shared" si="12"/>
        <v>165.41</v>
      </c>
      <c r="M48">
        <f t="shared" si="13"/>
        <v>208.33</v>
      </c>
    </row>
    <row r="49" spans="1:13" ht="18" customHeight="1" x14ac:dyDescent="0.3">
      <c r="A49" s="25" t="s">
        <v>220</v>
      </c>
      <c r="B49" s="25"/>
      <c r="C49" s="25"/>
      <c r="G49" t="str">
        <f t="shared" si="7"/>
        <v/>
      </c>
      <c r="H49" t="str">
        <f t="shared" si="8"/>
        <v/>
      </c>
      <c r="I49" t="str">
        <f t="shared" si="9"/>
        <v/>
      </c>
      <c r="J49" t="str">
        <f t="shared" si="10"/>
        <v/>
      </c>
      <c r="K49" t="str">
        <f t="shared" si="11"/>
        <v/>
      </c>
      <c r="L49" t="str">
        <f t="shared" si="12"/>
        <v/>
      </c>
      <c r="M49" t="str">
        <f t="shared" si="13"/>
        <v/>
      </c>
    </row>
    <row r="50" spans="1:13" ht="15" customHeight="1" x14ac:dyDescent="0.3">
      <c r="A50" s="21" t="s">
        <v>221</v>
      </c>
      <c r="B50" s="22" t="s">
        <v>825</v>
      </c>
      <c r="C50" s="23"/>
      <c r="D50" s="24" t="s">
        <v>121</v>
      </c>
      <c r="E50" s="1" t="s">
        <v>41</v>
      </c>
      <c r="F50" s="20" t="s">
        <v>322</v>
      </c>
      <c r="G50">
        <f t="shared" si="7"/>
        <v>150</v>
      </c>
      <c r="H50">
        <f t="shared" si="8"/>
        <v>300</v>
      </c>
      <c r="I50">
        <f t="shared" si="9"/>
        <v>150</v>
      </c>
      <c r="J50">
        <f t="shared" si="10"/>
        <v>652.16999999999996</v>
      </c>
      <c r="K50">
        <f t="shared" si="11"/>
        <v>117.39059999999999</v>
      </c>
      <c r="L50">
        <f t="shared" si="12"/>
        <v>70.89</v>
      </c>
      <c r="M50">
        <f t="shared" si="13"/>
        <v>250</v>
      </c>
    </row>
    <row r="51" spans="1:13" ht="15" customHeight="1" x14ac:dyDescent="0.3">
      <c r="A51" s="16" t="s">
        <v>221</v>
      </c>
      <c r="B51" s="17" t="s">
        <v>222</v>
      </c>
      <c r="C51" s="18"/>
      <c r="D51" s="19" t="s">
        <v>121</v>
      </c>
      <c r="E51" s="1" t="s">
        <v>41</v>
      </c>
      <c r="F51" s="20" t="s">
        <v>223</v>
      </c>
      <c r="G51">
        <f t="shared" si="7"/>
        <v>187.5</v>
      </c>
      <c r="H51">
        <f t="shared" si="8"/>
        <v>125</v>
      </c>
      <c r="I51">
        <f t="shared" si="9"/>
        <v>62.5</v>
      </c>
      <c r="J51">
        <f t="shared" si="10"/>
        <v>271.74</v>
      </c>
      <c r="K51">
        <f t="shared" si="11"/>
        <v>48.913200000000003</v>
      </c>
      <c r="L51">
        <f t="shared" si="12"/>
        <v>301.27999999999997</v>
      </c>
      <c r="M51">
        <f t="shared" si="13"/>
        <v>104.17</v>
      </c>
    </row>
    <row r="52" spans="1:13" ht="15" customHeight="1" x14ac:dyDescent="0.3">
      <c r="A52" s="21" t="s">
        <v>221</v>
      </c>
      <c r="B52" s="22" t="s">
        <v>234</v>
      </c>
      <c r="C52" s="23"/>
      <c r="D52" s="24" t="s">
        <v>121</v>
      </c>
      <c r="E52" s="1" t="s">
        <v>41</v>
      </c>
      <c r="F52" s="20" t="s">
        <v>235</v>
      </c>
      <c r="G52">
        <f t="shared" si="7"/>
        <v>125</v>
      </c>
      <c r="H52">
        <f t="shared" si="8"/>
        <v>125</v>
      </c>
      <c r="I52">
        <f t="shared" si="9"/>
        <v>62.5</v>
      </c>
      <c r="J52">
        <f t="shared" si="10"/>
        <v>271.74</v>
      </c>
      <c r="K52">
        <f t="shared" si="11"/>
        <v>48.913200000000003</v>
      </c>
      <c r="L52">
        <f t="shared" si="12"/>
        <v>165.41</v>
      </c>
      <c r="M52">
        <f t="shared" si="13"/>
        <v>104.17</v>
      </c>
    </row>
    <row r="53" spans="1:13" ht="15" customHeight="1" x14ac:dyDescent="0.3">
      <c r="A53" s="16" t="s">
        <v>221</v>
      </c>
      <c r="B53" s="17" t="s">
        <v>232</v>
      </c>
      <c r="C53" s="18"/>
      <c r="D53" s="19" t="s">
        <v>121</v>
      </c>
      <c r="E53" s="1" t="s">
        <v>41</v>
      </c>
      <c r="F53" s="20" t="s">
        <v>233</v>
      </c>
      <c r="G53">
        <f t="shared" si="7"/>
        <v>125</v>
      </c>
      <c r="H53">
        <f t="shared" si="8"/>
        <v>156.25</v>
      </c>
      <c r="I53">
        <f t="shared" si="9"/>
        <v>31.25</v>
      </c>
      <c r="J53">
        <f t="shared" si="10"/>
        <v>339.67</v>
      </c>
      <c r="K53">
        <f t="shared" si="11"/>
        <v>61.140599999999999</v>
      </c>
      <c r="L53">
        <f t="shared" si="12"/>
        <v>138.82</v>
      </c>
      <c r="M53">
        <f t="shared" si="13"/>
        <v>52.08</v>
      </c>
    </row>
    <row r="54" spans="1:13" ht="15" customHeight="1" x14ac:dyDescent="0.3">
      <c r="A54" s="21" t="s">
        <v>221</v>
      </c>
      <c r="B54" s="22" t="s">
        <v>327</v>
      </c>
      <c r="C54" s="23"/>
      <c r="D54" s="24" t="s">
        <v>121</v>
      </c>
      <c r="E54" s="1" t="s">
        <v>41</v>
      </c>
      <c r="F54" s="20" t="s">
        <v>328</v>
      </c>
      <c r="G54">
        <f t="shared" si="7"/>
        <v>150</v>
      </c>
      <c r="H54">
        <f t="shared" si="8"/>
        <v>100</v>
      </c>
      <c r="I54">
        <f t="shared" si="9"/>
        <v>87.5</v>
      </c>
      <c r="J54">
        <f t="shared" si="10"/>
        <v>217.39</v>
      </c>
      <c r="K54">
        <f t="shared" si="11"/>
        <v>39.130199999999995</v>
      </c>
      <c r="L54">
        <f t="shared" si="12"/>
        <v>241.02</v>
      </c>
      <c r="M54">
        <f t="shared" si="13"/>
        <v>145.83000000000001</v>
      </c>
    </row>
    <row r="55" spans="1:13" ht="15" customHeight="1" x14ac:dyDescent="0.3">
      <c r="A55" s="16" t="s">
        <v>221</v>
      </c>
      <c r="B55" s="17" t="s">
        <v>236</v>
      </c>
      <c r="C55" s="18"/>
      <c r="D55" s="19" t="s">
        <v>121</v>
      </c>
      <c r="E55" s="1" t="s">
        <v>41</v>
      </c>
      <c r="F55" s="20" t="s">
        <v>237</v>
      </c>
      <c r="G55">
        <f t="shared" si="7"/>
        <v>62.5</v>
      </c>
      <c r="H55">
        <f t="shared" si="8"/>
        <v>62.5</v>
      </c>
      <c r="I55">
        <f t="shared" si="9"/>
        <v>62.5</v>
      </c>
      <c r="J55">
        <f t="shared" si="10"/>
        <v>135.87</v>
      </c>
      <c r="K55">
        <f t="shared" si="11"/>
        <v>24.456600000000002</v>
      </c>
      <c r="L55">
        <f t="shared" si="12"/>
        <v>82.7</v>
      </c>
      <c r="M55">
        <f t="shared" si="13"/>
        <v>104.17</v>
      </c>
    </row>
    <row r="56" spans="1:13" ht="15" customHeight="1" x14ac:dyDescent="0.3">
      <c r="A56" s="21" t="s">
        <v>221</v>
      </c>
      <c r="B56" s="22" t="s">
        <v>329</v>
      </c>
      <c r="C56" s="23"/>
      <c r="D56" s="24" t="s">
        <v>121</v>
      </c>
      <c r="E56" s="1" t="s">
        <v>41</v>
      </c>
      <c r="F56" s="20" t="s">
        <v>330</v>
      </c>
      <c r="G56">
        <f t="shared" si="7"/>
        <v>62.5</v>
      </c>
      <c r="H56">
        <f t="shared" si="8"/>
        <v>125</v>
      </c>
      <c r="I56">
        <f t="shared" si="9"/>
        <v>62.5</v>
      </c>
      <c r="J56">
        <f t="shared" si="10"/>
        <v>271.74</v>
      </c>
      <c r="K56">
        <f t="shared" si="11"/>
        <v>48.913200000000003</v>
      </c>
      <c r="L56">
        <f t="shared" si="12"/>
        <v>29.54</v>
      </c>
      <c r="M56">
        <f t="shared" si="13"/>
        <v>104.17</v>
      </c>
    </row>
    <row r="57" spans="1:13" ht="15" customHeight="1" x14ac:dyDescent="0.3">
      <c r="A57" s="16" t="s">
        <v>221</v>
      </c>
      <c r="B57" s="17" t="s">
        <v>331</v>
      </c>
      <c r="C57" s="18"/>
      <c r="D57" s="19" t="s">
        <v>121</v>
      </c>
      <c r="E57" s="1" t="s">
        <v>41</v>
      </c>
      <c r="F57" s="20" t="s">
        <v>332</v>
      </c>
      <c r="G57">
        <f t="shared" si="7"/>
        <v>168.75</v>
      </c>
      <c r="H57">
        <f t="shared" si="8"/>
        <v>168.75</v>
      </c>
      <c r="I57">
        <f t="shared" si="9"/>
        <v>168.75</v>
      </c>
      <c r="J57">
        <f t="shared" si="10"/>
        <v>366.85</v>
      </c>
      <c r="K57">
        <f t="shared" si="11"/>
        <v>66.033000000000001</v>
      </c>
      <c r="L57">
        <f t="shared" si="12"/>
        <v>223.3</v>
      </c>
      <c r="M57">
        <f t="shared" si="13"/>
        <v>281.25</v>
      </c>
    </row>
    <row r="58" spans="1:13" ht="15" customHeight="1" x14ac:dyDescent="0.3">
      <c r="A58" s="21" t="s">
        <v>221</v>
      </c>
      <c r="B58" s="22" t="s">
        <v>486</v>
      </c>
      <c r="C58" s="23"/>
      <c r="D58" s="24" t="s">
        <v>121</v>
      </c>
      <c r="E58" s="1" t="s">
        <v>41</v>
      </c>
      <c r="F58" s="20" t="s">
        <v>487</v>
      </c>
      <c r="G58">
        <f t="shared" si="7"/>
        <v>225</v>
      </c>
      <c r="H58">
        <f t="shared" si="8"/>
        <v>156.25</v>
      </c>
      <c r="I58">
        <f t="shared" si="9"/>
        <v>125</v>
      </c>
      <c r="J58">
        <f t="shared" si="10"/>
        <v>339.67</v>
      </c>
      <c r="K58">
        <f t="shared" si="11"/>
        <v>61.140599999999999</v>
      </c>
      <c r="L58">
        <f t="shared" si="12"/>
        <v>356.22</v>
      </c>
      <c r="M58">
        <f t="shared" si="13"/>
        <v>208.33</v>
      </c>
    </row>
    <row r="59" spans="1:13" ht="15" customHeight="1" x14ac:dyDescent="0.3">
      <c r="A59" s="16" t="s">
        <v>221</v>
      </c>
      <c r="B59" s="17" t="s">
        <v>323</v>
      </c>
      <c r="C59" s="18"/>
      <c r="D59" s="19" t="s">
        <v>121</v>
      </c>
      <c r="E59" s="1" t="s">
        <v>41</v>
      </c>
      <c r="F59" s="20" t="s">
        <v>324</v>
      </c>
      <c r="G59">
        <f t="shared" si="7"/>
        <v>93.75</v>
      </c>
      <c r="H59">
        <f t="shared" si="8"/>
        <v>62.5</v>
      </c>
      <c r="I59">
        <f t="shared" si="9"/>
        <v>62.5</v>
      </c>
      <c r="J59">
        <f t="shared" si="10"/>
        <v>135.87</v>
      </c>
      <c r="K59">
        <f t="shared" si="11"/>
        <v>24.456600000000002</v>
      </c>
      <c r="L59">
        <f t="shared" si="12"/>
        <v>150.63999999999999</v>
      </c>
      <c r="M59">
        <f t="shared" si="13"/>
        <v>104.17</v>
      </c>
    </row>
    <row r="60" spans="1:13" ht="15" customHeight="1" x14ac:dyDescent="0.3">
      <c r="A60" s="21" t="s">
        <v>221</v>
      </c>
      <c r="B60" s="22" t="s">
        <v>365</v>
      </c>
      <c r="C60" s="23"/>
      <c r="D60" s="24" t="s">
        <v>121</v>
      </c>
      <c r="E60" s="1" t="s">
        <v>41</v>
      </c>
      <c r="F60" s="20" t="s">
        <v>366</v>
      </c>
      <c r="G60">
        <f t="shared" si="7"/>
        <v>93.75</v>
      </c>
      <c r="H60">
        <f t="shared" si="8"/>
        <v>93.75</v>
      </c>
      <c r="I60">
        <f t="shared" si="9"/>
        <v>93.75</v>
      </c>
      <c r="J60">
        <f t="shared" si="10"/>
        <v>203.8</v>
      </c>
      <c r="K60">
        <f t="shared" si="11"/>
        <v>36.683999999999997</v>
      </c>
      <c r="L60">
        <f t="shared" si="12"/>
        <v>124.06</v>
      </c>
      <c r="M60">
        <f t="shared" si="13"/>
        <v>156.25</v>
      </c>
    </row>
    <row r="61" spans="1:13" ht="15" customHeight="1" x14ac:dyDescent="0.3">
      <c r="A61" s="16" t="s">
        <v>221</v>
      </c>
      <c r="B61" s="17" t="s">
        <v>389</v>
      </c>
      <c r="C61" s="18"/>
      <c r="D61" s="19" t="s">
        <v>121</v>
      </c>
      <c r="E61" s="1" t="s">
        <v>41</v>
      </c>
      <c r="F61" s="20" t="s">
        <v>390</v>
      </c>
      <c r="G61">
        <f t="shared" si="7"/>
        <v>156.25</v>
      </c>
      <c r="H61">
        <f t="shared" si="8"/>
        <v>112.5</v>
      </c>
      <c r="I61">
        <f t="shared" si="9"/>
        <v>62.5</v>
      </c>
      <c r="J61">
        <f t="shared" si="10"/>
        <v>244.57</v>
      </c>
      <c r="K61">
        <f t="shared" si="11"/>
        <v>44.022599999999997</v>
      </c>
      <c r="L61">
        <f t="shared" si="12"/>
        <v>243.97</v>
      </c>
      <c r="M61">
        <f t="shared" si="13"/>
        <v>104.17</v>
      </c>
    </row>
    <row r="62" spans="1:13" ht="15" customHeight="1" x14ac:dyDescent="0.3">
      <c r="A62" s="21" t="s">
        <v>221</v>
      </c>
      <c r="B62" s="22" t="s">
        <v>228</v>
      </c>
      <c r="C62" s="23"/>
      <c r="D62" s="24" t="s">
        <v>121</v>
      </c>
      <c r="E62" s="1" t="s">
        <v>41</v>
      </c>
      <c r="F62" s="20" t="s">
        <v>229</v>
      </c>
      <c r="G62">
        <f t="shared" si="7"/>
        <v>150</v>
      </c>
      <c r="H62">
        <f t="shared" si="8"/>
        <v>75</v>
      </c>
      <c r="I62">
        <f t="shared" si="9"/>
        <v>37.5</v>
      </c>
      <c r="J62">
        <f t="shared" si="10"/>
        <v>163.04</v>
      </c>
      <c r="K62">
        <f t="shared" si="11"/>
        <v>29.347199999999997</v>
      </c>
      <c r="L62">
        <f t="shared" si="12"/>
        <v>262.29000000000002</v>
      </c>
      <c r="M62">
        <f t="shared" si="13"/>
        <v>62.5</v>
      </c>
    </row>
    <row r="63" spans="1:13" ht="15" customHeight="1" x14ac:dyDescent="0.3">
      <c r="A63" s="16" t="s">
        <v>221</v>
      </c>
      <c r="B63" s="17" t="s">
        <v>325</v>
      </c>
      <c r="C63" s="18"/>
      <c r="D63" s="19" t="s">
        <v>121</v>
      </c>
      <c r="E63" s="1" t="s">
        <v>41</v>
      </c>
      <c r="F63" s="20" t="s">
        <v>225</v>
      </c>
      <c r="G63">
        <f t="shared" si="7"/>
        <v>125</v>
      </c>
      <c r="H63">
        <f t="shared" si="8"/>
        <v>62.5</v>
      </c>
      <c r="I63">
        <f t="shared" si="9"/>
        <v>37.5</v>
      </c>
      <c r="J63">
        <f t="shared" si="10"/>
        <v>135.87</v>
      </c>
      <c r="K63">
        <f t="shared" si="11"/>
        <v>24.456600000000002</v>
      </c>
      <c r="L63">
        <f t="shared" si="12"/>
        <v>218.57</v>
      </c>
      <c r="M63">
        <f t="shared" si="13"/>
        <v>62.5</v>
      </c>
    </row>
    <row r="64" spans="1:13" ht="15" customHeight="1" x14ac:dyDescent="0.3">
      <c r="A64" s="21" t="s">
        <v>221</v>
      </c>
      <c r="B64" s="22" t="s">
        <v>326</v>
      </c>
      <c r="C64" s="23"/>
      <c r="D64" s="24" t="s">
        <v>121</v>
      </c>
      <c r="E64" s="1" t="s">
        <v>41</v>
      </c>
      <c r="F64" s="20" t="s">
        <v>227</v>
      </c>
      <c r="G64">
        <f t="shared" si="7"/>
        <v>50</v>
      </c>
      <c r="H64">
        <f t="shared" si="8"/>
        <v>62.5</v>
      </c>
      <c r="I64">
        <f t="shared" si="9"/>
        <v>37.5</v>
      </c>
      <c r="J64">
        <f t="shared" si="10"/>
        <v>135.87</v>
      </c>
      <c r="K64">
        <f t="shared" si="11"/>
        <v>24.456600000000002</v>
      </c>
      <c r="L64">
        <f t="shared" si="12"/>
        <v>55.53</v>
      </c>
      <c r="M64">
        <f t="shared" si="13"/>
        <v>62.5</v>
      </c>
    </row>
    <row r="65" spans="1:13" ht="15" customHeight="1" x14ac:dyDescent="0.3">
      <c r="A65" s="16" t="s">
        <v>221</v>
      </c>
      <c r="B65" s="17" t="s">
        <v>826</v>
      </c>
      <c r="C65" s="18"/>
      <c r="D65" s="19" t="s">
        <v>121</v>
      </c>
      <c r="E65" s="1" t="s">
        <v>41</v>
      </c>
      <c r="F65" s="20" t="s">
        <v>247</v>
      </c>
      <c r="G65">
        <f t="shared" si="7"/>
        <v>200</v>
      </c>
      <c r="H65">
        <f t="shared" si="8"/>
        <v>75</v>
      </c>
      <c r="I65">
        <f t="shared" si="9"/>
        <v>37.5</v>
      </c>
      <c r="J65">
        <f t="shared" si="10"/>
        <v>163.04</v>
      </c>
      <c r="K65">
        <f t="shared" si="11"/>
        <v>29.347199999999997</v>
      </c>
      <c r="L65">
        <f t="shared" si="12"/>
        <v>370.98</v>
      </c>
      <c r="M65">
        <f t="shared" si="13"/>
        <v>62.5</v>
      </c>
    </row>
    <row r="66" spans="1:13" ht="18" customHeight="1" x14ac:dyDescent="0.3">
      <c r="A66" s="25" t="s">
        <v>252</v>
      </c>
      <c r="B66" s="25"/>
      <c r="C66" s="25"/>
      <c r="G66" t="str">
        <f t="shared" si="7"/>
        <v/>
      </c>
      <c r="H66" t="str">
        <f t="shared" si="8"/>
        <v/>
      </c>
      <c r="I66" t="str">
        <f t="shared" si="9"/>
        <v/>
      </c>
      <c r="J66" t="str">
        <f t="shared" si="10"/>
        <v/>
      </c>
      <c r="K66" t="str">
        <f t="shared" si="11"/>
        <v/>
      </c>
      <c r="L66" t="str">
        <f t="shared" si="12"/>
        <v/>
      </c>
      <c r="M66" t="str">
        <f t="shared" si="13"/>
        <v/>
      </c>
    </row>
    <row r="67" spans="1:13" ht="15" customHeight="1" x14ac:dyDescent="0.3">
      <c r="A67" s="21" t="s">
        <v>253</v>
      </c>
      <c r="B67" s="22" t="s">
        <v>323</v>
      </c>
      <c r="C67" s="23"/>
      <c r="D67" s="24" t="s">
        <v>121</v>
      </c>
      <c r="E67" s="1" t="s">
        <v>41</v>
      </c>
      <c r="F67" s="20" t="s">
        <v>324</v>
      </c>
      <c r="G67">
        <f t="shared" si="7"/>
        <v>93.75</v>
      </c>
      <c r="H67">
        <f t="shared" si="8"/>
        <v>62.5</v>
      </c>
      <c r="I67">
        <f t="shared" si="9"/>
        <v>62.5</v>
      </c>
      <c r="J67">
        <f t="shared" si="10"/>
        <v>135.87</v>
      </c>
      <c r="K67">
        <f t="shared" si="11"/>
        <v>24.456600000000002</v>
      </c>
      <c r="L67">
        <f t="shared" si="12"/>
        <v>150.63999999999999</v>
      </c>
      <c r="M67">
        <f t="shared" si="13"/>
        <v>104.17</v>
      </c>
    </row>
    <row r="68" spans="1:13" ht="15" customHeight="1" x14ac:dyDescent="0.3">
      <c r="A68" s="16" t="s">
        <v>253</v>
      </c>
      <c r="B68" s="17" t="s">
        <v>365</v>
      </c>
      <c r="C68" s="18"/>
      <c r="D68" s="19" t="s">
        <v>121</v>
      </c>
      <c r="E68" s="1" t="s">
        <v>41</v>
      </c>
      <c r="F68" s="20" t="s">
        <v>366</v>
      </c>
      <c r="G68">
        <f t="shared" si="7"/>
        <v>93.75</v>
      </c>
      <c r="H68">
        <f t="shared" si="8"/>
        <v>93.75</v>
      </c>
      <c r="I68">
        <f t="shared" si="9"/>
        <v>93.75</v>
      </c>
      <c r="J68">
        <f t="shared" si="10"/>
        <v>203.8</v>
      </c>
      <c r="K68">
        <f t="shared" si="11"/>
        <v>36.683999999999997</v>
      </c>
      <c r="L68">
        <f t="shared" si="12"/>
        <v>124.06</v>
      </c>
      <c r="M68">
        <f t="shared" si="13"/>
        <v>156.25</v>
      </c>
    </row>
    <row r="69" spans="1:13" ht="15" customHeight="1" x14ac:dyDescent="0.3">
      <c r="A69" s="21" t="s">
        <v>253</v>
      </c>
      <c r="B69" s="22" t="s">
        <v>255</v>
      </c>
      <c r="C69" s="23"/>
      <c r="D69" s="24" t="s">
        <v>121</v>
      </c>
      <c r="E69" s="1" t="s">
        <v>41</v>
      </c>
      <c r="F69" s="20" t="s">
        <v>256</v>
      </c>
      <c r="G69">
        <f t="shared" si="7"/>
        <v>31.25</v>
      </c>
      <c r="H69">
        <f t="shared" si="8"/>
        <v>75</v>
      </c>
      <c r="I69">
        <f t="shared" si="9"/>
        <v>22.5</v>
      </c>
      <c r="J69">
        <f t="shared" si="10"/>
        <v>163.04</v>
      </c>
      <c r="K69">
        <f t="shared" si="11"/>
        <v>29.347199999999997</v>
      </c>
      <c r="L69">
        <f t="shared" si="12"/>
        <v>4.1399999999999997</v>
      </c>
      <c r="M69">
        <f t="shared" si="13"/>
        <v>37.5</v>
      </c>
    </row>
    <row r="70" spans="1:13" ht="15" customHeight="1" x14ac:dyDescent="0.3">
      <c r="A70" s="16" t="s">
        <v>253</v>
      </c>
      <c r="B70" s="17" t="s">
        <v>257</v>
      </c>
      <c r="C70" s="18"/>
      <c r="D70" s="19" t="s">
        <v>121</v>
      </c>
      <c r="E70" s="1" t="s">
        <v>41</v>
      </c>
      <c r="F70" s="20" t="s">
        <v>160</v>
      </c>
      <c r="G70">
        <f t="shared" si="7"/>
        <v>25</v>
      </c>
      <c r="H70">
        <f t="shared" si="8"/>
        <v>50</v>
      </c>
      <c r="I70">
        <f t="shared" si="9"/>
        <v>25</v>
      </c>
      <c r="J70">
        <f t="shared" si="10"/>
        <v>108.7</v>
      </c>
      <c r="K70">
        <f t="shared" si="11"/>
        <v>19.565999999999999</v>
      </c>
      <c r="L70">
        <f t="shared" si="12"/>
        <v>11.81</v>
      </c>
      <c r="M70">
        <f t="shared" si="13"/>
        <v>41.67</v>
      </c>
    </row>
    <row r="71" spans="1:13" ht="15" customHeight="1" x14ac:dyDescent="0.3">
      <c r="A71" s="21" t="s">
        <v>253</v>
      </c>
      <c r="B71" s="22" t="s">
        <v>228</v>
      </c>
      <c r="C71" s="23"/>
      <c r="D71" s="24" t="s">
        <v>121</v>
      </c>
      <c r="E71" s="1" t="s">
        <v>41</v>
      </c>
      <c r="F71" s="20" t="s">
        <v>229</v>
      </c>
      <c r="G71">
        <f t="shared" ref="G71:G84" si="14">IF($F71="","",IFERROR(VALUE(TRIM(LEFT($F71,FIND(":",$F71)-1)))*1.25,"N/A"))</f>
        <v>150</v>
      </c>
      <c r="H71">
        <f t="shared" ref="H71:H84" si="15">IF($F71="","",IFERROR(VALUE(TRIM(MID($F71,FIND(":",$F71)+1,FIND(":",$F71,FIND(":",$F71)+1)-FIND(":",$F71)-1)))*1.25,"N/A"))</f>
        <v>75</v>
      </c>
      <c r="I71">
        <f t="shared" ref="I71:I84" si="16">IF($F71="","",IFERROR(VALUE(TRIM(LEFT(MID($F71,FIND(":",$F71,FIND(":",$F71)+1)+1,LEN($F71)),FIND(" ",MID($F71,FIND(":",$F71,FIND(":",$F71)+1)+1,LEN($F71))&amp;" ")-1)))*1.25,"N/A"))</f>
        <v>37.5</v>
      </c>
      <c r="J71">
        <f t="shared" ref="J71:J84" si="17">IF(OR($F71="",$H71="N/A"),IF($F71="","","N/A"),ROUND($H71/0.46,2))</f>
        <v>163.04</v>
      </c>
      <c r="K71">
        <f t="shared" ref="K71:K84" si="18">IF(OR($F71="",$J71="N/A"),IF($F71="","","N/A"),$J71*0.18)</f>
        <v>29.347199999999997</v>
      </c>
      <c r="L71">
        <f t="shared" ref="L71:L84" si="19">IF(OR($F71="",$G71="N/A",$K71="N/A"),IF($F71="","","N/A"),ROUND(($G71-$K71)/0.46,2))</f>
        <v>262.29000000000002</v>
      </c>
      <c r="M71">
        <f t="shared" ref="M71:M84" si="20">IF(OR($F71="",$I71="N/A"),IF($F71="","","N/A"),ROUND($I71/0.6,2))</f>
        <v>62.5</v>
      </c>
    </row>
    <row r="72" spans="1:13" ht="15" customHeight="1" x14ac:dyDescent="0.3">
      <c r="A72" s="16" t="s">
        <v>253</v>
      </c>
      <c r="B72" s="17" t="s">
        <v>488</v>
      </c>
      <c r="C72" s="18"/>
      <c r="D72" s="19" t="s">
        <v>121</v>
      </c>
      <c r="E72" s="1" t="s">
        <v>41</v>
      </c>
      <c r="F72" s="20" t="s">
        <v>338</v>
      </c>
      <c r="G72">
        <f t="shared" si="14"/>
        <v>93.75</v>
      </c>
      <c r="H72">
        <f t="shared" si="15"/>
        <v>93.75</v>
      </c>
      <c r="I72">
        <f t="shared" si="16"/>
        <v>187.5</v>
      </c>
      <c r="J72">
        <f t="shared" si="17"/>
        <v>203.8</v>
      </c>
      <c r="K72">
        <f t="shared" si="18"/>
        <v>36.683999999999997</v>
      </c>
      <c r="L72">
        <f t="shared" si="19"/>
        <v>124.06</v>
      </c>
      <c r="M72">
        <f t="shared" si="20"/>
        <v>312.5</v>
      </c>
    </row>
    <row r="73" spans="1:13" ht="15" customHeight="1" x14ac:dyDescent="0.3">
      <c r="A73" s="21" t="s">
        <v>253</v>
      </c>
      <c r="B73" s="22" t="s">
        <v>827</v>
      </c>
      <c r="C73" s="23"/>
      <c r="D73" s="24" t="s">
        <v>121</v>
      </c>
      <c r="E73" s="1" t="s">
        <v>41</v>
      </c>
      <c r="F73" s="20" t="s">
        <v>583</v>
      </c>
      <c r="G73">
        <f t="shared" si="14"/>
        <v>62.5</v>
      </c>
      <c r="H73">
        <f t="shared" si="15"/>
        <v>31.25</v>
      </c>
      <c r="I73">
        <f t="shared" si="16"/>
        <v>31.25</v>
      </c>
      <c r="J73">
        <f t="shared" si="17"/>
        <v>67.930000000000007</v>
      </c>
      <c r="K73">
        <f t="shared" si="18"/>
        <v>12.227400000000001</v>
      </c>
      <c r="L73">
        <f t="shared" si="19"/>
        <v>109.29</v>
      </c>
      <c r="M73">
        <f t="shared" si="20"/>
        <v>52.08</v>
      </c>
    </row>
    <row r="74" spans="1:13" ht="18" customHeight="1" x14ac:dyDescent="0.3">
      <c r="A74" s="25" t="s">
        <v>263</v>
      </c>
      <c r="B74" s="25"/>
      <c r="C74" s="25"/>
      <c r="G74" t="str">
        <f t="shared" si="14"/>
        <v/>
      </c>
      <c r="H74" t="str">
        <f t="shared" si="15"/>
        <v/>
      </c>
      <c r="I74" t="str">
        <f t="shared" si="16"/>
        <v/>
      </c>
      <c r="J74" t="str">
        <f t="shared" si="17"/>
        <v/>
      </c>
      <c r="K74" t="str">
        <f t="shared" si="18"/>
        <v/>
      </c>
      <c r="L74" t="str">
        <f t="shared" si="19"/>
        <v/>
      </c>
      <c r="M74" t="str">
        <f t="shared" si="20"/>
        <v/>
      </c>
    </row>
    <row r="75" spans="1:13" ht="15" customHeight="1" x14ac:dyDescent="0.3">
      <c r="A75" s="16" t="s">
        <v>264</v>
      </c>
      <c r="B75" s="17" t="s">
        <v>828</v>
      </c>
      <c r="C75" s="18"/>
      <c r="D75" s="19" t="s">
        <v>121</v>
      </c>
      <c r="E75" s="1" t="s">
        <v>41</v>
      </c>
      <c r="F75" s="20" t="s">
        <v>343</v>
      </c>
      <c r="G75">
        <f t="shared" si="14"/>
        <v>275</v>
      </c>
      <c r="H75">
        <f t="shared" si="15"/>
        <v>56.25</v>
      </c>
      <c r="I75">
        <f t="shared" si="16"/>
        <v>225</v>
      </c>
      <c r="J75">
        <f t="shared" si="17"/>
        <v>122.28</v>
      </c>
      <c r="K75">
        <f t="shared" si="18"/>
        <v>22.010400000000001</v>
      </c>
      <c r="L75">
        <f t="shared" si="19"/>
        <v>549.98</v>
      </c>
      <c r="M75">
        <f t="shared" si="20"/>
        <v>375</v>
      </c>
    </row>
    <row r="76" spans="1:13" ht="15" customHeight="1" x14ac:dyDescent="0.3">
      <c r="A76" s="21" t="s">
        <v>264</v>
      </c>
      <c r="B76" s="22" t="s">
        <v>829</v>
      </c>
      <c r="C76" s="23"/>
      <c r="D76" s="24" t="s">
        <v>121</v>
      </c>
      <c r="E76" s="1" t="s">
        <v>41</v>
      </c>
      <c r="F76" s="20" t="s">
        <v>456</v>
      </c>
      <c r="G76" t="str">
        <f t="shared" si="14"/>
        <v>N/A</v>
      </c>
      <c r="H76" t="str">
        <f t="shared" si="15"/>
        <v>N/A</v>
      </c>
      <c r="I76" t="str">
        <f t="shared" si="16"/>
        <v>N/A</v>
      </c>
      <c r="J76" t="str">
        <f t="shared" si="17"/>
        <v>N/A</v>
      </c>
      <c r="K76" t="str">
        <f t="shared" si="18"/>
        <v>N/A</v>
      </c>
      <c r="L76" t="str">
        <f t="shared" si="19"/>
        <v>N/A</v>
      </c>
      <c r="M76" t="str">
        <f t="shared" si="20"/>
        <v>N/A</v>
      </c>
    </row>
    <row r="77" spans="1:13" ht="18" customHeight="1" x14ac:dyDescent="0.3">
      <c r="A77" s="25" t="s">
        <v>269</v>
      </c>
      <c r="B77" s="25"/>
      <c r="C77" s="25"/>
      <c r="G77" t="str">
        <f t="shared" si="14"/>
        <v/>
      </c>
      <c r="H77" t="str">
        <f t="shared" si="15"/>
        <v/>
      </c>
      <c r="I77" t="str">
        <f t="shared" si="16"/>
        <v/>
      </c>
      <c r="J77" t="str">
        <f t="shared" si="17"/>
        <v/>
      </c>
      <c r="K77" t="str">
        <f t="shared" si="18"/>
        <v/>
      </c>
      <c r="L77" t="str">
        <f t="shared" si="19"/>
        <v/>
      </c>
      <c r="M77" t="str">
        <f t="shared" si="20"/>
        <v/>
      </c>
    </row>
    <row r="78" spans="1:13" ht="15" customHeight="1" x14ac:dyDescent="0.3">
      <c r="A78" s="16" t="s">
        <v>270</v>
      </c>
      <c r="B78" s="17" t="s">
        <v>271</v>
      </c>
      <c r="C78" s="18"/>
      <c r="D78" s="19" t="s">
        <v>121</v>
      </c>
      <c r="E78" s="1" t="s">
        <v>41</v>
      </c>
      <c r="F78" s="20" t="s">
        <v>241</v>
      </c>
      <c r="G78">
        <f t="shared" si="14"/>
        <v>7.5</v>
      </c>
      <c r="H78">
        <f t="shared" si="15"/>
        <v>15</v>
      </c>
      <c r="I78">
        <f t="shared" si="16"/>
        <v>15</v>
      </c>
      <c r="J78">
        <f t="shared" si="17"/>
        <v>32.61</v>
      </c>
      <c r="K78">
        <f t="shared" si="18"/>
        <v>5.8697999999999997</v>
      </c>
      <c r="L78">
        <f t="shared" si="19"/>
        <v>3.54</v>
      </c>
      <c r="M78">
        <f t="shared" si="20"/>
        <v>25</v>
      </c>
    </row>
    <row r="79" spans="1:13" ht="15" customHeight="1" x14ac:dyDescent="0.3">
      <c r="A79" s="21" t="s">
        <v>270</v>
      </c>
      <c r="B79" s="22" t="s">
        <v>272</v>
      </c>
      <c r="C79" s="23"/>
      <c r="D79" s="24" t="s">
        <v>121</v>
      </c>
      <c r="E79" s="1" t="s">
        <v>41</v>
      </c>
      <c r="F79" s="20" t="s">
        <v>273</v>
      </c>
      <c r="G79">
        <f t="shared" si="14"/>
        <v>112.5</v>
      </c>
      <c r="H79">
        <f t="shared" si="15"/>
        <v>112.5</v>
      </c>
      <c r="I79">
        <f t="shared" si="16"/>
        <v>93.75</v>
      </c>
      <c r="J79">
        <f t="shared" si="17"/>
        <v>244.57</v>
      </c>
      <c r="K79">
        <f t="shared" si="18"/>
        <v>44.022599999999997</v>
      </c>
      <c r="L79">
        <f t="shared" si="19"/>
        <v>148.86000000000001</v>
      </c>
      <c r="M79">
        <f t="shared" si="20"/>
        <v>156.25</v>
      </c>
    </row>
    <row r="80" spans="1:13" ht="15" customHeight="1" x14ac:dyDescent="0.3">
      <c r="A80" s="16" t="s">
        <v>270</v>
      </c>
      <c r="B80" s="17" t="s">
        <v>276</v>
      </c>
      <c r="C80" s="18"/>
      <c r="D80" s="19" t="s">
        <v>121</v>
      </c>
      <c r="E80" s="1" t="s">
        <v>41</v>
      </c>
      <c r="F80" s="20" t="s">
        <v>277</v>
      </c>
      <c r="G80">
        <f t="shared" si="14"/>
        <v>156.25</v>
      </c>
      <c r="H80">
        <f t="shared" si="15"/>
        <v>150</v>
      </c>
      <c r="I80">
        <f t="shared" si="16"/>
        <v>31.25</v>
      </c>
      <c r="J80">
        <f t="shared" si="17"/>
        <v>326.08999999999997</v>
      </c>
      <c r="K80">
        <f t="shared" si="18"/>
        <v>58.69619999999999</v>
      </c>
      <c r="L80">
        <f t="shared" si="19"/>
        <v>212.07</v>
      </c>
      <c r="M80">
        <f t="shared" si="20"/>
        <v>52.08</v>
      </c>
    </row>
    <row r="81" spans="1:13" ht="15" customHeight="1" x14ac:dyDescent="0.3">
      <c r="A81" s="21" t="s">
        <v>270</v>
      </c>
      <c r="B81" s="22" t="s">
        <v>491</v>
      </c>
      <c r="C81" s="23"/>
      <c r="D81" s="24" t="s">
        <v>121</v>
      </c>
      <c r="E81" s="1" t="s">
        <v>41</v>
      </c>
      <c r="F81" s="20" t="s">
        <v>492</v>
      </c>
      <c r="G81">
        <f t="shared" si="14"/>
        <v>125</v>
      </c>
      <c r="H81">
        <f t="shared" si="15"/>
        <v>75</v>
      </c>
      <c r="I81">
        <f t="shared" si="16"/>
        <v>93.75</v>
      </c>
      <c r="J81">
        <f t="shared" si="17"/>
        <v>163.04</v>
      </c>
      <c r="K81">
        <f t="shared" si="18"/>
        <v>29.347199999999997</v>
      </c>
      <c r="L81">
        <f t="shared" si="19"/>
        <v>207.94</v>
      </c>
      <c r="M81">
        <f t="shared" si="20"/>
        <v>156.25</v>
      </c>
    </row>
    <row r="82" spans="1:13" ht="15" customHeight="1" x14ac:dyDescent="0.3">
      <c r="A82" s="16" t="s">
        <v>270</v>
      </c>
      <c r="B82" s="17" t="s">
        <v>445</v>
      </c>
      <c r="C82" s="18"/>
      <c r="D82" s="19" t="s">
        <v>121</v>
      </c>
      <c r="E82" s="1" t="s">
        <v>41</v>
      </c>
      <c r="F82" s="20" t="s">
        <v>446</v>
      </c>
      <c r="G82">
        <f t="shared" si="14"/>
        <v>150</v>
      </c>
      <c r="H82">
        <f t="shared" si="15"/>
        <v>187.5</v>
      </c>
      <c r="I82">
        <f t="shared" si="16"/>
        <v>187.5</v>
      </c>
      <c r="J82">
        <f t="shared" si="17"/>
        <v>407.61</v>
      </c>
      <c r="K82">
        <f t="shared" si="18"/>
        <v>73.369799999999998</v>
      </c>
      <c r="L82">
        <f t="shared" si="19"/>
        <v>166.59</v>
      </c>
      <c r="M82">
        <f t="shared" si="20"/>
        <v>312.5</v>
      </c>
    </row>
    <row r="83" spans="1:13" ht="15" customHeight="1" x14ac:dyDescent="0.3">
      <c r="A83" s="21" t="s">
        <v>270</v>
      </c>
      <c r="B83" s="22" t="s">
        <v>493</v>
      </c>
      <c r="C83" s="23"/>
      <c r="D83" s="24" t="s">
        <v>121</v>
      </c>
      <c r="E83" s="1" t="s">
        <v>41</v>
      </c>
      <c r="F83" s="20" t="s">
        <v>494</v>
      </c>
      <c r="G83">
        <f t="shared" si="14"/>
        <v>187.5</v>
      </c>
      <c r="H83">
        <f t="shared" si="15"/>
        <v>125</v>
      </c>
      <c r="I83">
        <f t="shared" si="16"/>
        <v>125</v>
      </c>
      <c r="J83">
        <f t="shared" si="17"/>
        <v>271.74</v>
      </c>
      <c r="K83">
        <f t="shared" si="18"/>
        <v>48.913200000000003</v>
      </c>
      <c r="L83">
        <f t="shared" si="19"/>
        <v>301.27999999999997</v>
      </c>
      <c r="M83">
        <f t="shared" si="20"/>
        <v>208.33</v>
      </c>
    </row>
    <row r="84" spans="1:13" ht="15" customHeight="1" x14ac:dyDescent="0.3">
      <c r="A84" s="16" t="s">
        <v>270</v>
      </c>
      <c r="B84" s="17" t="s">
        <v>346</v>
      </c>
      <c r="C84" s="18"/>
      <c r="D84" s="19" t="s">
        <v>121</v>
      </c>
      <c r="E84" s="1" t="s">
        <v>41</v>
      </c>
      <c r="F84" s="20" t="s">
        <v>347</v>
      </c>
      <c r="G84">
        <f t="shared" si="14"/>
        <v>25</v>
      </c>
      <c r="H84">
        <f t="shared" si="15"/>
        <v>12.5</v>
      </c>
      <c r="I84">
        <f t="shared" si="16"/>
        <v>12.5</v>
      </c>
      <c r="J84">
        <f t="shared" si="17"/>
        <v>27.17</v>
      </c>
      <c r="K84">
        <f t="shared" si="18"/>
        <v>4.8906000000000001</v>
      </c>
      <c r="L84">
        <f t="shared" si="19"/>
        <v>43.72</v>
      </c>
      <c r="M84">
        <f t="shared" si="20"/>
        <v>20.83</v>
      </c>
    </row>
  </sheetData>
  <mergeCells count="13">
    <mergeCell ref="A1:C1"/>
    <mergeCell ref="A2:C2"/>
    <mergeCell ref="A3:C3"/>
    <mergeCell ref="A4:C4"/>
    <mergeCell ref="A7:C7"/>
    <mergeCell ref="A66:C66"/>
    <mergeCell ref="A74:C74"/>
    <mergeCell ref="A77:C77"/>
    <mergeCell ref="A17:C17"/>
    <mergeCell ref="A26:C26"/>
    <mergeCell ref="A32:C32"/>
    <mergeCell ref="A35:C35"/>
    <mergeCell ref="A49:C4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43A047"/>
  </sheetPr>
  <dimension ref="A1:M87"/>
  <sheetViews>
    <sheetView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42" customWidth="1"/>
    <col min="3" max="3" width="32" customWidth="1"/>
    <col min="4" max="4" width="18" customWidth="1"/>
    <col min="5" max="18" width="16" customWidth="1"/>
    <col min="19" max="19" width="26" customWidth="1"/>
  </cols>
  <sheetData>
    <row r="1" spans="1:13" ht="31.5" customHeight="1" x14ac:dyDescent="0.3">
      <c r="A1" s="26" t="s">
        <v>830</v>
      </c>
      <c r="B1" s="26"/>
      <c r="C1" s="26"/>
    </row>
    <row r="2" spans="1:13" ht="19.5" customHeight="1" x14ac:dyDescent="0.3">
      <c r="A2" s="27" t="s">
        <v>831</v>
      </c>
      <c r="B2" s="27"/>
      <c r="C2" s="27"/>
    </row>
    <row r="3" spans="1:13" ht="19.5" customHeight="1" x14ac:dyDescent="0.3">
      <c r="A3" s="27" t="s">
        <v>832</v>
      </c>
      <c r="B3" s="27"/>
      <c r="C3" s="27"/>
    </row>
    <row r="4" spans="1:13" ht="19.5" customHeight="1" x14ac:dyDescent="0.3">
      <c r="A4" s="27" t="s">
        <v>833</v>
      </c>
      <c r="B4" s="27"/>
      <c r="C4" s="27"/>
    </row>
    <row r="6" spans="1:13" ht="14.25" customHeight="1" x14ac:dyDescent="0.3">
      <c r="A6" s="7" t="s">
        <v>130</v>
      </c>
      <c r="B6" s="7" t="s">
        <v>131</v>
      </c>
      <c r="C6" s="7" t="s">
        <v>132</v>
      </c>
      <c r="D6" s="14" t="s">
        <v>133</v>
      </c>
      <c r="E6" s="15" t="s">
        <v>35</v>
      </c>
      <c r="F6" s="15" t="s">
        <v>134</v>
      </c>
      <c r="G6" s="15" t="s">
        <v>135</v>
      </c>
      <c r="H6" s="15" t="s">
        <v>136</v>
      </c>
      <c r="I6" s="15" t="s">
        <v>137</v>
      </c>
      <c r="J6" s="15" t="s">
        <v>7</v>
      </c>
      <c r="K6" s="15" t="s">
        <v>138</v>
      </c>
      <c r="L6" s="15" t="s">
        <v>6</v>
      </c>
      <c r="M6" s="15" t="s">
        <v>139</v>
      </c>
    </row>
    <row r="7" spans="1:13" ht="18" customHeight="1" x14ac:dyDescent="0.3">
      <c r="A7" s="25" t="s">
        <v>140</v>
      </c>
      <c r="B7" s="25"/>
      <c r="C7" s="25"/>
      <c r="G7" t="str">
        <f t="shared" ref="G7:G38" si="0">IF($F7="","",IFERROR(VALUE(TRIM(LEFT($F7,FIND(":",$F7)-1)))*1.25,"N/A"))</f>
        <v/>
      </c>
      <c r="H7" t="str">
        <f t="shared" ref="H7:H38" si="1">IF($F7="","",IFERROR(VALUE(TRIM(MID($F7,FIND(":",$F7)+1,FIND(":",$F7,FIND(":",$F7)+1)-FIND(":",$F7)-1)))*1.25,"N/A"))</f>
        <v/>
      </c>
      <c r="I7" t="str">
        <f t="shared" ref="I7:I38" si="2">IF($F7="","",IFERROR(VALUE(TRIM(LEFT(MID($F7,FIND(":",$F7,FIND(":",$F7)+1)+1,LEN($F7)),FIND(" ",MID($F7,FIND(":",$F7,FIND(":",$F7)+1)+1,LEN($F7))&amp;" ")-1)))*1.25,"N/A"))</f>
        <v/>
      </c>
      <c r="J7" t="str">
        <f t="shared" ref="J7:J38" si="3">IF(OR($F7="",$H7="N/A"),IF($F7="","","N/A"),ROUND($H7/0.46,2))</f>
        <v/>
      </c>
      <c r="K7" t="str">
        <f t="shared" ref="K7:K38" si="4">IF(OR($F7="",$J7="N/A"),IF($F7="","","N/A"),$J7*0.18)</f>
        <v/>
      </c>
      <c r="L7" t="str">
        <f t="shared" ref="L7:L38" si="5">IF(OR($F7="",$G7="N/A",$K7="N/A"),IF($F7="","","N/A"),ROUND(($G7-$K7)/0.46,2))</f>
        <v/>
      </c>
      <c r="M7" t="str">
        <f t="shared" ref="M7:M38" si="6">IF(OR($F7="",$I7="N/A"),IF($F7="","","N/A"),ROUND($I7/0.6,2))</f>
        <v/>
      </c>
    </row>
    <row r="8" spans="1:13" ht="15" customHeight="1" x14ac:dyDescent="0.3">
      <c r="A8" s="16" t="s">
        <v>141</v>
      </c>
      <c r="B8" s="17" t="s">
        <v>834</v>
      </c>
      <c r="C8" s="18"/>
      <c r="D8" s="19" t="s">
        <v>46</v>
      </c>
      <c r="E8" s="1" t="s">
        <v>45</v>
      </c>
      <c r="F8" s="20" t="s">
        <v>143</v>
      </c>
      <c r="G8">
        <f t="shared" si="0"/>
        <v>187.5</v>
      </c>
      <c r="H8">
        <f t="shared" si="1"/>
        <v>62.5</v>
      </c>
      <c r="I8">
        <f t="shared" si="2"/>
        <v>62.5</v>
      </c>
      <c r="J8">
        <f t="shared" si="3"/>
        <v>135.87</v>
      </c>
      <c r="K8">
        <f t="shared" si="4"/>
        <v>24.456600000000002</v>
      </c>
      <c r="L8">
        <f t="shared" si="5"/>
        <v>354.44</v>
      </c>
      <c r="M8">
        <f t="shared" si="6"/>
        <v>104.17</v>
      </c>
    </row>
    <row r="9" spans="1:13" ht="15" customHeight="1" x14ac:dyDescent="0.3">
      <c r="A9" s="21" t="s">
        <v>141</v>
      </c>
      <c r="B9" s="22" t="s">
        <v>372</v>
      </c>
      <c r="C9" s="23"/>
      <c r="D9" s="24" t="s">
        <v>46</v>
      </c>
      <c r="E9" s="1" t="s">
        <v>45</v>
      </c>
      <c r="F9" s="20" t="s">
        <v>291</v>
      </c>
      <c r="G9">
        <f t="shared" si="0"/>
        <v>150</v>
      </c>
      <c r="H9">
        <f t="shared" si="1"/>
        <v>75</v>
      </c>
      <c r="I9">
        <f t="shared" si="2"/>
        <v>50</v>
      </c>
      <c r="J9">
        <f t="shared" si="3"/>
        <v>163.04</v>
      </c>
      <c r="K9">
        <f t="shared" si="4"/>
        <v>29.347199999999997</v>
      </c>
      <c r="L9">
        <f t="shared" si="5"/>
        <v>262.29000000000002</v>
      </c>
      <c r="M9">
        <f t="shared" si="6"/>
        <v>83.33</v>
      </c>
    </row>
    <row r="10" spans="1:13" ht="15" customHeight="1" x14ac:dyDescent="0.3">
      <c r="A10" s="16" t="s">
        <v>141</v>
      </c>
      <c r="B10" s="17" t="s">
        <v>144</v>
      </c>
      <c r="C10" s="18"/>
      <c r="D10" s="19" t="s">
        <v>46</v>
      </c>
      <c r="E10" s="1" t="s">
        <v>45</v>
      </c>
      <c r="F10" s="20" t="s">
        <v>145</v>
      </c>
      <c r="G10">
        <f t="shared" si="0"/>
        <v>187.5</v>
      </c>
      <c r="H10">
        <f t="shared" si="1"/>
        <v>93.75</v>
      </c>
      <c r="I10">
        <f t="shared" si="2"/>
        <v>93.75</v>
      </c>
      <c r="J10">
        <f t="shared" si="3"/>
        <v>203.8</v>
      </c>
      <c r="K10">
        <f t="shared" si="4"/>
        <v>36.683999999999997</v>
      </c>
      <c r="L10">
        <f t="shared" si="5"/>
        <v>327.86</v>
      </c>
      <c r="M10">
        <f t="shared" si="6"/>
        <v>156.25</v>
      </c>
    </row>
    <row r="11" spans="1:13" ht="15" customHeight="1" x14ac:dyDescent="0.3">
      <c r="A11" s="21" t="s">
        <v>141</v>
      </c>
      <c r="B11" s="22" t="s">
        <v>373</v>
      </c>
      <c r="C11" s="23"/>
      <c r="D11" s="24" t="s">
        <v>46</v>
      </c>
      <c r="E11" s="1" t="s">
        <v>45</v>
      </c>
      <c r="F11" s="20" t="s">
        <v>374</v>
      </c>
      <c r="G11">
        <f t="shared" si="0"/>
        <v>75</v>
      </c>
      <c r="H11">
        <f t="shared" si="1"/>
        <v>37.5</v>
      </c>
      <c r="I11">
        <f t="shared" si="2"/>
        <v>25</v>
      </c>
      <c r="J11">
        <f t="shared" si="3"/>
        <v>81.52</v>
      </c>
      <c r="K11">
        <f t="shared" si="4"/>
        <v>14.673599999999999</v>
      </c>
      <c r="L11">
        <f t="shared" si="5"/>
        <v>131.13999999999999</v>
      </c>
      <c r="M11">
        <f t="shared" si="6"/>
        <v>41.67</v>
      </c>
    </row>
    <row r="12" spans="1:13" ht="15" customHeight="1" x14ac:dyDescent="0.3">
      <c r="A12" s="16" t="s">
        <v>141</v>
      </c>
      <c r="B12" s="17" t="s">
        <v>355</v>
      </c>
      <c r="C12" s="18"/>
      <c r="D12" s="19" t="s">
        <v>46</v>
      </c>
      <c r="E12" s="1" t="s">
        <v>45</v>
      </c>
      <c r="F12" s="20" t="s">
        <v>153</v>
      </c>
      <c r="G12">
        <f t="shared" si="0"/>
        <v>25</v>
      </c>
      <c r="H12">
        <f t="shared" si="1"/>
        <v>25</v>
      </c>
      <c r="I12">
        <f t="shared" si="2"/>
        <v>12.5</v>
      </c>
      <c r="J12">
        <f t="shared" si="3"/>
        <v>54.35</v>
      </c>
      <c r="K12">
        <f t="shared" si="4"/>
        <v>9.7829999999999995</v>
      </c>
      <c r="L12">
        <f t="shared" si="5"/>
        <v>33.08</v>
      </c>
      <c r="M12">
        <f t="shared" si="6"/>
        <v>20.83</v>
      </c>
    </row>
    <row r="13" spans="1:13" ht="18" customHeight="1" x14ac:dyDescent="0.3">
      <c r="A13" s="25" t="s">
        <v>155</v>
      </c>
      <c r="B13" s="25"/>
      <c r="C13" s="25"/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  <c r="M13" t="str">
        <f t="shared" si="6"/>
        <v/>
      </c>
    </row>
    <row r="14" spans="1:13" ht="15" customHeight="1" x14ac:dyDescent="0.3">
      <c r="A14" s="21" t="s">
        <v>156</v>
      </c>
      <c r="B14" s="22" t="s">
        <v>356</v>
      </c>
      <c r="C14" s="23"/>
      <c r="D14" s="24" t="s">
        <v>46</v>
      </c>
      <c r="E14" s="1" t="s">
        <v>45</v>
      </c>
      <c r="F14" s="20" t="s">
        <v>158</v>
      </c>
      <c r="G14">
        <f t="shared" si="0"/>
        <v>31.25</v>
      </c>
      <c r="H14">
        <f t="shared" si="1"/>
        <v>62.5</v>
      </c>
      <c r="I14">
        <f t="shared" si="2"/>
        <v>37.5</v>
      </c>
      <c r="J14">
        <f t="shared" si="3"/>
        <v>135.87</v>
      </c>
      <c r="K14">
        <f t="shared" si="4"/>
        <v>24.456600000000002</v>
      </c>
      <c r="L14">
        <f t="shared" si="5"/>
        <v>14.77</v>
      </c>
      <c r="M14">
        <f t="shared" si="6"/>
        <v>62.5</v>
      </c>
    </row>
    <row r="15" spans="1:13" ht="15" customHeight="1" x14ac:dyDescent="0.3">
      <c r="A15" s="16" t="s">
        <v>156</v>
      </c>
      <c r="B15" s="17" t="s">
        <v>668</v>
      </c>
      <c r="C15" s="18"/>
      <c r="D15" s="19" t="s">
        <v>46</v>
      </c>
      <c r="E15" s="1" t="s">
        <v>45</v>
      </c>
      <c r="F15" s="20" t="s">
        <v>160</v>
      </c>
      <c r="G15">
        <f t="shared" si="0"/>
        <v>25</v>
      </c>
      <c r="H15">
        <f t="shared" si="1"/>
        <v>50</v>
      </c>
      <c r="I15">
        <f t="shared" si="2"/>
        <v>25</v>
      </c>
      <c r="J15">
        <f t="shared" si="3"/>
        <v>108.7</v>
      </c>
      <c r="K15">
        <f t="shared" si="4"/>
        <v>19.565999999999999</v>
      </c>
      <c r="L15">
        <f t="shared" si="5"/>
        <v>11.81</v>
      </c>
      <c r="M15">
        <f t="shared" si="6"/>
        <v>41.67</v>
      </c>
    </row>
    <row r="16" spans="1:13" ht="15" customHeight="1" x14ac:dyDescent="0.3">
      <c r="A16" s="21" t="s">
        <v>156</v>
      </c>
      <c r="B16" s="22" t="s">
        <v>835</v>
      </c>
      <c r="C16" s="23"/>
      <c r="D16" s="24" t="s">
        <v>46</v>
      </c>
      <c r="E16" s="1" t="s">
        <v>45</v>
      </c>
      <c r="F16" s="20" t="s">
        <v>160</v>
      </c>
      <c r="G16">
        <f t="shared" si="0"/>
        <v>25</v>
      </c>
      <c r="H16">
        <f t="shared" si="1"/>
        <v>50</v>
      </c>
      <c r="I16">
        <f t="shared" si="2"/>
        <v>25</v>
      </c>
      <c r="J16">
        <f t="shared" si="3"/>
        <v>108.7</v>
      </c>
      <c r="K16">
        <f t="shared" si="4"/>
        <v>19.565999999999999</v>
      </c>
      <c r="L16">
        <f t="shared" si="5"/>
        <v>11.81</v>
      </c>
      <c r="M16">
        <f t="shared" si="6"/>
        <v>41.67</v>
      </c>
    </row>
    <row r="17" spans="1:13" ht="15" customHeight="1" x14ac:dyDescent="0.3">
      <c r="A17" s="16" t="s">
        <v>156</v>
      </c>
      <c r="B17" s="17" t="s">
        <v>166</v>
      </c>
      <c r="C17" s="18"/>
      <c r="D17" s="19" t="s">
        <v>46</v>
      </c>
      <c r="E17" s="1" t="s">
        <v>45</v>
      </c>
      <c r="F17" s="20" t="s">
        <v>160</v>
      </c>
      <c r="G17">
        <f t="shared" si="0"/>
        <v>25</v>
      </c>
      <c r="H17">
        <f t="shared" si="1"/>
        <v>50</v>
      </c>
      <c r="I17">
        <f t="shared" si="2"/>
        <v>25</v>
      </c>
      <c r="J17">
        <f t="shared" si="3"/>
        <v>108.7</v>
      </c>
      <c r="K17">
        <f t="shared" si="4"/>
        <v>19.565999999999999</v>
      </c>
      <c r="L17">
        <f t="shared" si="5"/>
        <v>11.81</v>
      </c>
      <c r="M17">
        <f t="shared" si="6"/>
        <v>41.67</v>
      </c>
    </row>
    <row r="18" spans="1:13" ht="15" customHeight="1" x14ac:dyDescent="0.3">
      <c r="A18" s="21" t="s">
        <v>156</v>
      </c>
      <c r="B18" s="22" t="s">
        <v>381</v>
      </c>
      <c r="C18" s="23"/>
      <c r="D18" s="24" t="s">
        <v>46</v>
      </c>
      <c r="E18" s="1" t="s">
        <v>45</v>
      </c>
      <c r="F18" s="20" t="s">
        <v>160</v>
      </c>
      <c r="G18">
        <f t="shared" si="0"/>
        <v>25</v>
      </c>
      <c r="H18">
        <f t="shared" si="1"/>
        <v>50</v>
      </c>
      <c r="I18">
        <f t="shared" si="2"/>
        <v>25</v>
      </c>
      <c r="J18">
        <f t="shared" si="3"/>
        <v>108.7</v>
      </c>
      <c r="K18">
        <f t="shared" si="4"/>
        <v>19.565999999999999</v>
      </c>
      <c r="L18">
        <f t="shared" si="5"/>
        <v>11.81</v>
      </c>
      <c r="M18">
        <f t="shared" si="6"/>
        <v>41.67</v>
      </c>
    </row>
    <row r="19" spans="1:13" ht="15" customHeight="1" x14ac:dyDescent="0.3">
      <c r="A19" s="16" t="s">
        <v>156</v>
      </c>
      <c r="B19" s="17" t="s">
        <v>465</v>
      </c>
      <c r="C19" s="18"/>
      <c r="D19" s="19" t="s">
        <v>46</v>
      </c>
      <c r="E19" s="1" t="s">
        <v>45</v>
      </c>
      <c r="F19" s="20" t="s">
        <v>160</v>
      </c>
      <c r="G19">
        <f t="shared" si="0"/>
        <v>25</v>
      </c>
      <c r="H19">
        <f t="shared" si="1"/>
        <v>50</v>
      </c>
      <c r="I19">
        <f t="shared" si="2"/>
        <v>25</v>
      </c>
      <c r="J19">
        <f t="shared" si="3"/>
        <v>108.7</v>
      </c>
      <c r="K19">
        <f t="shared" si="4"/>
        <v>19.565999999999999</v>
      </c>
      <c r="L19">
        <f t="shared" si="5"/>
        <v>11.81</v>
      </c>
      <c r="M19">
        <f t="shared" si="6"/>
        <v>41.67</v>
      </c>
    </row>
    <row r="20" spans="1:13" ht="15" customHeight="1" x14ac:dyDescent="0.3">
      <c r="A20" s="21" t="s">
        <v>156</v>
      </c>
      <c r="B20" s="22" t="s">
        <v>165</v>
      </c>
      <c r="C20" s="23"/>
      <c r="D20" s="24" t="s">
        <v>46</v>
      </c>
      <c r="E20" s="1" t="s">
        <v>45</v>
      </c>
      <c r="F20" s="20" t="s">
        <v>160</v>
      </c>
      <c r="G20">
        <f t="shared" si="0"/>
        <v>25</v>
      </c>
      <c r="H20">
        <f t="shared" si="1"/>
        <v>50</v>
      </c>
      <c r="I20">
        <f t="shared" si="2"/>
        <v>25</v>
      </c>
      <c r="J20">
        <f t="shared" si="3"/>
        <v>108.7</v>
      </c>
      <c r="K20">
        <f t="shared" si="4"/>
        <v>19.565999999999999</v>
      </c>
      <c r="L20">
        <f t="shared" si="5"/>
        <v>11.81</v>
      </c>
      <c r="M20">
        <f t="shared" si="6"/>
        <v>41.67</v>
      </c>
    </row>
    <row r="21" spans="1:13" ht="18" customHeight="1" x14ac:dyDescent="0.3">
      <c r="A21" s="25" t="s">
        <v>167</v>
      </c>
      <c r="B21" s="25"/>
      <c r="C21" s="25"/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  <c r="L21" t="str">
        <f t="shared" si="5"/>
        <v/>
      </c>
      <c r="M21" t="str">
        <f t="shared" si="6"/>
        <v/>
      </c>
    </row>
    <row r="22" spans="1:13" ht="15" customHeight="1" x14ac:dyDescent="0.3">
      <c r="A22" s="16" t="s">
        <v>168</v>
      </c>
      <c r="B22" s="17" t="s">
        <v>358</v>
      </c>
      <c r="C22" s="18"/>
      <c r="D22" s="19" t="s">
        <v>46</v>
      </c>
      <c r="E22" s="1" t="s">
        <v>45</v>
      </c>
      <c r="F22" s="20" t="s">
        <v>147</v>
      </c>
      <c r="G22">
        <f t="shared" si="0"/>
        <v>100</v>
      </c>
      <c r="H22">
        <f t="shared" si="1"/>
        <v>50</v>
      </c>
      <c r="I22">
        <f t="shared" si="2"/>
        <v>50</v>
      </c>
      <c r="J22">
        <f t="shared" si="3"/>
        <v>108.7</v>
      </c>
      <c r="K22">
        <f t="shared" si="4"/>
        <v>19.565999999999999</v>
      </c>
      <c r="L22">
        <f t="shared" si="5"/>
        <v>174.86</v>
      </c>
      <c r="M22">
        <f t="shared" si="6"/>
        <v>83.33</v>
      </c>
    </row>
    <row r="23" spans="1:13" ht="15" customHeight="1" x14ac:dyDescent="0.3">
      <c r="A23" s="21" t="s">
        <v>168</v>
      </c>
      <c r="B23" s="22" t="s">
        <v>169</v>
      </c>
      <c r="C23" s="23"/>
      <c r="D23" s="24" t="s">
        <v>46</v>
      </c>
      <c r="E23" s="1" t="s">
        <v>45</v>
      </c>
      <c r="F23" s="20" t="s">
        <v>170</v>
      </c>
      <c r="G23">
        <f t="shared" si="0"/>
        <v>25</v>
      </c>
      <c r="H23">
        <f t="shared" si="1"/>
        <v>50</v>
      </c>
      <c r="I23">
        <f t="shared" si="2"/>
        <v>50</v>
      </c>
      <c r="J23">
        <f t="shared" si="3"/>
        <v>108.7</v>
      </c>
      <c r="K23">
        <f t="shared" si="4"/>
        <v>19.565999999999999</v>
      </c>
      <c r="L23">
        <f t="shared" si="5"/>
        <v>11.81</v>
      </c>
      <c r="M23">
        <f t="shared" si="6"/>
        <v>83.33</v>
      </c>
    </row>
    <row r="24" spans="1:13" ht="15" customHeight="1" x14ac:dyDescent="0.3">
      <c r="A24" s="16" t="s">
        <v>168</v>
      </c>
      <c r="B24" s="17" t="s">
        <v>294</v>
      </c>
      <c r="C24" s="18"/>
      <c r="D24" s="19" t="s">
        <v>46</v>
      </c>
      <c r="E24" s="1" t="s">
        <v>45</v>
      </c>
      <c r="F24" s="20" t="s">
        <v>149</v>
      </c>
      <c r="G24">
        <f t="shared" si="0"/>
        <v>50</v>
      </c>
      <c r="H24">
        <f t="shared" si="1"/>
        <v>25</v>
      </c>
      <c r="I24">
        <f t="shared" si="2"/>
        <v>25</v>
      </c>
      <c r="J24">
        <f t="shared" si="3"/>
        <v>54.35</v>
      </c>
      <c r="K24">
        <f t="shared" si="4"/>
        <v>9.7829999999999995</v>
      </c>
      <c r="L24">
        <f t="shared" si="5"/>
        <v>87.43</v>
      </c>
      <c r="M24">
        <f t="shared" si="6"/>
        <v>41.67</v>
      </c>
    </row>
    <row r="25" spans="1:13" ht="15" customHeight="1" x14ac:dyDescent="0.3">
      <c r="A25" s="21" t="s">
        <v>168</v>
      </c>
      <c r="B25" s="22" t="s">
        <v>295</v>
      </c>
      <c r="C25" s="23"/>
      <c r="D25" s="24" t="s">
        <v>46</v>
      </c>
      <c r="E25" s="1" t="s">
        <v>45</v>
      </c>
      <c r="F25" s="20" t="s">
        <v>149</v>
      </c>
      <c r="G25">
        <f t="shared" si="0"/>
        <v>50</v>
      </c>
      <c r="H25">
        <f t="shared" si="1"/>
        <v>25</v>
      </c>
      <c r="I25">
        <f t="shared" si="2"/>
        <v>25</v>
      </c>
      <c r="J25">
        <f t="shared" si="3"/>
        <v>54.35</v>
      </c>
      <c r="K25">
        <f t="shared" si="4"/>
        <v>9.7829999999999995</v>
      </c>
      <c r="L25">
        <f t="shared" si="5"/>
        <v>87.43</v>
      </c>
      <c r="M25">
        <f t="shared" si="6"/>
        <v>41.67</v>
      </c>
    </row>
    <row r="26" spans="1:13" ht="15" customHeight="1" x14ac:dyDescent="0.3">
      <c r="A26" s="16" t="s">
        <v>168</v>
      </c>
      <c r="B26" s="17" t="s">
        <v>206</v>
      </c>
      <c r="C26" s="18"/>
      <c r="D26" s="19" t="s">
        <v>46</v>
      </c>
      <c r="E26" s="1" t="s">
        <v>45</v>
      </c>
      <c r="F26" s="20" t="s">
        <v>207</v>
      </c>
      <c r="G26">
        <f t="shared" si="0"/>
        <v>700</v>
      </c>
      <c r="H26">
        <f t="shared" si="1"/>
        <v>400</v>
      </c>
      <c r="I26">
        <f t="shared" si="2"/>
        <v>1500</v>
      </c>
      <c r="J26">
        <f t="shared" si="3"/>
        <v>869.57</v>
      </c>
      <c r="K26">
        <f t="shared" si="4"/>
        <v>156.52260000000001</v>
      </c>
      <c r="L26">
        <f t="shared" si="5"/>
        <v>1181.47</v>
      </c>
      <c r="M26">
        <f t="shared" si="6"/>
        <v>2500</v>
      </c>
    </row>
    <row r="27" spans="1:13" ht="15" customHeight="1" x14ac:dyDescent="0.3">
      <c r="A27" s="21" t="s">
        <v>168</v>
      </c>
      <c r="B27" s="22" t="s">
        <v>172</v>
      </c>
      <c r="C27" s="23"/>
      <c r="D27" s="24" t="s">
        <v>46</v>
      </c>
      <c r="E27" s="1" t="s">
        <v>45</v>
      </c>
      <c r="F27" s="20" t="s">
        <v>173</v>
      </c>
      <c r="G27">
        <f t="shared" si="0"/>
        <v>75</v>
      </c>
      <c r="H27">
        <f t="shared" si="1"/>
        <v>112.5</v>
      </c>
      <c r="I27">
        <f t="shared" si="2"/>
        <v>75</v>
      </c>
      <c r="J27">
        <f t="shared" si="3"/>
        <v>244.57</v>
      </c>
      <c r="K27">
        <f t="shared" si="4"/>
        <v>44.022599999999997</v>
      </c>
      <c r="L27">
        <f t="shared" si="5"/>
        <v>67.34</v>
      </c>
      <c r="M27">
        <f t="shared" si="6"/>
        <v>125</v>
      </c>
    </row>
    <row r="28" spans="1:13" ht="18" customHeight="1" x14ac:dyDescent="0.3">
      <c r="A28" s="25" t="s">
        <v>180</v>
      </c>
      <c r="B28" s="25"/>
      <c r="C28" s="25"/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5"/>
        <v/>
      </c>
      <c r="M28" t="str">
        <f t="shared" si="6"/>
        <v/>
      </c>
    </row>
    <row r="29" spans="1:13" ht="15" customHeight="1" x14ac:dyDescent="0.3">
      <c r="A29" s="16" t="s">
        <v>181</v>
      </c>
      <c r="B29" s="17" t="s">
        <v>836</v>
      </c>
      <c r="C29" s="18"/>
      <c r="D29" s="19" t="s">
        <v>46</v>
      </c>
      <c r="E29" s="1" t="s">
        <v>45</v>
      </c>
      <c r="F29" s="20" t="s">
        <v>298</v>
      </c>
      <c r="G29">
        <f t="shared" si="0"/>
        <v>75</v>
      </c>
      <c r="H29">
        <f t="shared" si="1"/>
        <v>37.5</v>
      </c>
      <c r="I29">
        <f t="shared" si="2"/>
        <v>37.5</v>
      </c>
      <c r="J29">
        <f t="shared" si="3"/>
        <v>81.52</v>
      </c>
      <c r="K29">
        <f t="shared" si="4"/>
        <v>14.673599999999999</v>
      </c>
      <c r="L29">
        <f t="shared" si="5"/>
        <v>131.13999999999999</v>
      </c>
      <c r="M29">
        <f t="shared" si="6"/>
        <v>62.5</v>
      </c>
    </row>
    <row r="30" spans="1:13" ht="15" customHeight="1" x14ac:dyDescent="0.3">
      <c r="A30" s="21" t="s">
        <v>181</v>
      </c>
      <c r="B30" s="22" t="s">
        <v>182</v>
      </c>
      <c r="C30" s="23"/>
      <c r="D30" s="24" t="s">
        <v>46</v>
      </c>
      <c r="E30" s="1" t="s">
        <v>45</v>
      </c>
      <c r="F30" s="20" t="s">
        <v>183</v>
      </c>
      <c r="G30">
        <f t="shared" si="0"/>
        <v>350</v>
      </c>
      <c r="H30">
        <f t="shared" si="1"/>
        <v>112.5</v>
      </c>
      <c r="I30">
        <f t="shared" si="2"/>
        <v>112.5</v>
      </c>
      <c r="J30">
        <f t="shared" si="3"/>
        <v>244.57</v>
      </c>
      <c r="K30">
        <f t="shared" si="4"/>
        <v>44.022599999999997</v>
      </c>
      <c r="L30">
        <f t="shared" si="5"/>
        <v>665.17</v>
      </c>
      <c r="M30">
        <f t="shared" si="6"/>
        <v>187.5</v>
      </c>
    </row>
    <row r="31" spans="1:13" ht="15" customHeight="1" x14ac:dyDescent="0.3">
      <c r="A31" s="16" t="s">
        <v>181</v>
      </c>
      <c r="B31" s="17" t="s">
        <v>186</v>
      </c>
      <c r="C31" s="18"/>
      <c r="D31" s="19" t="s">
        <v>46</v>
      </c>
      <c r="E31" s="1" t="s">
        <v>45</v>
      </c>
      <c r="F31" s="20" t="s">
        <v>185</v>
      </c>
      <c r="G31">
        <f t="shared" si="0"/>
        <v>125</v>
      </c>
      <c r="H31">
        <f t="shared" si="1"/>
        <v>62.5</v>
      </c>
      <c r="I31">
        <f t="shared" si="2"/>
        <v>62.5</v>
      </c>
      <c r="J31">
        <f t="shared" si="3"/>
        <v>135.87</v>
      </c>
      <c r="K31">
        <f t="shared" si="4"/>
        <v>24.456600000000002</v>
      </c>
      <c r="L31">
        <f t="shared" si="5"/>
        <v>218.57</v>
      </c>
      <c r="M31">
        <f t="shared" si="6"/>
        <v>104.17</v>
      </c>
    </row>
    <row r="32" spans="1:13" ht="15" customHeight="1" x14ac:dyDescent="0.3">
      <c r="A32" s="21" t="s">
        <v>181</v>
      </c>
      <c r="B32" s="22" t="s">
        <v>837</v>
      </c>
      <c r="C32" s="23"/>
      <c r="D32" s="24" t="s">
        <v>46</v>
      </c>
      <c r="E32" s="1" t="s">
        <v>45</v>
      </c>
      <c r="F32" s="20" t="s">
        <v>361</v>
      </c>
      <c r="G32" t="str">
        <f t="shared" si="0"/>
        <v>N/A</v>
      </c>
      <c r="H32" t="str">
        <f t="shared" si="1"/>
        <v>N/A</v>
      </c>
      <c r="I32" t="str">
        <f t="shared" si="2"/>
        <v>N/A</v>
      </c>
      <c r="J32" t="str">
        <f t="shared" si="3"/>
        <v>N/A</v>
      </c>
      <c r="K32" t="str">
        <f t="shared" si="4"/>
        <v>N/A</v>
      </c>
      <c r="L32" t="str">
        <f t="shared" si="5"/>
        <v>N/A</v>
      </c>
      <c r="M32" t="str">
        <f t="shared" si="6"/>
        <v>N/A</v>
      </c>
    </row>
    <row r="33" spans="1:13" ht="15" customHeight="1" x14ac:dyDescent="0.3">
      <c r="A33" s="16" t="s">
        <v>181</v>
      </c>
      <c r="B33" s="17" t="s">
        <v>838</v>
      </c>
      <c r="C33" s="18"/>
      <c r="D33" s="19" t="s">
        <v>46</v>
      </c>
      <c r="E33" s="1" t="s">
        <v>45</v>
      </c>
      <c r="F33" s="20" t="s">
        <v>343</v>
      </c>
      <c r="G33">
        <f t="shared" si="0"/>
        <v>275</v>
      </c>
      <c r="H33">
        <f t="shared" si="1"/>
        <v>56.25</v>
      </c>
      <c r="I33">
        <f t="shared" si="2"/>
        <v>225</v>
      </c>
      <c r="J33">
        <f t="shared" si="3"/>
        <v>122.28</v>
      </c>
      <c r="K33">
        <f t="shared" si="4"/>
        <v>22.010400000000001</v>
      </c>
      <c r="L33">
        <f t="shared" si="5"/>
        <v>549.98</v>
      </c>
      <c r="M33">
        <f t="shared" si="6"/>
        <v>375</v>
      </c>
    </row>
    <row r="34" spans="1:13" ht="18" customHeight="1" x14ac:dyDescent="0.3">
      <c r="A34" s="25" t="s">
        <v>187</v>
      </c>
      <c r="B34" s="25"/>
      <c r="C34" s="25"/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5"/>
        <v/>
      </c>
      <c r="M34" t="str">
        <f t="shared" si="6"/>
        <v/>
      </c>
    </row>
    <row r="35" spans="1:13" ht="15" customHeight="1" x14ac:dyDescent="0.3">
      <c r="A35" s="21" t="s">
        <v>188</v>
      </c>
      <c r="B35" s="22" t="s">
        <v>839</v>
      </c>
      <c r="C35" s="23"/>
      <c r="D35" s="24" t="s">
        <v>46</v>
      </c>
      <c r="E35" s="1" t="s">
        <v>45</v>
      </c>
      <c r="F35" s="20" t="s">
        <v>190</v>
      </c>
      <c r="G35">
        <f t="shared" si="0"/>
        <v>125</v>
      </c>
      <c r="H35">
        <f t="shared" si="1"/>
        <v>125</v>
      </c>
      <c r="I35">
        <f t="shared" si="2"/>
        <v>187.5</v>
      </c>
      <c r="J35">
        <f t="shared" si="3"/>
        <v>271.74</v>
      </c>
      <c r="K35">
        <f t="shared" si="4"/>
        <v>48.913200000000003</v>
      </c>
      <c r="L35">
        <f t="shared" si="5"/>
        <v>165.41</v>
      </c>
      <c r="M35">
        <f t="shared" si="6"/>
        <v>312.5</v>
      </c>
    </row>
    <row r="36" spans="1:13" ht="15" customHeight="1" x14ac:dyDescent="0.3">
      <c r="A36" s="16" t="s">
        <v>188</v>
      </c>
      <c r="B36" s="17" t="s">
        <v>191</v>
      </c>
      <c r="C36" s="18"/>
      <c r="D36" s="19" t="s">
        <v>46</v>
      </c>
      <c r="E36" s="1" t="s">
        <v>45</v>
      </c>
      <c r="F36" s="20" t="s">
        <v>192</v>
      </c>
      <c r="G36">
        <f t="shared" si="0"/>
        <v>137.5</v>
      </c>
      <c r="H36">
        <f t="shared" si="1"/>
        <v>43.75</v>
      </c>
      <c r="I36">
        <f t="shared" si="2"/>
        <v>412.5</v>
      </c>
      <c r="J36">
        <f t="shared" si="3"/>
        <v>95.11</v>
      </c>
      <c r="K36">
        <f t="shared" si="4"/>
        <v>17.119799999999998</v>
      </c>
      <c r="L36">
        <f t="shared" si="5"/>
        <v>261.7</v>
      </c>
      <c r="M36">
        <f t="shared" si="6"/>
        <v>687.5</v>
      </c>
    </row>
    <row r="37" spans="1:13" ht="15" customHeight="1" x14ac:dyDescent="0.3">
      <c r="A37" s="21" t="s">
        <v>188</v>
      </c>
      <c r="B37" s="22" t="s">
        <v>310</v>
      </c>
      <c r="C37" s="23"/>
      <c r="D37" s="24" t="s">
        <v>46</v>
      </c>
      <c r="E37" s="1" t="s">
        <v>45</v>
      </c>
      <c r="F37" s="20" t="s">
        <v>311</v>
      </c>
      <c r="G37">
        <f t="shared" si="0"/>
        <v>125</v>
      </c>
      <c r="H37">
        <f t="shared" si="1"/>
        <v>50</v>
      </c>
      <c r="I37">
        <f t="shared" si="2"/>
        <v>500</v>
      </c>
      <c r="J37">
        <f t="shared" si="3"/>
        <v>108.7</v>
      </c>
      <c r="K37">
        <f t="shared" si="4"/>
        <v>19.565999999999999</v>
      </c>
      <c r="L37">
        <f t="shared" si="5"/>
        <v>229.2</v>
      </c>
      <c r="M37">
        <f t="shared" si="6"/>
        <v>833.33</v>
      </c>
    </row>
    <row r="38" spans="1:13" ht="15" customHeight="1" x14ac:dyDescent="0.3">
      <c r="A38" s="16" t="s">
        <v>188</v>
      </c>
      <c r="B38" s="17" t="s">
        <v>195</v>
      </c>
      <c r="C38" s="18"/>
      <c r="D38" s="19" t="s">
        <v>46</v>
      </c>
      <c r="E38" s="1" t="s">
        <v>45</v>
      </c>
      <c r="F38" s="20" t="s">
        <v>194</v>
      </c>
      <c r="G38">
        <f t="shared" si="0"/>
        <v>125</v>
      </c>
      <c r="H38">
        <f t="shared" si="1"/>
        <v>125</v>
      </c>
      <c r="I38">
        <f t="shared" si="2"/>
        <v>125</v>
      </c>
      <c r="J38">
        <f t="shared" si="3"/>
        <v>271.74</v>
      </c>
      <c r="K38">
        <f t="shared" si="4"/>
        <v>48.913200000000003</v>
      </c>
      <c r="L38">
        <f t="shared" si="5"/>
        <v>165.41</v>
      </c>
      <c r="M38">
        <f t="shared" si="6"/>
        <v>208.33</v>
      </c>
    </row>
    <row r="39" spans="1:13" ht="15" customHeight="1" x14ac:dyDescent="0.3">
      <c r="A39" s="21" t="s">
        <v>188</v>
      </c>
      <c r="B39" s="22" t="s">
        <v>214</v>
      </c>
      <c r="C39" s="23"/>
      <c r="D39" s="24" t="s">
        <v>46</v>
      </c>
      <c r="E39" s="1" t="s">
        <v>45</v>
      </c>
      <c r="F39" s="20" t="s">
        <v>215</v>
      </c>
      <c r="G39">
        <f t="shared" ref="G39:G70" si="7">IF($F39="","",IFERROR(VALUE(TRIM(LEFT($F39,FIND(":",$F39)-1)))*1.25,"N/A"))</f>
        <v>93.75</v>
      </c>
      <c r="H39">
        <f t="shared" ref="H39:H70" si="8">IF($F39="","",IFERROR(VALUE(TRIM(MID($F39,FIND(":",$F39)+1,FIND(":",$F39,FIND(":",$F39)+1)-FIND(":",$F39)-1)))*1.25,"N/A"))</f>
        <v>50</v>
      </c>
      <c r="I39">
        <f t="shared" ref="I39:I70" si="9">IF($F39="","",IFERROR(VALUE(TRIM(LEFT(MID($F39,FIND(":",$F39,FIND(":",$F39)+1)+1,LEN($F39)),FIND(" ",MID($F39,FIND(":",$F39,FIND(":",$F39)+1)+1,LEN($F39))&amp;" ")-1)))*1.25,"N/A"))</f>
        <v>62.5</v>
      </c>
      <c r="J39">
        <f t="shared" ref="J39:J70" si="10">IF(OR($F39="",$H39="N/A"),IF($F39="","","N/A"),ROUND($H39/0.46,2))</f>
        <v>108.7</v>
      </c>
      <c r="K39">
        <f t="shared" ref="K39:K70" si="11">IF(OR($F39="",$J39="N/A"),IF($F39="","","N/A"),$J39*0.18)</f>
        <v>19.565999999999999</v>
      </c>
      <c r="L39">
        <f t="shared" ref="L39:L70" si="12">IF(OR($F39="",$G39="N/A",$K39="N/A"),IF($F39="","","N/A"),ROUND(($G39-$K39)/0.46,2))</f>
        <v>161.27000000000001</v>
      </c>
      <c r="M39">
        <f t="shared" ref="M39:M70" si="13">IF(OR($F39="",$I39="N/A"),IF($F39="","","N/A"),ROUND($I39/0.6,2))</f>
        <v>104.17</v>
      </c>
    </row>
    <row r="40" spans="1:13" ht="15" customHeight="1" x14ac:dyDescent="0.3">
      <c r="A40" s="16" t="s">
        <v>188</v>
      </c>
      <c r="B40" s="17" t="s">
        <v>193</v>
      </c>
      <c r="C40" s="18"/>
      <c r="D40" s="19" t="s">
        <v>46</v>
      </c>
      <c r="E40" s="1" t="s">
        <v>45</v>
      </c>
      <c r="F40" s="20" t="s">
        <v>194</v>
      </c>
      <c r="G40">
        <f t="shared" si="7"/>
        <v>125</v>
      </c>
      <c r="H40">
        <f t="shared" si="8"/>
        <v>125</v>
      </c>
      <c r="I40">
        <f t="shared" si="9"/>
        <v>125</v>
      </c>
      <c r="J40">
        <f t="shared" si="10"/>
        <v>271.74</v>
      </c>
      <c r="K40">
        <f t="shared" si="11"/>
        <v>48.913200000000003</v>
      </c>
      <c r="L40">
        <f t="shared" si="12"/>
        <v>165.41</v>
      </c>
      <c r="M40">
        <f t="shared" si="13"/>
        <v>208.33</v>
      </c>
    </row>
    <row r="41" spans="1:13" ht="15" customHeight="1" x14ac:dyDescent="0.3">
      <c r="A41" s="21" t="s">
        <v>188</v>
      </c>
      <c r="B41" s="22" t="s">
        <v>840</v>
      </c>
      <c r="C41" s="23"/>
      <c r="D41" s="24" t="s">
        <v>46</v>
      </c>
      <c r="E41" s="1" t="s">
        <v>45</v>
      </c>
      <c r="F41" s="20" t="s">
        <v>306</v>
      </c>
      <c r="G41">
        <f t="shared" si="7"/>
        <v>20</v>
      </c>
      <c r="H41">
        <f t="shared" si="8"/>
        <v>5</v>
      </c>
      <c r="I41">
        <f t="shared" si="9"/>
        <v>15</v>
      </c>
      <c r="J41">
        <f t="shared" si="10"/>
        <v>10.87</v>
      </c>
      <c r="K41">
        <f t="shared" si="11"/>
        <v>1.9565999999999999</v>
      </c>
      <c r="L41">
        <f t="shared" si="12"/>
        <v>39.22</v>
      </c>
      <c r="M41">
        <f t="shared" si="13"/>
        <v>25</v>
      </c>
    </row>
    <row r="42" spans="1:13" ht="15" customHeight="1" x14ac:dyDescent="0.3">
      <c r="A42" s="16" t="s">
        <v>188</v>
      </c>
      <c r="B42" s="17" t="s">
        <v>206</v>
      </c>
      <c r="C42" s="18"/>
      <c r="D42" s="19" t="s">
        <v>46</v>
      </c>
      <c r="E42" s="1" t="s">
        <v>45</v>
      </c>
      <c r="F42" s="20" t="s">
        <v>207</v>
      </c>
      <c r="G42">
        <f t="shared" si="7"/>
        <v>700</v>
      </c>
      <c r="H42">
        <f t="shared" si="8"/>
        <v>400</v>
      </c>
      <c r="I42">
        <f t="shared" si="9"/>
        <v>1500</v>
      </c>
      <c r="J42">
        <f t="shared" si="10"/>
        <v>869.57</v>
      </c>
      <c r="K42">
        <f t="shared" si="11"/>
        <v>156.52260000000001</v>
      </c>
      <c r="L42">
        <f t="shared" si="12"/>
        <v>1181.47</v>
      </c>
      <c r="M42">
        <f t="shared" si="13"/>
        <v>2500</v>
      </c>
    </row>
    <row r="43" spans="1:13" ht="15" customHeight="1" x14ac:dyDescent="0.3">
      <c r="A43" s="21" t="s">
        <v>188</v>
      </c>
      <c r="B43" s="22" t="s">
        <v>802</v>
      </c>
      <c r="C43" s="23"/>
      <c r="D43" s="24" t="s">
        <v>46</v>
      </c>
      <c r="E43" s="1" t="s">
        <v>45</v>
      </c>
      <c r="F43" s="20" t="s">
        <v>199</v>
      </c>
      <c r="G43">
        <f t="shared" si="7"/>
        <v>750</v>
      </c>
      <c r="H43">
        <f t="shared" si="8"/>
        <v>250</v>
      </c>
      <c r="I43">
        <f t="shared" si="9"/>
        <v>375</v>
      </c>
      <c r="J43">
        <f t="shared" si="10"/>
        <v>543.48</v>
      </c>
      <c r="K43">
        <f t="shared" si="11"/>
        <v>97.826400000000007</v>
      </c>
      <c r="L43">
        <f t="shared" si="12"/>
        <v>1417.77</v>
      </c>
      <c r="M43">
        <f t="shared" si="13"/>
        <v>625</v>
      </c>
    </row>
    <row r="44" spans="1:13" ht="15" customHeight="1" x14ac:dyDescent="0.3">
      <c r="A44" s="16" t="s">
        <v>188</v>
      </c>
      <c r="B44" s="17" t="s">
        <v>801</v>
      </c>
      <c r="C44" s="18"/>
      <c r="D44" s="19" t="s">
        <v>46</v>
      </c>
      <c r="E44" s="1" t="s">
        <v>45</v>
      </c>
      <c r="F44" s="20" t="s">
        <v>211</v>
      </c>
      <c r="G44">
        <f t="shared" si="7"/>
        <v>93.75</v>
      </c>
      <c r="H44">
        <f t="shared" si="8"/>
        <v>75</v>
      </c>
      <c r="I44">
        <f t="shared" si="9"/>
        <v>62.5</v>
      </c>
      <c r="J44">
        <f t="shared" si="10"/>
        <v>163.04</v>
      </c>
      <c r="K44">
        <f t="shared" si="11"/>
        <v>29.347199999999997</v>
      </c>
      <c r="L44">
        <f t="shared" si="12"/>
        <v>140.01</v>
      </c>
      <c r="M44">
        <f t="shared" si="13"/>
        <v>104.17</v>
      </c>
    </row>
    <row r="45" spans="1:13" ht="15" customHeight="1" x14ac:dyDescent="0.3">
      <c r="A45" s="21" t="s">
        <v>188</v>
      </c>
      <c r="B45" s="22" t="s">
        <v>386</v>
      </c>
      <c r="C45" s="23"/>
      <c r="D45" s="24" t="s">
        <v>46</v>
      </c>
      <c r="E45" s="1" t="s">
        <v>45</v>
      </c>
      <c r="F45" s="20" t="s">
        <v>211</v>
      </c>
      <c r="G45">
        <f t="shared" si="7"/>
        <v>93.75</v>
      </c>
      <c r="H45">
        <f t="shared" si="8"/>
        <v>75</v>
      </c>
      <c r="I45">
        <f t="shared" si="9"/>
        <v>62.5</v>
      </c>
      <c r="J45">
        <f t="shared" si="10"/>
        <v>163.04</v>
      </c>
      <c r="K45">
        <f t="shared" si="11"/>
        <v>29.347199999999997</v>
      </c>
      <c r="L45">
        <f t="shared" si="12"/>
        <v>140.01</v>
      </c>
      <c r="M45">
        <f t="shared" si="13"/>
        <v>104.17</v>
      </c>
    </row>
    <row r="46" spans="1:13" ht="15" customHeight="1" x14ac:dyDescent="0.3">
      <c r="A46" s="16" t="s">
        <v>188</v>
      </c>
      <c r="B46" s="17" t="s">
        <v>418</v>
      </c>
      <c r="C46" s="18"/>
      <c r="D46" s="19" t="s">
        <v>46</v>
      </c>
      <c r="E46" s="1" t="s">
        <v>45</v>
      </c>
      <c r="F46" s="20" t="s">
        <v>190</v>
      </c>
      <c r="G46">
        <f t="shared" si="7"/>
        <v>125</v>
      </c>
      <c r="H46">
        <f t="shared" si="8"/>
        <v>125</v>
      </c>
      <c r="I46">
        <f t="shared" si="9"/>
        <v>187.5</v>
      </c>
      <c r="J46">
        <f t="shared" si="10"/>
        <v>271.74</v>
      </c>
      <c r="K46">
        <f t="shared" si="11"/>
        <v>48.913200000000003</v>
      </c>
      <c r="L46">
        <f t="shared" si="12"/>
        <v>165.41</v>
      </c>
      <c r="M46">
        <f t="shared" si="13"/>
        <v>312.5</v>
      </c>
    </row>
    <row r="47" spans="1:13" ht="18" customHeight="1" x14ac:dyDescent="0.3">
      <c r="A47" s="25" t="s">
        <v>220</v>
      </c>
      <c r="B47" s="25"/>
      <c r="C47" s="25"/>
      <c r="G47" t="str">
        <f t="shared" si="7"/>
        <v/>
      </c>
      <c r="H47" t="str">
        <f t="shared" si="8"/>
        <v/>
      </c>
      <c r="I47" t="str">
        <f t="shared" si="9"/>
        <v/>
      </c>
      <c r="J47" t="str">
        <f t="shared" si="10"/>
        <v/>
      </c>
      <c r="K47" t="str">
        <f t="shared" si="11"/>
        <v/>
      </c>
      <c r="L47" t="str">
        <f t="shared" si="12"/>
        <v/>
      </c>
      <c r="M47" t="str">
        <f t="shared" si="13"/>
        <v/>
      </c>
    </row>
    <row r="48" spans="1:13" ht="15" customHeight="1" x14ac:dyDescent="0.3">
      <c r="A48" s="21" t="s">
        <v>221</v>
      </c>
      <c r="B48" s="22" t="s">
        <v>841</v>
      </c>
      <c r="C48" s="23"/>
      <c r="D48" s="24" t="s">
        <v>46</v>
      </c>
      <c r="E48" s="1" t="s">
        <v>45</v>
      </c>
      <c r="F48" s="20" t="s">
        <v>322</v>
      </c>
      <c r="G48">
        <f t="shared" si="7"/>
        <v>150</v>
      </c>
      <c r="H48">
        <f t="shared" si="8"/>
        <v>300</v>
      </c>
      <c r="I48">
        <f t="shared" si="9"/>
        <v>150</v>
      </c>
      <c r="J48">
        <f t="shared" si="10"/>
        <v>652.16999999999996</v>
      </c>
      <c r="K48">
        <f t="shared" si="11"/>
        <v>117.39059999999999</v>
      </c>
      <c r="L48">
        <f t="shared" si="12"/>
        <v>70.89</v>
      </c>
      <c r="M48">
        <f t="shared" si="13"/>
        <v>250</v>
      </c>
    </row>
    <row r="49" spans="1:13" ht="15" customHeight="1" x14ac:dyDescent="0.3">
      <c r="A49" s="16" t="s">
        <v>221</v>
      </c>
      <c r="B49" s="17" t="s">
        <v>222</v>
      </c>
      <c r="C49" s="18"/>
      <c r="D49" s="19" t="s">
        <v>46</v>
      </c>
      <c r="E49" s="1" t="s">
        <v>45</v>
      </c>
      <c r="F49" s="20" t="s">
        <v>223</v>
      </c>
      <c r="G49">
        <f t="shared" si="7"/>
        <v>187.5</v>
      </c>
      <c r="H49">
        <f t="shared" si="8"/>
        <v>125</v>
      </c>
      <c r="I49">
        <f t="shared" si="9"/>
        <v>62.5</v>
      </c>
      <c r="J49">
        <f t="shared" si="10"/>
        <v>271.74</v>
      </c>
      <c r="K49">
        <f t="shared" si="11"/>
        <v>48.913200000000003</v>
      </c>
      <c r="L49">
        <f t="shared" si="12"/>
        <v>301.27999999999997</v>
      </c>
      <c r="M49">
        <f t="shared" si="13"/>
        <v>104.17</v>
      </c>
    </row>
    <row r="50" spans="1:13" ht="15" customHeight="1" x14ac:dyDescent="0.3">
      <c r="A50" s="21" t="s">
        <v>221</v>
      </c>
      <c r="B50" s="22" t="s">
        <v>230</v>
      </c>
      <c r="C50" s="23"/>
      <c r="D50" s="24" t="s">
        <v>46</v>
      </c>
      <c r="E50" s="1" t="s">
        <v>45</v>
      </c>
      <c r="F50" s="20" t="s">
        <v>231</v>
      </c>
      <c r="G50">
        <f t="shared" si="7"/>
        <v>125</v>
      </c>
      <c r="H50">
        <f t="shared" si="8"/>
        <v>187.5</v>
      </c>
      <c r="I50">
        <f t="shared" si="9"/>
        <v>93.75</v>
      </c>
      <c r="J50">
        <f t="shared" si="10"/>
        <v>407.61</v>
      </c>
      <c r="K50">
        <f t="shared" si="11"/>
        <v>73.369799999999998</v>
      </c>
      <c r="L50">
        <f t="shared" si="12"/>
        <v>112.24</v>
      </c>
      <c r="M50">
        <f t="shared" si="13"/>
        <v>156.25</v>
      </c>
    </row>
    <row r="51" spans="1:13" ht="15" customHeight="1" x14ac:dyDescent="0.3">
      <c r="A51" s="16" t="s">
        <v>221</v>
      </c>
      <c r="B51" s="17" t="s">
        <v>325</v>
      </c>
      <c r="C51" s="18"/>
      <c r="D51" s="19" t="s">
        <v>46</v>
      </c>
      <c r="E51" s="1" t="s">
        <v>45</v>
      </c>
      <c r="F51" s="20" t="s">
        <v>225</v>
      </c>
      <c r="G51">
        <f t="shared" si="7"/>
        <v>125</v>
      </c>
      <c r="H51">
        <f t="shared" si="8"/>
        <v>62.5</v>
      </c>
      <c r="I51">
        <f t="shared" si="9"/>
        <v>37.5</v>
      </c>
      <c r="J51">
        <f t="shared" si="10"/>
        <v>135.87</v>
      </c>
      <c r="K51">
        <f t="shared" si="11"/>
        <v>24.456600000000002</v>
      </c>
      <c r="L51">
        <f t="shared" si="12"/>
        <v>218.57</v>
      </c>
      <c r="M51">
        <f t="shared" si="13"/>
        <v>62.5</v>
      </c>
    </row>
    <row r="52" spans="1:13" ht="15" customHeight="1" x14ac:dyDescent="0.3">
      <c r="A52" s="21" t="s">
        <v>221</v>
      </c>
      <c r="B52" s="22" t="s">
        <v>326</v>
      </c>
      <c r="C52" s="23"/>
      <c r="D52" s="24" t="s">
        <v>46</v>
      </c>
      <c r="E52" s="1" t="s">
        <v>45</v>
      </c>
      <c r="F52" s="20" t="s">
        <v>227</v>
      </c>
      <c r="G52">
        <f t="shared" si="7"/>
        <v>50</v>
      </c>
      <c r="H52">
        <f t="shared" si="8"/>
        <v>62.5</v>
      </c>
      <c r="I52">
        <f t="shared" si="9"/>
        <v>37.5</v>
      </c>
      <c r="J52">
        <f t="shared" si="10"/>
        <v>135.87</v>
      </c>
      <c r="K52">
        <f t="shared" si="11"/>
        <v>24.456600000000002</v>
      </c>
      <c r="L52">
        <f t="shared" si="12"/>
        <v>55.53</v>
      </c>
      <c r="M52">
        <f t="shared" si="13"/>
        <v>62.5</v>
      </c>
    </row>
    <row r="53" spans="1:13" ht="15" customHeight="1" x14ac:dyDescent="0.3">
      <c r="A53" s="16" t="s">
        <v>221</v>
      </c>
      <c r="B53" s="17" t="s">
        <v>234</v>
      </c>
      <c r="C53" s="18"/>
      <c r="D53" s="19" t="s">
        <v>46</v>
      </c>
      <c r="E53" s="1" t="s">
        <v>45</v>
      </c>
      <c r="F53" s="20" t="s">
        <v>235</v>
      </c>
      <c r="G53">
        <f t="shared" si="7"/>
        <v>125</v>
      </c>
      <c r="H53">
        <f t="shared" si="8"/>
        <v>125</v>
      </c>
      <c r="I53">
        <f t="shared" si="9"/>
        <v>62.5</v>
      </c>
      <c r="J53">
        <f t="shared" si="10"/>
        <v>271.74</v>
      </c>
      <c r="K53">
        <f t="shared" si="11"/>
        <v>48.913200000000003</v>
      </c>
      <c r="L53">
        <f t="shared" si="12"/>
        <v>165.41</v>
      </c>
      <c r="M53">
        <f t="shared" si="13"/>
        <v>104.17</v>
      </c>
    </row>
    <row r="54" spans="1:13" ht="15" customHeight="1" x14ac:dyDescent="0.3">
      <c r="A54" s="21" t="s">
        <v>221</v>
      </c>
      <c r="B54" s="22" t="s">
        <v>232</v>
      </c>
      <c r="C54" s="23"/>
      <c r="D54" s="24" t="s">
        <v>46</v>
      </c>
      <c r="E54" s="1" t="s">
        <v>45</v>
      </c>
      <c r="F54" s="20" t="s">
        <v>233</v>
      </c>
      <c r="G54">
        <f t="shared" si="7"/>
        <v>125</v>
      </c>
      <c r="H54">
        <f t="shared" si="8"/>
        <v>156.25</v>
      </c>
      <c r="I54">
        <f t="shared" si="9"/>
        <v>31.25</v>
      </c>
      <c r="J54">
        <f t="shared" si="10"/>
        <v>339.67</v>
      </c>
      <c r="K54">
        <f t="shared" si="11"/>
        <v>61.140599999999999</v>
      </c>
      <c r="L54">
        <f t="shared" si="12"/>
        <v>138.82</v>
      </c>
      <c r="M54">
        <f t="shared" si="13"/>
        <v>52.08</v>
      </c>
    </row>
    <row r="55" spans="1:13" ht="15" customHeight="1" x14ac:dyDescent="0.3">
      <c r="A55" s="16" t="s">
        <v>221</v>
      </c>
      <c r="B55" s="17" t="s">
        <v>240</v>
      </c>
      <c r="C55" s="18"/>
      <c r="D55" s="19" t="s">
        <v>46</v>
      </c>
      <c r="E55" s="1" t="s">
        <v>45</v>
      </c>
      <c r="F55" s="20" t="s">
        <v>241</v>
      </c>
      <c r="G55">
        <f t="shared" si="7"/>
        <v>7.5</v>
      </c>
      <c r="H55">
        <f t="shared" si="8"/>
        <v>15</v>
      </c>
      <c r="I55">
        <f t="shared" si="9"/>
        <v>15</v>
      </c>
      <c r="J55">
        <f t="shared" si="10"/>
        <v>32.61</v>
      </c>
      <c r="K55">
        <f t="shared" si="11"/>
        <v>5.8697999999999997</v>
      </c>
      <c r="L55">
        <f t="shared" si="12"/>
        <v>3.54</v>
      </c>
      <c r="M55">
        <f t="shared" si="13"/>
        <v>25</v>
      </c>
    </row>
    <row r="56" spans="1:13" ht="15" customHeight="1" x14ac:dyDescent="0.3">
      <c r="A56" s="21" t="s">
        <v>221</v>
      </c>
      <c r="B56" s="22" t="s">
        <v>842</v>
      </c>
      <c r="C56" s="23"/>
      <c r="D56" s="24" t="s">
        <v>46</v>
      </c>
      <c r="E56" s="1" t="s">
        <v>45</v>
      </c>
      <c r="F56" s="20" t="s">
        <v>577</v>
      </c>
      <c r="G56">
        <f t="shared" si="7"/>
        <v>93.75</v>
      </c>
      <c r="H56">
        <f t="shared" si="8"/>
        <v>50</v>
      </c>
      <c r="I56">
        <f t="shared" si="9"/>
        <v>93.75</v>
      </c>
      <c r="J56">
        <f t="shared" si="10"/>
        <v>108.7</v>
      </c>
      <c r="K56">
        <f t="shared" si="11"/>
        <v>19.565999999999999</v>
      </c>
      <c r="L56">
        <f t="shared" si="12"/>
        <v>161.27000000000001</v>
      </c>
      <c r="M56">
        <f t="shared" si="13"/>
        <v>156.25</v>
      </c>
    </row>
    <row r="57" spans="1:13" ht="15" customHeight="1" x14ac:dyDescent="0.3">
      <c r="A57" s="16" t="s">
        <v>221</v>
      </c>
      <c r="B57" s="17" t="s">
        <v>244</v>
      </c>
      <c r="C57" s="18"/>
      <c r="D57" s="19" t="s">
        <v>46</v>
      </c>
      <c r="E57" s="1" t="s">
        <v>45</v>
      </c>
      <c r="F57" s="20" t="s">
        <v>241</v>
      </c>
      <c r="G57">
        <f t="shared" si="7"/>
        <v>7.5</v>
      </c>
      <c r="H57">
        <f t="shared" si="8"/>
        <v>15</v>
      </c>
      <c r="I57">
        <f t="shared" si="9"/>
        <v>15</v>
      </c>
      <c r="J57">
        <f t="shared" si="10"/>
        <v>32.61</v>
      </c>
      <c r="K57">
        <f t="shared" si="11"/>
        <v>5.8697999999999997</v>
      </c>
      <c r="L57">
        <f t="shared" si="12"/>
        <v>3.54</v>
      </c>
      <c r="M57">
        <f t="shared" si="13"/>
        <v>25</v>
      </c>
    </row>
    <row r="58" spans="1:13" ht="15" customHeight="1" x14ac:dyDescent="0.3">
      <c r="A58" s="21" t="s">
        <v>221</v>
      </c>
      <c r="B58" s="22" t="s">
        <v>329</v>
      </c>
      <c r="C58" s="23"/>
      <c r="D58" s="24" t="s">
        <v>46</v>
      </c>
      <c r="E58" s="1" t="s">
        <v>45</v>
      </c>
      <c r="F58" s="20" t="s">
        <v>330</v>
      </c>
      <c r="G58">
        <f t="shared" si="7"/>
        <v>62.5</v>
      </c>
      <c r="H58">
        <f t="shared" si="8"/>
        <v>125</v>
      </c>
      <c r="I58">
        <f t="shared" si="9"/>
        <v>62.5</v>
      </c>
      <c r="J58">
        <f t="shared" si="10"/>
        <v>271.74</v>
      </c>
      <c r="K58">
        <f t="shared" si="11"/>
        <v>48.913200000000003</v>
      </c>
      <c r="L58">
        <f t="shared" si="12"/>
        <v>29.54</v>
      </c>
      <c r="M58">
        <f t="shared" si="13"/>
        <v>104.17</v>
      </c>
    </row>
    <row r="59" spans="1:13" ht="15" customHeight="1" x14ac:dyDescent="0.3">
      <c r="A59" s="16" t="s">
        <v>221</v>
      </c>
      <c r="B59" s="17" t="s">
        <v>331</v>
      </c>
      <c r="C59" s="18"/>
      <c r="D59" s="19" t="s">
        <v>46</v>
      </c>
      <c r="E59" s="1" t="s">
        <v>45</v>
      </c>
      <c r="F59" s="20" t="s">
        <v>332</v>
      </c>
      <c r="G59">
        <f t="shared" si="7"/>
        <v>168.75</v>
      </c>
      <c r="H59">
        <f t="shared" si="8"/>
        <v>168.75</v>
      </c>
      <c r="I59">
        <f t="shared" si="9"/>
        <v>168.75</v>
      </c>
      <c r="J59">
        <f t="shared" si="10"/>
        <v>366.85</v>
      </c>
      <c r="K59">
        <f t="shared" si="11"/>
        <v>66.033000000000001</v>
      </c>
      <c r="L59">
        <f t="shared" si="12"/>
        <v>223.3</v>
      </c>
      <c r="M59">
        <f t="shared" si="13"/>
        <v>281.25</v>
      </c>
    </row>
    <row r="60" spans="1:13" ht="15" customHeight="1" x14ac:dyDescent="0.3">
      <c r="A60" s="21" t="s">
        <v>221</v>
      </c>
      <c r="B60" s="22" t="s">
        <v>327</v>
      </c>
      <c r="C60" s="23"/>
      <c r="D60" s="24" t="s">
        <v>46</v>
      </c>
      <c r="E60" s="1" t="s">
        <v>45</v>
      </c>
      <c r="F60" s="20" t="s">
        <v>328</v>
      </c>
      <c r="G60">
        <f t="shared" si="7"/>
        <v>150</v>
      </c>
      <c r="H60">
        <f t="shared" si="8"/>
        <v>100</v>
      </c>
      <c r="I60">
        <f t="shared" si="9"/>
        <v>87.5</v>
      </c>
      <c r="J60">
        <f t="shared" si="10"/>
        <v>217.39</v>
      </c>
      <c r="K60">
        <f t="shared" si="11"/>
        <v>39.130199999999995</v>
      </c>
      <c r="L60">
        <f t="shared" si="12"/>
        <v>241.02</v>
      </c>
      <c r="M60">
        <f t="shared" si="13"/>
        <v>145.83000000000001</v>
      </c>
    </row>
    <row r="61" spans="1:13" ht="15" customHeight="1" x14ac:dyDescent="0.3">
      <c r="A61" s="16" t="s">
        <v>221</v>
      </c>
      <c r="B61" s="17" t="s">
        <v>389</v>
      </c>
      <c r="C61" s="18"/>
      <c r="D61" s="19" t="s">
        <v>46</v>
      </c>
      <c r="E61" s="1" t="s">
        <v>45</v>
      </c>
      <c r="F61" s="20" t="s">
        <v>390</v>
      </c>
      <c r="G61">
        <f t="shared" si="7"/>
        <v>156.25</v>
      </c>
      <c r="H61">
        <f t="shared" si="8"/>
        <v>112.5</v>
      </c>
      <c r="I61">
        <f t="shared" si="9"/>
        <v>62.5</v>
      </c>
      <c r="J61">
        <f t="shared" si="10"/>
        <v>244.57</v>
      </c>
      <c r="K61">
        <f t="shared" si="11"/>
        <v>44.022599999999997</v>
      </c>
      <c r="L61">
        <f t="shared" si="12"/>
        <v>243.97</v>
      </c>
      <c r="M61">
        <f t="shared" si="13"/>
        <v>104.17</v>
      </c>
    </row>
    <row r="62" spans="1:13" ht="15" customHeight="1" x14ac:dyDescent="0.3">
      <c r="A62" s="21" t="s">
        <v>221</v>
      </c>
      <c r="B62" s="22" t="s">
        <v>236</v>
      </c>
      <c r="C62" s="23"/>
      <c r="D62" s="24" t="s">
        <v>46</v>
      </c>
      <c r="E62" s="1" t="s">
        <v>45</v>
      </c>
      <c r="F62" s="20" t="s">
        <v>237</v>
      </c>
      <c r="G62">
        <f t="shared" si="7"/>
        <v>62.5</v>
      </c>
      <c r="H62">
        <f t="shared" si="8"/>
        <v>62.5</v>
      </c>
      <c r="I62">
        <f t="shared" si="9"/>
        <v>62.5</v>
      </c>
      <c r="J62">
        <f t="shared" si="10"/>
        <v>135.87</v>
      </c>
      <c r="K62">
        <f t="shared" si="11"/>
        <v>24.456600000000002</v>
      </c>
      <c r="L62">
        <f t="shared" si="12"/>
        <v>82.7</v>
      </c>
      <c r="M62">
        <f t="shared" si="13"/>
        <v>104.17</v>
      </c>
    </row>
    <row r="63" spans="1:13" ht="15" customHeight="1" x14ac:dyDescent="0.3">
      <c r="A63" s="16" t="s">
        <v>221</v>
      </c>
      <c r="B63" s="17" t="s">
        <v>333</v>
      </c>
      <c r="C63" s="18"/>
      <c r="D63" s="19" t="s">
        <v>46</v>
      </c>
      <c r="E63" s="1" t="s">
        <v>45</v>
      </c>
      <c r="F63" s="20" t="s">
        <v>334</v>
      </c>
      <c r="G63">
        <f t="shared" si="7"/>
        <v>50</v>
      </c>
      <c r="H63">
        <f t="shared" si="8"/>
        <v>75</v>
      </c>
      <c r="I63">
        <f t="shared" si="9"/>
        <v>150</v>
      </c>
      <c r="J63">
        <f t="shared" si="10"/>
        <v>163.04</v>
      </c>
      <c r="K63">
        <f t="shared" si="11"/>
        <v>29.347199999999997</v>
      </c>
      <c r="L63">
        <f t="shared" si="12"/>
        <v>44.9</v>
      </c>
      <c r="M63">
        <f t="shared" si="13"/>
        <v>250</v>
      </c>
    </row>
    <row r="64" spans="1:13" ht="15" customHeight="1" x14ac:dyDescent="0.3">
      <c r="A64" s="21" t="s">
        <v>221</v>
      </c>
      <c r="B64" s="22" t="s">
        <v>406</v>
      </c>
      <c r="C64" s="23"/>
      <c r="D64" s="24" t="s">
        <v>46</v>
      </c>
      <c r="E64" s="1" t="s">
        <v>45</v>
      </c>
      <c r="F64" s="20" t="s">
        <v>407</v>
      </c>
      <c r="G64">
        <f t="shared" si="7"/>
        <v>50</v>
      </c>
      <c r="H64">
        <f t="shared" si="8"/>
        <v>100</v>
      </c>
      <c r="I64">
        <f t="shared" si="9"/>
        <v>150</v>
      </c>
      <c r="J64">
        <f t="shared" si="10"/>
        <v>217.39</v>
      </c>
      <c r="K64">
        <f t="shared" si="11"/>
        <v>39.130199999999995</v>
      </c>
      <c r="L64">
        <f t="shared" si="12"/>
        <v>23.63</v>
      </c>
      <c r="M64">
        <f t="shared" si="13"/>
        <v>250</v>
      </c>
    </row>
    <row r="65" spans="1:13" ht="15" customHeight="1" x14ac:dyDescent="0.3">
      <c r="A65" s="16" t="s">
        <v>221</v>
      </c>
      <c r="B65" s="17" t="s">
        <v>323</v>
      </c>
      <c r="C65" s="18"/>
      <c r="D65" s="19" t="s">
        <v>46</v>
      </c>
      <c r="E65" s="1" t="s">
        <v>45</v>
      </c>
      <c r="F65" s="20" t="s">
        <v>324</v>
      </c>
      <c r="G65">
        <f t="shared" si="7"/>
        <v>93.75</v>
      </c>
      <c r="H65">
        <f t="shared" si="8"/>
        <v>62.5</v>
      </c>
      <c r="I65">
        <f t="shared" si="9"/>
        <v>62.5</v>
      </c>
      <c r="J65">
        <f t="shared" si="10"/>
        <v>135.87</v>
      </c>
      <c r="K65">
        <f t="shared" si="11"/>
        <v>24.456600000000002</v>
      </c>
      <c r="L65">
        <f t="shared" si="12"/>
        <v>150.63999999999999</v>
      </c>
      <c r="M65">
        <f t="shared" si="13"/>
        <v>104.17</v>
      </c>
    </row>
    <row r="66" spans="1:13" ht="15" customHeight="1" x14ac:dyDescent="0.3">
      <c r="A66" s="21" t="s">
        <v>221</v>
      </c>
      <c r="B66" s="22" t="s">
        <v>365</v>
      </c>
      <c r="C66" s="23"/>
      <c r="D66" s="24" t="s">
        <v>46</v>
      </c>
      <c r="E66" s="1" t="s">
        <v>45</v>
      </c>
      <c r="F66" s="20" t="s">
        <v>366</v>
      </c>
      <c r="G66">
        <f t="shared" si="7"/>
        <v>93.75</v>
      </c>
      <c r="H66">
        <f t="shared" si="8"/>
        <v>93.75</v>
      </c>
      <c r="I66">
        <f t="shared" si="9"/>
        <v>93.75</v>
      </c>
      <c r="J66">
        <f t="shared" si="10"/>
        <v>203.8</v>
      </c>
      <c r="K66">
        <f t="shared" si="11"/>
        <v>36.683999999999997</v>
      </c>
      <c r="L66">
        <f t="shared" si="12"/>
        <v>124.06</v>
      </c>
      <c r="M66">
        <f t="shared" si="13"/>
        <v>156.25</v>
      </c>
    </row>
    <row r="67" spans="1:13" ht="15" customHeight="1" x14ac:dyDescent="0.3">
      <c r="A67" s="16" t="s">
        <v>221</v>
      </c>
      <c r="B67" s="17" t="s">
        <v>228</v>
      </c>
      <c r="C67" s="18"/>
      <c r="D67" s="19" t="s">
        <v>46</v>
      </c>
      <c r="E67" s="1" t="s">
        <v>45</v>
      </c>
      <c r="F67" s="20" t="s">
        <v>229</v>
      </c>
      <c r="G67">
        <f t="shared" si="7"/>
        <v>150</v>
      </c>
      <c r="H67">
        <f t="shared" si="8"/>
        <v>75</v>
      </c>
      <c r="I67">
        <f t="shared" si="9"/>
        <v>37.5</v>
      </c>
      <c r="J67">
        <f t="shared" si="10"/>
        <v>163.04</v>
      </c>
      <c r="K67">
        <f t="shared" si="11"/>
        <v>29.347199999999997</v>
      </c>
      <c r="L67">
        <f t="shared" si="12"/>
        <v>262.29000000000002</v>
      </c>
      <c r="M67">
        <f t="shared" si="13"/>
        <v>62.5</v>
      </c>
    </row>
    <row r="68" spans="1:13" ht="15" customHeight="1" x14ac:dyDescent="0.3">
      <c r="A68" s="21" t="s">
        <v>221</v>
      </c>
      <c r="B68" s="22" t="s">
        <v>391</v>
      </c>
      <c r="C68" s="23"/>
      <c r="D68" s="24" t="s">
        <v>46</v>
      </c>
      <c r="E68" s="1" t="s">
        <v>45</v>
      </c>
      <c r="F68" s="20" t="s">
        <v>249</v>
      </c>
      <c r="G68">
        <f t="shared" si="7"/>
        <v>125</v>
      </c>
      <c r="H68">
        <f t="shared" si="8"/>
        <v>62.5</v>
      </c>
      <c r="I68">
        <f t="shared" si="9"/>
        <v>62.5</v>
      </c>
      <c r="J68">
        <f t="shared" si="10"/>
        <v>135.87</v>
      </c>
      <c r="K68">
        <f t="shared" si="11"/>
        <v>24.456600000000002</v>
      </c>
      <c r="L68">
        <f t="shared" si="12"/>
        <v>218.57</v>
      </c>
      <c r="M68">
        <f t="shared" si="13"/>
        <v>104.17</v>
      </c>
    </row>
    <row r="69" spans="1:13" ht="15" customHeight="1" x14ac:dyDescent="0.3">
      <c r="A69" s="16" t="s">
        <v>221</v>
      </c>
      <c r="B69" s="17" t="s">
        <v>843</v>
      </c>
      <c r="C69" s="18"/>
      <c r="D69" s="19" t="s">
        <v>46</v>
      </c>
      <c r="E69" s="1" t="s">
        <v>45</v>
      </c>
      <c r="F69" s="20" t="s">
        <v>251</v>
      </c>
      <c r="G69">
        <f t="shared" si="7"/>
        <v>75</v>
      </c>
      <c r="H69">
        <f t="shared" si="8"/>
        <v>75</v>
      </c>
      <c r="I69">
        <f t="shared" si="9"/>
        <v>75</v>
      </c>
      <c r="J69">
        <f t="shared" si="10"/>
        <v>163.04</v>
      </c>
      <c r="K69">
        <f t="shared" si="11"/>
        <v>29.347199999999997</v>
      </c>
      <c r="L69">
        <f t="shared" si="12"/>
        <v>99.25</v>
      </c>
      <c r="M69">
        <f t="shared" si="13"/>
        <v>125</v>
      </c>
    </row>
    <row r="70" spans="1:13" ht="18" customHeight="1" x14ac:dyDescent="0.3">
      <c r="A70" s="25" t="s">
        <v>252</v>
      </c>
      <c r="B70" s="25"/>
      <c r="C70" s="25"/>
      <c r="G70" t="str">
        <f t="shared" si="7"/>
        <v/>
      </c>
      <c r="H70" t="str">
        <f t="shared" si="8"/>
        <v/>
      </c>
      <c r="I70" t="str">
        <f t="shared" si="9"/>
        <v/>
      </c>
      <c r="J70" t="str">
        <f t="shared" si="10"/>
        <v/>
      </c>
      <c r="K70" t="str">
        <f t="shared" si="11"/>
        <v/>
      </c>
      <c r="L70" t="str">
        <f t="shared" si="12"/>
        <v/>
      </c>
      <c r="M70" t="str">
        <f t="shared" si="13"/>
        <v/>
      </c>
    </row>
    <row r="71" spans="1:13" ht="15" customHeight="1" x14ac:dyDescent="0.3">
      <c r="A71" s="21" t="s">
        <v>253</v>
      </c>
      <c r="B71" s="22" t="s">
        <v>323</v>
      </c>
      <c r="C71" s="23"/>
      <c r="D71" s="24" t="s">
        <v>46</v>
      </c>
      <c r="E71" s="1" t="s">
        <v>45</v>
      </c>
      <c r="F71" s="20" t="s">
        <v>324</v>
      </c>
      <c r="G71">
        <f t="shared" ref="G71:G87" si="14">IF($F71="","",IFERROR(VALUE(TRIM(LEFT($F71,FIND(":",$F71)-1)))*1.25,"N/A"))</f>
        <v>93.75</v>
      </c>
      <c r="H71">
        <f t="shared" ref="H71:H87" si="15">IF($F71="","",IFERROR(VALUE(TRIM(MID($F71,FIND(":",$F71)+1,FIND(":",$F71,FIND(":",$F71)+1)-FIND(":",$F71)-1)))*1.25,"N/A"))</f>
        <v>62.5</v>
      </c>
      <c r="I71">
        <f t="shared" ref="I71:I87" si="16">IF($F71="","",IFERROR(VALUE(TRIM(LEFT(MID($F71,FIND(":",$F71,FIND(":",$F71)+1)+1,LEN($F71)),FIND(" ",MID($F71,FIND(":",$F71,FIND(":",$F71)+1)+1,LEN($F71))&amp;" ")-1)))*1.25,"N/A"))</f>
        <v>62.5</v>
      </c>
      <c r="J71">
        <f t="shared" ref="J71:J87" si="17">IF(OR($F71="",$H71="N/A"),IF($F71="","","N/A"),ROUND($H71/0.46,2))</f>
        <v>135.87</v>
      </c>
      <c r="K71">
        <f t="shared" ref="K71:K87" si="18">IF(OR($F71="",$J71="N/A"),IF($F71="","","N/A"),$J71*0.18)</f>
        <v>24.456600000000002</v>
      </c>
      <c r="L71">
        <f t="shared" ref="L71:L87" si="19">IF(OR($F71="",$G71="N/A",$K71="N/A"),IF($F71="","","N/A"),ROUND(($G71-$K71)/0.46,2))</f>
        <v>150.63999999999999</v>
      </c>
      <c r="M71">
        <f t="shared" ref="M71:M87" si="20">IF(OR($F71="",$I71="N/A"),IF($F71="","","N/A"),ROUND($I71/0.6,2))</f>
        <v>104.17</v>
      </c>
    </row>
    <row r="72" spans="1:13" ht="15" customHeight="1" x14ac:dyDescent="0.3">
      <c r="A72" s="16" t="s">
        <v>253</v>
      </c>
      <c r="B72" s="17" t="s">
        <v>365</v>
      </c>
      <c r="C72" s="18"/>
      <c r="D72" s="19" t="s">
        <v>46</v>
      </c>
      <c r="E72" s="1" t="s">
        <v>45</v>
      </c>
      <c r="F72" s="20" t="s">
        <v>366</v>
      </c>
      <c r="G72">
        <f t="shared" si="14"/>
        <v>93.75</v>
      </c>
      <c r="H72">
        <f t="shared" si="15"/>
        <v>93.75</v>
      </c>
      <c r="I72">
        <f t="shared" si="16"/>
        <v>93.75</v>
      </c>
      <c r="J72">
        <f t="shared" si="17"/>
        <v>203.8</v>
      </c>
      <c r="K72">
        <f t="shared" si="18"/>
        <v>36.683999999999997</v>
      </c>
      <c r="L72">
        <f t="shared" si="19"/>
        <v>124.06</v>
      </c>
      <c r="M72">
        <f t="shared" si="20"/>
        <v>156.25</v>
      </c>
    </row>
    <row r="73" spans="1:13" ht="15" customHeight="1" x14ac:dyDescent="0.3">
      <c r="A73" s="21" t="s">
        <v>253</v>
      </c>
      <c r="B73" s="22" t="s">
        <v>255</v>
      </c>
      <c r="C73" s="23"/>
      <c r="D73" s="24" t="s">
        <v>46</v>
      </c>
      <c r="E73" s="1" t="s">
        <v>45</v>
      </c>
      <c r="F73" s="20" t="s">
        <v>256</v>
      </c>
      <c r="G73">
        <f t="shared" si="14"/>
        <v>31.25</v>
      </c>
      <c r="H73">
        <f t="shared" si="15"/>
        <v>75</v>
      </c>
      <c r="I73">
        <f t="shared" si="16"/>
        <v>22.5</v>
      </c>
      <c r="J73">
        <f t="shared" si="17"/>
        <v>163.04</v>
      </c>
      <c r="K73">
        <f t="shared" si="18"/>
        <v>29.347199999999997</v>
      </c>
      <c r="L73">
        <f t="shared" si="19"/>
        <v>4.1399999999999997</v>
      </c>
      <c r="M73">
        <f t="shared" si="20"/>
        <v>37.5</v>
      </c>
    </row>
    <row r="74" spans="1:13" ht="15" customHeight="1" x14ac:dyDescent="0.3">
      <c r="A74" s="16" t="s">
        <v>253</v>
      </c>
      <c r="B74" s="17" t="s">
        <v>228</v>
      </c>
      <c r="C74" s="18"/>
      <c r="D74" s="19" t="s">
        <v>46</v>
      </c>
      <c r="E74" s="1" t="s">
        <v>45</v>
      </c>
      <c r="F74" s="20" t="s">
        <v>229</v>
      </c>
      <c r="G74">
        <f t="shared" si="14"/>
        <v>150</v>
      </c>
      <c r="H74">
        <f t="shared" si="15"/>
        <v>75</v>
      </c>
      <c r="I74">
        <f t="shared" si="16"/>
        <v>37.5</v>
      </c>
      <c r="J74">
        <f t="shared" si="17"/>
        <v>163.04</v>
      </c>
      <c r="K74">
        <f t="shared" si="18"/>
        <v>29.347199999999997</v>
      </c>
      <c r="L74">
        <f t="shared" si="19"/>
        <v>262.29000000000002</v>
      </c>
      <c r="M74">
        <f t="shared" si="20"/>
        <v>62.5</v>
      </c>
    </row>
    <row r="75" spans="1:13" ht="15" customHeight="1" x14ac:dyDescent="0.3">
      <c r="A75" s="21" t="s">
        <v>253</v>
      </c>
      <c r="B75" s="22" t="s">
        <v>257</v>
      </c>
      <c r="C75" s="23"/>
      <c r="D75" s="24" t="s">
        <v>46</v>
      </c>
      <c r="E75" s="1" t="s">
        <v>45</v>
      </c>
      <c r="F75" s="20" t="s">
        <v>160</v>
      </c>
      <c r="G75">
        <f t="shared" si="14"/>
        <v>25</v>
      </c>
      <c r="H75">
        <f t="shared" si="15"/>
        <v>50</v>
      </c>
      <c r="I75">
        <f t="shared" si="16"/>
        <v>25</v>
      </c>
      <c r="J75">
        <f t="shared" si="17"/>
        <v>108.7</v>
      </c>
      <c r="K75">
        <f t="shared" si="18"/>
        <v>19.565999999999999</v>
      </c>
      <c r="L75">
        <f t="shared" si="19"/>
        <v>11.81</v>
      </c>
      <c r="M75">
        <f t="shared" si="20"/>
        <v>41.67</v>
      </c>
    </row>
    <row r="76" spans="1:13" ht="15" customHeight="1" x14ac:dyDescent="0.3">
      <c r="A76" s="16" t="s">
        <v>253</v>
      </c>
      <c r="B76" s="17" t="s">
        <v>844</v>
      </c>
      <c r="C76" s="18"/>
      <c r="D76" s="19" t="s">
        <v>46</v>
      </c>
      <c r="E76" s="1" t="s">
        <v>45</v>
      </c>
      <c r="F76" s="20" t="s">
        <v>147</v>
      </c>
      <c r="G76">
        <f t="shared" si="14"/>
        <v>100</v>
      </c>
      <c r="H76">
        <f t="shared" si="15"/>
        <v>50</v>
      </c>
      <c r="I76">
        <f t="shared" si="16"/>
        <v>50</v>
      </c>
      <c r="J76">
        <f t="shared" si="17"/>
        <v>108.7</v>
      </c>
      <c r="K76">
        <f t="shared" si="18"/>
        <v>19.565999999999999</v>
      </c>
      <c r="L76">
        <f t="shared" si="19"/>
        <v>174.86</v>
      </c>
      <c r="M76">
        <f t="shared" si="20"/>
        <v>83.33</v>
      </c>
    </row>
    <row r="77" spans="1:13" ht="18" customHeight="1" x14ac:dyDescent="0.3">
      <c r="A77" s="25" t="s">
        <v>263</v>
      </c>
      <c r="B77" s="25"/>
      <c r="C77" s="25"/>
      <c r="G77" t="str">
        <f t="shared" si="14"/>
        <v/>
      </c>
      <c r="H77" t="str">
        <f t="shared" si="15"/>
        <v/>
      </c>
      <c r="I77" t="str">
        <f t="shared" si="16"/>
        <v/>
      </c>
      <c r="J77" t="str">
        <f t="shared" si="17"/>
        <v/>
      </c>
      <c r="K77" t="str">
        <f t="shared" si="18"/>
        <v/>
      </c>
      <c r="L77" t="str">
        <f t="shared" si="19"/>
        <v/>
      </c>
      <c r="M77" t="str">
        <f t="shared" si="20"/>
        <v/>
      </c>
    </row>
    <row r="78" spans="1:13" ht="15" customHeight="1" x14ac:dyDescent="0.3">
      <c r="A78" s="21" t="s">
        <v>264</v>
      </c>
      <c r="B78" s="22" t="s">
        <v>845</v>
      </c>
      <c r="C78" s="23"/>
      <c r="D78" s="24" t="s">
        <v>46</v>
      </c>
      <c r="E78" s="1" t="s">
        <v>45</v>
      </c>
      <c r="F78" s="20" t="s">
        <v>343</v>
      </c>
      <c r="G78">
        <f t="shared" si="14"/>
        <v>275</v>
      </c>
      <c r="H78">
        <f t="shared" si="15"/>
        <v>56.25</v>
      </c>
      <c r="I78">
        <f t="shared" si="16"/>
        <v>225</v>
      </c>
      <c r="J78">
        <f t="shared" si="17"/>
        <v>122.28</v>
      </c>
      <c r="K78">
        <f t="shared" si="18"/>
        <v>22.010400000000001</v>
      </c>
      <c r="L78">
        <f t="shared" si="19"/>
        <v>549.98</v>
      </c>
      <c r="M78">
        <f t="shared" si="20"/>
        <v>375</v>
      </c>
    </row>
    <row r="79" spans="1:13" ht="15" customHeight="1" x14ac:dyDescent="0.3">
      <c r="A79" s="16" t="s">
        <v>264</v>
      </c>
      <c r="B79" s="17" t="s">
        <v>206</v>
      </c>
      <c r="C79" s="18"/>
      <c r="D79" s="19" t="s">
        <v>46</v>
      </c>
      <c r="E79" s="1" t="s">
        <v>45</v>
      </c>
      <c r="F79" s="20" t="s">
        <v>207</v>
      </c>
      <c r="G79">
        <f t="shared" si="14"/>
        <v>700</v>
      </c>
      <c r="H79">
        <f t="shared" si="15"/>
        <v>400</v>
      </c>
      <c r="I79">
        <f t="shared" si="16"/>
        <v>1500</v>
      </c>
      <c r="J79">
        <f t="shared" si="17"/>
        <v>869.57</v>
      </c>
      <c r="K79">
        <f t="shared" si="18"/>
        <v>156.52260000000001</v>
      </c>
      <c r="L79">
        <f t="shared" si="19"/>
        <v>1181.47</v>
      </c>
      <c r="M79">
        <f t="shared" si="20"/>
        <v>2500</v>
      </c>
    </row>
    <row r="80" spans="1:13" ht="15" customHeight="1" x14ac:dyDescent="0.3">
      <c r="A80" s="21" t="s">
        <v>264</v>
      </c>
      <c r="B80" s="22" t="s">
        <v>846</v>
      </c>
      <c r="C80" s="23"/>
      <c r="D80" s="24" t="s">
        <v>46</v>
      </c>
      <c r="E80" s="1" t="s">
        <v>45</v>
      </c>
      <c r="F80" s="20" t="s">
        <v>268</v>
      </c>
      <c r="G80">
        <f t="shared" si="14"/>
        <v>15</v>
      </c>
      <c r="H80">
        <f t="shared" si="15"/>
        <v>7.5</v>
      </c>
      <c r="I80">
        <f t="shared" si="16"/>
        <v>7.5</v>
      </c>
      <c r="J80">
        <f t="shared" si="17"/>
        <v>16.3</v>
      </c>
      <c r="K80">
        <f t="shared" si="18"/>
        <v>2.9340000000000002</v>
      </c>
      <c r="L80">
        <f t="shared" si="19"/>
        <v>26.23</v>
      </c>
      <c r="M80">
        <f t="shared" si="20"/>
        <v>12.5</v>
      </c>
    </row>
    <row r="81" spans="1:13" ht="18" customHeight="1" x14ac:dyDescent="0.3">
      <c r="A81" s="25" t="s">
        <v>269</v>
      </c>
      <c r="B81" s="25"/>
      <c r="C81" s="25"/>
      <c r="G81" t="str">
        <f t="shared" si="14"/>
        <v/>
      </c>
      <c r="H81" t="str">
        <f t="shared" si="15"/>
        <v/>
      </c>
      <c r="I81" t="str">
        <f t="shared" si="16"/>
        <v/>
      </c>
      <c r="J81" t="str">
        <f t="shared" si="17"/>
        <v/>
      </c>
      <c r="K81" t="str">
        <f t="shared" si="18"/>
        <v/>
      </c>
      <c r="L81" t="str">
        <f t="shared" si="19"/>
        <v/>
      </c>
      <c r="M81" t="str">
        <f t="shared" si="20"/>
        <v/>
      </c>
    </row>
    <row r="82" spans="1:13" ht="15" customHeight="1" x14ac:dyDescent="0.3">
      <c r="A82" s="16" t="s">
        <v>270</v>
      </c>
      <c r="B82" s="17" t="s">
        <v>847</v>
      </c>
      <c r="C82" s="18"/>
      <c r="D82" s="19" t="s">
        <v>46</v>
      </c>
      <c r="E82" s="1" t="s">
        <v>45</v>
      </c>
      <c r="F82" s="20" t="s">
        <v>241</v>
      </c>
      <c r="G82">
        <f t="shared" si="14"/>
        <v>7.5</v>
      </c>
      <c r="H82">
        <f t="shared" si="15"/>
        <v>15</v>
      </c>
      <c r="I82">
        <f t="shared" si="16"/>
        <v>15</v>
      </c>
      <c r="J82">
        <f t="shared" si="17"/>
        <v>32.61</v>
      </c>
      <c r="K82">
        <f t="shared" si="18"/>
        <v>5.8697999999999997</v>
      </c>
      <c r="L82">
        <f t="shared" si="19"/>
        <v>3.54</v>
      </c>
      <c r="M82">
        <f t="shared" si="20"/>
        <v>25</v>
      </c>
    </row>
    <row r="83" spans="1:13" ht="15" customHeight="1" x14ac:dyDescent="0.3">
      <c r="A83" s="21" t="s">
        <v>270</v>
      </c>
      <c r="B83" s="22" t="s">
        <v>272</v>
      </c>
      <c r="C83" s="23"/>
      <c r="D83" s="24" t="s">
        <v>46</v>
      </c>
      <c r="E83" s="1" t="s">
        <v>45</v>
      </c>
      <c r="F83" s="20" t="s">
        <v>273</v>
      </c>
      <c r="G83">
        <f t="shared" si="14"/>
        <v>112.5</v>
      </c>
      <c r="H83">
        <f t="shared" si="15"/>
        <v>112.5</v>
      </c>
      <c r="I83">
        <f t="shared" si="16"/>
        <v>93.75</v>
      </c>
      <c r="J83">
        <f t="shared" si="17"/>
        <v>244.57</v>
      </c>
      <c r="K83">
        <f t="shared" si="18"/>
        <v>44.022599999999997</v>
      </c>
      <c r="L83">
        <f t="shared" si="19"/>
        <v>148.86000000000001</v>
      </c>
      <c r="M83">
        <f t="shared" si="20"/>
        <v>156.25</v>
      </c>
    </row>
    <row r="84" spans="1:13" ht="15" customHeight="1" x14ac:dyDescent="0.3">
      <c r="A84" s="16" t="s">
        <v>270</v>
      </c>
      <c r="B84" s="17" t="s">
        <v>278</v>
      </c>
      <c r="C84" s="18"/>
      <c r="D84" s="19" t="s">
        <v>46</v>
      </c>
      <c r="E84" s="1" t="s">
        <v>45</v>
      </c>
      <c r="F84" s="20" t="s">
        <v>279</v>
      </c>
      <c r="G84">
        <f t="shared" si="14"/>
        <v>250</v>
      </c>
      <c r="H84">
        <f t="shared" si="15"/>
        <v>250</v>
      </c>
      <c r="I84">
        <f t="shared" si="16"/>
        <v>250</v>
      </c>
      <c r="J84">
        <f t="shared" si="17"/>
        <v>543.48</v>
      </c>
      <c r="K84">
        <f t="shared" si="18"/>
        <v>97.826400000000007</v>
      </c>
      <c r="L84">
        <f t="shared" si="19"/>
        <v>330.81</v>
      </c>
      <c r="M84">
        <f t="shared" si="20"/>
        <v>416.67</v>
      </c>
    </row>
    <row r="85" spans="1:13" ht="15" customHeight="1" x14ac:dyDescent="0.3">
      <c r="A85" s="21" t="s">
        <v>270</v>
      </c>
      <c r="B85" s="22" t="s">
        <v>276</v>
      </c>
      <c r="C85" s="23"/>
      <c r="D85" s="24" t="s">
        <v>46</v>
      </c>
      <c r="E85" s="1" t="s">
        <v>45</v>
      </c>
      <c r="F85" s="20" t="s">
        <v>277</v>
      </c>
      <c r="G85">
        <f t="shared" si="14"/>
        <v>156.25</v>
      </c>
      <c r="H85">
        <f t="shared" si="15"/>
        <v>150</v>
      </c>
      <c r="I85">
        <f t="shared" si="16"/>
        <v>31.25</v>
      </c>
      <c r="J85">
        <f t="shared" si="17"/>
        <v>326.08999999999997</v>
      </c>
      <c r="K85">
        <f t="shared" si="18"/>
        <v>58.69619999999999</v>
      </c>
      <c r="L85">
        <f t="shared" si="19"/>
        <v>212.07</v>
      </c>
      <c r="M85">
        <f t="shared" si="20"/>
        <v>52.08</v>
      </c>
    </row>
    <row r="86" spans="1:13" ht="15" customHeight="1" x14ac:dyDescent="0.3">
      <c r="A86" s="16" t="s">
        <v>270</v>
      </c>
      <c r="B86" s="17" t="s">
        <v>445</v>
      </c>
      <c r="C86" s="18"/>
      <c r="D86" s="19" t="s">
        <v>46</v>
      </c>
      <c r="E86" s="1" t="s">
        <v>45</v>
      </c>
      <c r="F86" s="20" t="s">
        <v>446</v>
      </c>
      <c r="G86">
        <f t="shared" si="14"/>
        <v>150</v>
      </c>
      <c r="H86">
        <f t="shared" si="15"/>
        <v>187.5</v>
      </c>
      <c r="I86">
        <f t="shared" si="16"/>
        <v>187.5</v>
      </c>
      <c r="J86">
        <f t="shared" si="17"/>
        <v>407.61</v>
      </c>
      <c r="K86">
        <f t="shared" si="18"/>
        <v>73.369799999999998</v>
      </c>
      <c r="L86">
        <f t="shared" si="19"/>
        <v>166.59</v>
      </c>
      <c r="M86">
        <f t="shared" si="20"/>
        <v>312.5</v>
      </c>
    </row>
    <row r="87" spans="1:13" ht="15" customHeight="1" x14ac:dyDescent="0.3">
      <c r="A87" s="21" t="s">
        <v>270</v>
      </c>
      <c r="B87" s="22" t="s">
        <v>274</v>
      </c>
      <c r="C87" s="23"/>
      <c r="D87" s="24" t="s">
        <v>46</v>
      </c>
      <c r="E87" s="1" t="s">
        <v>45</v>
      </c>
      <c r="F87" s="20" t="s">
        <v>275</v>
      </c>
      <c r="G87">
        <f t="shared" si="14"/>
        <v>75</v>
      </c>
      <c r="H87">
        <f t="shared" si="15"/>
        <v>150</v>
      </c>
      <c r="I87">
        <f t="shared" si="16"/>
        <v>150</v>
      </c>
      <c r="J87">
        <f t="shared" si="17"/>
        <v>326.08999999999997</v>
      </c>
      <c r="K87">
        <f t="shared" si="18"/>
        <v>58.69619999999999</v>
      </c>
      <c r="L87">
        <f t="shared" si="19"/>
        <v>35.44</v>
      </c>
      <c r="M87">
        <f t="shared" si="20"/>
        <v>250</v>
      </c>
    </row>
  </sheetData>
  <mergeCells count="13">
    <mergeCell ref="A1:C1"/>
    <mergeCell ref="A2:C2"/>
    <mergeCell ref="A3:C3"/>
    <mergeCell ref="A4:C4"/>
    <mergeCell ref="A7:C7"/>
    <mergeCell ref="A70:C70"/>
    <mergeCell ref="A77:C77"/>
    <mergeCell ref="A81:C81"/>
    <mergeCell ref="A13:C13"/>
    <mergeCell ref="A21:C21"/>
    <mergeCell ref="A28:C28"/>
    <mergeCell ref="A34:C34"/>
    <mergeCell ref="A47:C4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Threshold Reference</vt:lpstr>
      <vt:lpstr>Soil_Methodology</vt:lpstr>
      <vt:lpstr>INDEX</vt:lpstr>
      <vt:lpstr>Andhra Pradesh</vt:lpstr>
      <vt:lpstr>Arunachal Pradesh</vt:lpstr>
      <vt:lpstr>Assam</vt:lpstr>
      <vt:lpstr>Bihar</vt:lpstr>
      <vt:lpstr>Chhattisgarh</vt:lpstr>
      <vt:lpstr>Goa</vt:lpstr>
      <vt:lpstr>Gujarat</vt:lpstr>
      <vt:lpstr>Haryana</vt:lpstr>
      <vt:lpstr>Himachal Pradesh</vt:lpstr>
      <vt:lpstr>Jammu &amp; Kashmir</vt:lpstr>
      <vt:lpstr>Jharkhand</vt:lpstr>
      <vt:lpstr>Karnataka</vt:lpstr>
      <vt:lpstr>Kerala</vt:lpstr>
      <vt:lpstr>Madhya Pradesh</vt:lpstr>
      <vt:lpstr>Maharashtra</vt:lpstr>
      <vt:lpstr>Manipur</vt:lpstr>
      <vt:lpstr>Meghalaya</vt:lpstr>
      <vt:lpstr>Mizoram</vt:lpstr>
      <vt:lpstr>Nagaland</vt:lpstr>
      <vt:lpstr>Odisha</vt:lpstr>
      <vt:lpstr>Punjab</vt:lpstr>
      <vt:lpstr>Rajasthan</vt:lpstr>
      <vt:lpstr>Sikkim</vt:lpstr>
      <vt:lpstr>Tamil Nadu</vt:lpstr>
      <vt:lpstr>Telangana</vt:lpstr>
      <vt:lpstr>Tripura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Madhavi M H</cp:lastModifiedBy>
  <cp:revision>0</cp:revision>
  <dcterms:created xsi:type="dcterms:W3CDTF">2026-06-23T07:05:38Z</dcterms:created>
  <dcterms:modified xsi:type="dcterms:W3CDTF">2026-07-14T12:16:01Z</dcterms:modified>
  <dc:language>en-US</dc:language>
</cp:coreProperties>
</file>